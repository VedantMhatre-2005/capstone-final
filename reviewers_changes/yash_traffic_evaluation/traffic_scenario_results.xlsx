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db753ebea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68c5e0861426b"/>
    <x:sheet xmlns:r="http://schemas.openxmlformats.org/officeDocument/2006/relationships" name="Scenarios" sheetId="2" r:id="R033b20be03f24c46"/>
    <x:sheet xmlns:r="http://schemas.openxmlformats.org/officeDocument/2006/relationships" name="Trials" sheetId="3" r:id="R2e597e2ed426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000"/>
    <x:numFmt numFmtId="202" formatCode="@"/>
  </x:numFmts>
  <x:fonts count="7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5"/>
      <x:color rgb="FF172B4D"/>
      <x:name val="Arial"/>
    </x:font>
    <x:font>
      <x:i/>
      <x:sz val="10"/>
      <x:color rgb="FF526579"/>
      <x:name val="Arial"/>
    </x:font>
    <x:font>
      <x:b/>
      <x:sz val="10"/>
      <x:color rgb="FF172B4D"/>
      <x:name val="Arial"/>
    </x:font>
    <x:font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9CAAB5"/>
      </x:bottom>
      <x:diagonal/>
    </x:border>
    <x:border>
      <x:left/>
      <x:right/>
      <x:top style="thin">
        <x:color rgb="FF9CAAB5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/>
    <x:xf numFmtId="0" fontId="5" fillId="0" borderId="2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1">
    <x:dxf>
      <x:font>
        <x:color rgb="FF9B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16b4e710a4f29" /><Relationship Type="http://schemas.openxmlformats.org/officeDocument/2006/relationships/theme" Target="/xl/theme/theme1.xml" Id="R0edd0aef135d41d6" /><Relationship Type="http://schemas.openxmlformats.org/officeDocument/2006/relationships/sharedStrings" Target="/xl/sharedStrings.xml" Id="R93e1e1c57b544625" /><Relationship Type="http://schemas.openxmlformats.org/officeDocument/2006/relationships/worksheet" Target="/xl/worksheets/sheet1.xml" Id="R1cb68c5e0861426b" /><Relationship Type="http://schemas.openxmlformats.org/officeDocument/2006/relationships/worksheet" Target="/xl/worksheets/sheet2.xml" Id="R033b20be03f24c46" /><Relationship Type="http://schemas.openxmlformats.org/officeDocument/2006/relationships/worksheet" Target="/xl/worksheets/sheet3.xml" Id="R2e597e2ed4264274" /></Relationships>
</file>

<file path=xl/tables/table1.xml><?xml version="1.0" encoding="utf-8"?>
<x:table xmlns:x="http://schemas.openxmlformats.org/spreadsheetml/2006/main" id="1" name="ScenarioMeasurements" displayName="ScenarioMeasurements" ref="A1:Y120" headerRowCount="1" totalsRowCount="0" totalsRowShown="0">
  <x:tableColumns count="25">
    <x:tableColumn id="1" name="Suite"/>
    <x:tableColumn id="2" name="Nodes"/>
    <x:tableColumn id="3" name="Scenario ID"/>
    <x:tableColumn id="4" name="Traffic family"/>
    <x:tableColumn id="5" name="Level"/>
    <x:tableColumn id="6" name="Input status"/>
    <x:tableColumn id="7" name="Qubits"/>
    <x:tableColumn id="8" name="Requested packets"/>
    <x:tableColumn id="9" name="Budget omitted"/>
    <x:tableColumn id="10" name="Initial peak (%)"/>
    <x:tableColumn id="11" name="QAOA mean peak (%)"/>
    <x:tableColumn id="12" name="QAOA SD (pp)"/>
    <x:tableColumn id="13" name="BPSO mean peak (%)"/>
    <x:tableColumn id="14" name="BPSO SD (pp)"/>
    <x:tableColumn id="15" name="QAOA relief (%)"/>
    <x:tableColumn id="16" name="BPSO relief (%)"/>
    <x:tableColumn id="17" name="QAOA relief (pp)"/>
    <x:tableColumn id="18" name="BPSO minus QAOA (pp)"/>
    <x:tableColumn id="19" name="QAOA outcome"/>
    <x:tableColumn id="20" name="BPSO outcome"/>
    <x:tableColumn id="21" name="Mean comparison"/>
    <x:tableColumn id="22" name="Exact-J peak (%)"/>
    <x:tableColumn id="23" name="Minimum peak (%)"/>
    <x:tableColumn id="24" name="QAOA mean J gap"/>
    <x:tableColumn id="25" name="Solver seed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SolverTrials" displayName="SolverTrials" ref="A1:O1548" headerRowCount="1" totalsRowCount="0" totalsRowShown="0">
  <x:tableColumns count="15">
    <x:tableColumn id="1" name="Scenario ID"/>
    <x:tableColumn id="2" name="Method"/>
    <x:tableColumn id="3" name="Solver seed"/>
    <x:tableColumn id="4" name="Status"/>
    <x:tableColumn id="5" name="Qubits"/>
    <x:tableColumn id="6" name="Initial peak (%)"/>
    <x:tableColumn id="7" name="Final peak (%)"/>
    <x:tableColumn id="8" name="Relative relief (%)"/>
    <x:tableColumn id="9" name="Relief (pp)"/>
    <x:tableColumn id="10" name="QUBO cost"/>
    <x:tableColumn id="11" name="Minimum J"/>
    <x:tableColumn id="12" name="Absolute J gap"/>
    <x:tableColumn id="13" name="Solver wrapper (ms)"/>
    <x:tableColumn id="14" name="Backend"/>
    <x:tableColumn id="15" name="Bitstring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076a6a0a9f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b94365666a4e15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10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1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10" t="str">
        <x:v>Traffic scenario evaluation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1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</x:row>
    <x:row r="4" ht="21" customHeight="1">
      <x:c r="A4" s="12" t="str">
        <x:v>119 synthetic traffic cases; five solver seeds per case; Qiskit statevector simulation.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1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36" customHeight="1">
      <x:c r="A6" s="6" t="str">
        <x:v>Suite</x:v>
      </x:c>
      <x:c r="B6" s="6" t="str">
        <x:v>Nodes</x:v>
      </x:c>
      <x:c r="C6" s="6" t="str">
        <x:v>Cases</x:v>
      </x:c>
      <x:c r="D6" s="6" t="str">
        <x:v>Q improved</x:v>
      </x:c>
      <x:c r="E6" s="6" t="str">
        <x:v>Q unchanged</x:v>
      </x:c>
      <x:c r="F6" s="6" t="str">
        <x:v>Q worsened</x:v>
      </x:c>
      <x:c r="G6" s="6" t="str">
        <x:v>Q median relief (%)</x:v>
      </x:c>
      <x:c r="H6" s="6" t="str">
        <x:v>B improved</x:v>
      </x:c>
      <x:c r="I6" s="6" t="str">
        <x:v>B unchanged</x:v>
      </x:c>
      <x:c r="J6" s="6" t="str">
        <x:v>B worsened</x:v>
      </x:c>
      <x:c r="K6" s="6" t="str">
        <x:v>B median relief (%)</x:v>
      </x:c>
      <x:c r="L6" s="6" t="str">
        <x:v>Q lower</x:v>
      </x:c>
      <x:c r="M6" s="6" t="str">
        <x:v>Ties</x:v>
      </x:c>
      <x:c r="N6" s="6" t="str">
        <x:v>B lower</x:v>
      </x:c>
    </x:row>
    <x:row r="7" ht="21" customHeight="1">
      <x:c r="A7" s="1" t="str">
        <x:v>legacy</x:v>
      </x:c>
      <x:c r="B7" s="1" t="n">
        <x:v>4</x:v>
      </x:c>
      <x:c r="C7" s="1" t="n">
        <x:f>COUNTIFS(Scenarios!$A$2:$A$120,A7,Scenarios!$B$2:$B$120,B7)</x:f>
        <x:v>15</x:v>
      </x:c>
      <x:c r="D7" s="1" t="n">
        <x:f>COUNTIFS(Scenarios!$A$2:$A$120,A7,Scenarios!$B$2:$B$120,B7,Scenarios!$S$2:$S$120,"improved")</x:f>
        <x:v>11</x:v>
      </x:c>
      <x:c r="E7" s="1" t="n">
        <x:f>COUNTIFS(Scenarios!$A$2:$A$120,A7,Scenarios!$B$2:$B$120,B7,Scenarios!$S$2:$S$120,"unchanged")</x:f>
        <x:v>1</x:v>
      </x:c>
      <x:c r="F7" s="1" t="n">
        <x:f>COUNTIFS(Scenarios!$A$2:$A$120,A7,Scenarios!$B$2:$B$120,B7,Scenarios!$S$2:$S$120,"worsened")</x:f>
        <x:v>3</x:v>
      </x:c>
      <x:c r="G7" s="19" t="n">
        <x:v>11.567855984629231</x:v>
      </x:c>
      <x:c r="H7" s="1" t="n">
        <x:f>COUNTIFS(Scenarios!$A$2:$A$120,A7,Scenarios!$B$2:$B$120,B7,Scenarios!$T$2:$T$120,"improved")</x:f>
        <x:v>11</x:v>
      </x:c>
      <x:c r="I7" s="1" t="n">
        <x:f>COUNTIFS(Scenarios!$A$2:$A$120,A7,Scenarios!$B$2:$B$120,B7,Scenarios!$T$2:$T$120,"unchanged")</x:f>
        <x:v>1</x:v>
      </x:c>
      <x:c r="J7" s="1" t="n">
        <x:f>COUNTIFS(Scenarios!$A$2:$A$120,A7,Scenarios!$B$2:$B$120,B7,Scenarios!$T$2:$T$120,"worsened")</x:f>
        <x:v>3</x:v>
      </x:c>
      <x:c r="K7" s="19" t="n">
        <x:v>11.567855984629231</x:v>
      </x:c>
      <x:c r="L7" s="1" t="n">
        <x:f>COUNTIFS(Scenarios!$A$2:$A$120,A7,Scenarios!$B$2:$B$120,B7,Scenarios!$U$2:$U$120,"QAOA lower")</x:f>
        <x:v>0</x:v>
      </x:c>
      <x:c r="M7" s="1" t="n">
        <x:f>COUNTIFS(Scenarios!$A$2:$A$120,A7,Scenarios!$B$2:$B$120,B7,Scenarios!$U$2:$U$120,"tie")</x:f>
        <x:v>15</x:v>
      </x:c>
      <x:c r="N7" s="1" t="n">
        <x:f>COUNTIFS(Scenarios!$A$2:$A$120,A7,Scenarios!$B$2:$B$120,B7,Scenarios!$U$2:$U$120,"BPSO lower")</x:f>
        <x:v>0</x:v>
      </x:c>
    </x:row>
    <x:row r="8" ht="21" customHeight="1">
      <x:c r="A8" s="1" t="str">
        <x:v>legacy</x:v>
      </x:c>
      <x:c r="B8" s="1" t="n">
        <x:v>5</x:v>
      </x:c>
      <x:c r="C8" s="1" t="n">
        <x:f>COUNTIFS(Scenarios!$A$2:$A$120,A8,Scenarios!$B$2:$B$120,B8)</x:f>
        <x:v>15</x:v>
      </x:c>
      <x:c r="D8" s="1" t="n">
        <x:f>COUNTIFS(Scenarios!$A$2:$A$120,A8,Scenarios!$B$2:$B$120,B8,Scenarios!$S$2:$S$120,"improved")</x:f>
        <x:v>15</x:v>
      </x:c>
      <x:c r="E8" s="1" t="n">
        <x:f>COUNTIFS(Scenarios!$A$2:$A$120,A8,Scenarios!$B$2:$B$120,B8,Scenarios!$S$2:$S$120,"unchanged")</x:f>
        <x:v>0</x:v>
      </x:c>
      <x:c r="F8" s="1" t="n">
        <x:f>COUNTIFS(Scenarios!$A$2:$A$120,A8,Scenarios!$B$2:$B$120,B8,Scenarios!$S$2:$S$120,"worsened")</x:f>
        <x:v>0</x:v>
      </x:c>
      <x:c r="G8" s="19" t="n">
        <x:v>16.05311406189232</x:v>
      </x:c>
      <x:c r="H8" s="1" t="n">
        <x:f>COUNTIFS(Scenarios!$A$2:$A$120,A8,Scenarios!$B$2:$B$120,B8,Scenarios!$T$2:$T$120,"improved")</x:f>
        <x:v>15</x:v>
      </x:c>
      <x:c r="I8" s="1" t="n">
        <x:f>COUNTIFS(Scenarios!$A$2:$A$120,A8,Scenarios!$B$2:$B$120,B8,Scenarios!$T$2:$T$120,"unchanged")</x:f>
        <x:v>0</x:v>
      </x:c>
      <x:c r="J8" s="1" t="n">
        <x:f>COUNTIFS(Scenarios!$A$2:$A$120,A8,Scenarios!$B$2:$B$120,B8,Scenarios!$T$2:$T$120,"worsened")</x:f>
        <x:v>0</x:v>
      </x:c>
      <x:c r="K8" s="19" t="n">
        <x:v>16.05311406189232</x:v>
      </x:c>
      <x:c r="L8" s="1" t="n">
        <x:f>COUNTIFS(Scenarios!$A$2:$A$120,A8,Scenarios!$B$2:$B$120,B8,Scenarios!$U$2:$U$120,"QAOA lower")</x:f>
        <x:v>0</x:v>
      </x:c>
      <x:c r="M8" s="1" t="n">
        <x:f>COUNTIFS(Scenarios!$A$2:$A$120,A8,Scenarios!$B$2:$B$120,B8,Scenarios!$U$2:$U$120,"tie")</x:f>
        <x:v>15</x:v>
      </x:c>
      <x:c r="N8" s="1" t="n">
        <x:f>COUNTIFS(Scenarios!$A$2:$A$120,A8,Scenarios!$B$2:$B$120,B8,Scenarios!$U$2:$U$120,"BPSO lower")</x:f>
        <x:v>0</x:v>
      </x:c>
    </x:row>
    <x:row r="9" ht="21" customHeight="1">
      <x:c r="A9" s="1" t="str">
        <x:v>legacy</x:v>
      </x:c>
      <x:c r="B9" s="1" t="n">
        <x:v>6</x:v>
      </x:c>
      <x:c r="C9" s="1" t="n">
        <x:f>COUNTIFS(Scenarios!$A$2:$A$120,A9,Scenarios!$B$2:$B$120,B9)</x:f>
        <x:v>15</x:v>
      </x:c>
      <x:c r="D9" s="1" t="n">
        <x:f>COUNTIFS(Scenarios!$A$2:$A$120,A9,Scenarios!$B$2:$B$120,B9,Scenarios!$S$2:$S$120,"improved")</x:f>
        <x:v>14</x:v>
      </x:c>
      <x:c r="E9" s="1" t="n">
        <x:f>COUNTIFS(Scenarios!$A$2:$A$120,A9,Scenarios!$B$2:$B$120,B9,Scenarios!$S$2:$S$120,"unchanged")</x:f>
        <x:v>0</x:v>
      </x:c>
      <x:c r="F9" s="1" t="n">
        <x:f>COUNTIFS(Scenarios!$A$2:$A$120,A9,Scenarios!$B$2:$B$120,B9,Scenarios!$S$2:$S$120,"worsened")</x:f>
        <x:v>1</x:v>
      </x:c>
      <x:c r="G9" s="19" t="n">
        <x:v>18.71024073843084</x:v>
      </x:c>
      <x:c r="H9" s="1" t="n">
        <x:f>COUNTIFS(Scenarios!$A$2:$A$120,A9,Scenarios!$B$2:$B$120,B9,Scenarios!$T$2:$T$120,"improved")</x:f>
        <x:v>14</x:v>
      </x:c>
      <x:c r="I9" s="1" t="n">
        <x:f>COUNTIFS(Scenarios!$A$2:$A$120,A9,Scenarios!$B$2:$B$120,B9,Scenarios!$T$2:$T$120,"unchanged")</x:f>
        <x:v>0</x:v>
      </x:c>
      <x:c r="J9" s="1" t="n">
        <x:f>COUNTIFS(Scenarios!$A$2:$A$120,A9,Scenarios!$B$2:$B$120,B9,Scenarios!$T$2:$T$120,"worsened")</x:f>
        <x:v>1</x:v>
      </x:c>
      <x:c r="K9" s="19" t="n">
        <x:v>18.71024073843084</x:v>
      </x:c>
      <x:c r="L9" s="1" t="n">
        <x:f>COUNTIFS(Scenarios!$A$2:$A$120,A9,Scenarios!$B$2:$B$120,B9,Scenarios!$U$2:$U$120,"QAOA lower")</x:f>
        <x:v>0</x:v>
      </x:c>
      <x:c r="M9" s="1" t="n">
        <x:f>COUNTIFS(Scenarios!$A$2:$A$120,A9,Scenarios!$B$2:$B$120,B9,Scenarios!$U$2:$U$120,"tie")</x:f>
        <x:v>15</x:v>
      </x:c>
      <x:c r="N9" s="1" t="n">
        <x:f>COUNTIFS(Scenarios!$A$2:$A$120,A9,Scenarios!$B$2:$B$120,B9,Scenarios!$U$2:$U$120,"BPSO lower")</x:f>
        <x:v>0</x:v>
      </x:c>
    </x:row>
    <x:row r="10" ht="21" customHeight="1">
      <x:c r="A10" s="1" t="str">
        <x:v>controlled</x:v>
      </x:c>
      <x:c r="B10" s="1" t="n">
        <x:v>4</x:v>
      </x:c>
      <x:c r="C10" s="1" t="n">
        <x:f>COUNTIFS(Scenarios!$A$2:$A$120,A10,Scenarios!$B$2:$B$120,B10)</x:f>
        <x:v>24</x:v>
      </x:c>
      <x:c r="D10" s="1" t="n">
        <x:f>COUNTIFS(Scenarios!$A$2:$A$120,A10,Scenarios!$B$2:$B$120,B10,Scenarios!$S$2:$S$120,"improved")</x:f>
        <x:v>11</x:v>
      </x:c>
      <x:c r="E10" s="1" t="n">
        <x:f>COUNTIFS(Scenarios!$A$2:$A$120,A10,Scenarios!$B$2:$B$120,B10,Scenarios!$S$2:$S$120,"unchanged")</x:f>
        <x:v>8</x:v>
      </x:c>
      <x:c r="F10" s="1" t="n">
        <x:f>COUNTIFS(Scenarios!$A$2:$A$120,A10,Scenarios!$B$2:$B$120,B10,Scenarios!$S$2:$S$120,"worsened")</x:f>
        <x:v>5</x:v>
      </x:c>
      <x:c r="G10" s="19" t="n">
        <x:v>0</x:v>
      </x:c>
      <x:c r="H10" s="1" t="n">
        <x:f>COUNTIFS(Scenarios!$A$2:$A$120,A10,Scenarios!$B$2:$B$120,B10,Scenarios!$T$2:$T$120,"improved")</x:f>
        <x:v>11</x:v>
      </x:c>
      <x:c r="I10" s="1" t="n">
        <x:f>COUNTIFS(Scenarios!$A$2:$A$120,A10,Scenarios!$B$2:$B$120,B10,Scenarios!$T$2:$T$120,"unchanged")</x:f>
        <x:v>8</x:v>
      </x:c>
      <x:c r="J10" s="1" t="n">
        <x:f>COUNTIFS(Scenarios!$A$2:$A$120,A10,Scenarios!$B$2:$B$120,B10,Scenarios!$T$2:$T$120,"worsened")</x:f>
        <x:v>5</x:v>
      </x:c>
      <x:c r="K10" s="19" t="n">
        <x:v>0</x:v>
      </x:c>
      <x:c r="L10" s="1" t="n">
        <x:f>COUNTIFS(Scenarios!$A$2:$A$120,A10,Scenarios!$B$2:$B$120,B10,Scenarios!$U$2:$U$120,"QAOA lower")</x:f>
        <x:v>0</x:v>
      </x:c>
      <x:c r="M10" s="1" t="n">
        <x:f>COUNTIFS(Scenarios!$A$2:$A$120,A10,Scenarios!$B$2:$B$120,B10,Scenarios!$U$2:$U$120,"tie")</x:f>
        <x:v>24</x:v>
      </x:c>
      <x:c r="N10" s="1" t="n">
        <x:f>COUNTIFS(Scenarios!$A$2:$A$120,A10,Scenarios!$B$2:$B$120,B10,Scenarios!$U$2:$U$120,"BPSO lower")</x:f>
        <x:v>0</x:v>
      </x:c>
    </x:row>
    <x:row r="11" ht="21" customHeight="1">
      <x:c r="A11" s="1" t="str">
        <x:v>controlled</x:v>
      </x:c>
      <x:c r="B11" s="1" t="n">
        <x:v>5</x:v>
      </x:c>
      <x:c r="C11" s="1" t="n">
        <x:f>COUNTIFS(Scenarios!$A$2:$A$120,A11,Scenarios!$B$2:$B$120,B11)</x:f>
        <x:v>24</x:v>
      </x:c>
      <x:c r="D11" s="1" t="n">
        <x:f>COUNTIFS(Scenarios!$A$2:$A$120,A11,Scenarios!$B$2:$B$120,B11,Scenarios!$S$2:$S$120,"improved")</x:f>
        <x:v>12</x:v>
      </x:c>
      <x:c r="E11" s="1" t="n">
        <x:f>COUNTIFS(Scenarios!$A$2:$A$120,A11,Scenarios!$B$2:$B$120,B11,Scenarios!$S$2:$S$120,"unchanged")</x:f>
        <x:v>8</x:v>
      </x:c>
      <x:c r="F11" s="1" t="n">
        <x:f>COUNTIFS(Scenarios!$A$2:$A$120,A11,Scenarios!$B$2:$B$120,B11,Scenarios!$S$2:$S$120,"worsened")</x:f>
        <x:v>4</x:v>
      </x:c>
      <x:c r="G11" s="19" t="n">
        <x:v>2.27272727272727</x:v>
      </x:c>
      <x:c r="H11" s="1" t="n">
        <x:f>COUNTIFS(Scenarios!$A$2:$A$120,A11,Scenarios!$B$2:$B$120,B11,Scenarios!$T$2:$T$120,"improved")</x:f>
        <x:v>12</x:v>
      </x:c>
      <x:c r="I11" s="1" t="n">
        <x:f>COUNTIFS(Scenarios!$A$2:$A$120,A11,Scenarios!$B$2:$B$120,B11,Scenarios!$T$2:$T$120,"unchanged")</x:f>
        <x:v>8</x:v>
      </x:c>
      <x:c r="J11" s="1" t="n">
        <x:f>COUNTIFS(Scenarios!$A$2:$A$120,A11,Scenarios!$B$2:$B$120,B11,Scenarios!$T$2:$T$120,"worsened")</x:f>
        <x:v>4</x:v>
      </x:c>
      <x:c r="K11" s="19" t="n">
        <x:v>2.27272727272727</x:v>
      </x:c>
      <x:c r="L11" s="1" t="n">
        <x:f>COUNTIFS(Scenarios!$A$2:$A$120,A11,Scenarios!$B$2:$B$120,B11,Scenarios!$U$2:$U$120,"QAOA lower")</x:f>
        <x:v>0</x:v>
      </x:c>
      <x:c r="M11" s="1" t="n">
        <x:f>COUNTIFS(Scenarios!$A$2:$A$120,A11,Scenarios!$B$2:$B$120,B11,Scenarios!$U$2:$U$120,"tie")</x:f>
        <x:v>24</x:v>
      </x:c>
      <x:c r="N11" s="1" t="n">
        <x:f>COUNTIFS(Scenarios!$A$2:$A$120,A11,Scenarios!$B$2:$B$120,B11,Scenarios!$U$2:$U$120,"BPSO lower")</x:f>
        <x:v>0</x:v>
      </x:c>
    </x:row>
    <x:row r="12" ht="21" customHeight="1">
      <x:c r="A12" s="1" t="str">
        <x:v>controlled</x:v>
      </x:c>
      <x:c r="B12" s="1" t="n">
        <x:v>6</x:v>
      </x:c>
      <x:c r="C12" s="1" t="n">
        <x:f>COUNTIFS(Scenarios!$A$2:$A$120,A12,Scenarios!$B$2:$B$120,B12)</x:f>
        <x:v>24</x:v>
      </x:c>
      <x:c r="D12" s="1" t="n">
        <x:f>COUNTIFS(Scenarios!$A$2:$A$120,A12,Scenarios!$B$2:$B$120,B12,Scenarios!$S$2:$S$120,"improved")</x:f>
        <x:v>12</x:v>
      </x:c>
      <x:c r="E12" s="1" t="n">
        <x:f>COUNTIFS(Scenarios!$A$2:$A$120,A12,Scenarios!$B$2:$B$120,B12,Scenarios!$S$2:$S$120,"unchanged")</x:f>
        <x:v>8</x:v>
      </x:c>
      <x:c r="F12" s="1" t="n">
        <x:f>COUNTIFS(Scenarios!$A$2:$A$120,A12,Scenarios!$B$2:$B$120,B12,Scenarios!$S$2:$S$120,"worsened")</x:f>
        <x:v>4</x:v>
      </x:c>
      <x:c r="G12" s="19" t="n">
        <x:v>2.27272727272727</x:v>
      </x:c>
      <x:c r="H12" s="1" t="n">
        <x:f>COUNTIFS(Scenarios!$A$2:$A$120,A12,Scenarios!$B$2:$B$120,B12,Scenarios!$T$2:$T$120,"improved")</x:f>
        <x:v>12</x:v>
      </x:c>
      <x:c r="I12" s="1" t="n">
        <x:f>COUNTIFS(Scenarios!$A$2:$A$120,A12,Scenarios!$B$2:$B$120,B12,Scenarios!$T$2:$T$120,"unchanged")</x:f>
        <x:v>8</x:v>
      </x:c>
      <x:c r="J12" s="1" t="n">
        <x:f>COUNTIFS(Scenarios!$A$2:$A$120,A12,Scenarios!$B$2:$B$120,B12,Scenarios!$T$2:$T$120,"worsened")</x:f>
        <x:v>4</x:v>
      </x:c>
      <x:c r="K12" s="19" t="n">
        <x:v>2.27272727272727</x:v>
      </x:c>
      <x:c r="L12" s="1" t="n">
        <x:f>COUNTIFS(Scenarios!$A$2:$A$120,A12,Scenarios!$B$2:$B$120,B12,Scenarios!$U$2:$U$120,"QAOA lower")</x:f>
        <x:v>0</x:v>
      </x:c>
      <x:c r="M12" s="1" t="n">
        <x:f>COUNTIFS(Scenarios!$A$2:$A$120,A12,Scenarios!$B$2:$B$120,B12,Scenarios!$U$2:$U$120,"tie")</x:f>
        <x:v>24</x:v>
      </x:c>
      <x:c r="N12" s="1" t="n">
        <x:f>COUNTIFS(Scenarios!$A$2:$A$120,A12,Scenarios!$B$2:$B$120,B12,Scenarios!$U$2:$U$120,"BPSO lower")</x:f>
        <x:v>0</x:v>
      </x:c>
    </x:row>
    <x:row r="13" ht="21" customHeight="1">
      <x:c r="A13" s="1" t="str">
        <x:v>route_diagnostic</x:v>
      </x:c>
      <x:c r="B13" s="1" t="n">
        <x:v>4</x:v>
      </x:c>
      <x:c r="C13" s="1" t="n">
        <x:f>COUNTIFS(Scenarios!$A$2:$A$120,A13,Scenarios!$B$2:$B$120,B13)</x:f>
        <x:v>2</x:v>
      </x:c>
      <x:c r="D13" s="1" t="n">
        <x:f>COUNTIFS(Scenarios!$A$2:$A$120,A13,Scenarios!$B$2:$B$120,B13,Scenarios!$S$2:$S$120,"improved")</x:f>
        <x:v>0</x:v>
      </x:c>
      <x:c r="E13" s="1" t="n">
        <x:f>COUNTIFS(Scenarios!$A$2:$A$120,A13,Scenarios!$B$2:$B$120,B13,Scenarios!$S$2:$S$120,"unchanged")</x:f>
        <x:v>2</x:v>
      </x:c>
      <x:c r="F13" s="1" t="n">
        <x:f>COUNTIFS(Scenarios!$A$2:$A$120,A13,Scenarios!$B$2:$B$120,B13,Scenarios!$S$2:$S$120,"worsened")</x:f>
        <x:v>0</x:v>
      </x:c>
      <x:c r="G13" s="19" t="n">
        <x:v>0</x:v>
      </x:c>
      <x:c r="H13" s="1" t="n">
        <x:f>COUNTIFS(Scenarios!$A$2:$A$120,A13,Scenarios!$B$2:$B$120,B13,Scenarios!$T$2:$T$120,"improved")</x:f>
        <x:v>0</x:v>
      </x:c>
      <x:c r="I13" s="1" t="n">
        <x:f>COUNTIFS(Scenarios!$A$2:$A$120,A13,Scenarios!$B$2:$B$120,B13,Scenarios!$T$2:$T$120,"unchanged")</x:f>
        <x:v>2</x:v>
      </x:c>
      <x:c r="J13" s="1" t="n">
        <x:f>COUNTIFS(Scenarios!$A$2:$A$120,A13,Scenarios!$B$2:$B$120,B13,Scenarios!$T$2:$T$120,"worsened")</x:f>
        <x:v>0</x:v>
      </x:c>
      <x:c r="K13" s="19" t="n">
        <x:v>0</x:v>
      </x:c>
      <x:c r="L13" s="1" t="n">
        <x:f>COUNTIFS(Scenarios!$A$2:$A$120,A13,Scenarios!$B$2:$B$120,B13,Scenarios!$U$2:$U$120,"QAOA lower")</x:f>
        <x:v>0</x:v>
      </x:c>
      <x:c r="M13" s="1" t="n">
        <x:f>COUNTIFS(Scenarios!$A$2:$A$120,A13,Scenarios!$B$2:$B$120,B13,Scenarios!$U$2:$U$120,"tie")</x:f>
        <x:v>2</x:v>
      </x:c>
      <x:c r="N13" s="1" t="n">
        <x:f>COUNTIFS(Scenarios!$A$2:$A$120,A13,Scenarios!$B$2:$B$120,B13,Scenarios!$U$2:$U$120,"BPSO lower")</x:f>
        <x:v>0</x:v>
      </x:c>
    </x:row>
    <x:row r="14" ht="21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1" customHeight="1">
      <x:c r="A15" s="18" t="str">
        <x:v>Total cases</x:v>
      </x:c>
      <x:c r="B15" s="18"/>
      <x:c r="C15" s="18" t="n">
        <x:f>SUM(C7:C13)</x:f>
        <x:v>119</x:v>
      </x:c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 ht="21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1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1" customHeight="1">
      <x:c r="A18" s="20" t="str">
        <x:v>Q = QAOA; B = BPSO. Counts compare five-seed mean peaks on fixed traffic inputs.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1" customHeight="1">
      <x:c r="A19" s="20" t="str">
        <x:v>Negative relief means deterioration. Congestion trigger: load/capacity &gt; 60%.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1" customHeight="1">
      <x:c r="A20" s="20" t="str">
        <x:v>Median relief values are saved analysis outputs. Formula columns recalculate relief and outcome counts.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1" customHeight="1">
      <x:c r="A21" s="20" t="str">
        <x:v>This measurement snapshot does not rerun solvers when edited; no statistical-equivalence claim is made.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1" customHeight="1">
      <x:c r="A22" s="20" t="str">
        <x:v>23 no-action cases bypass the solver. Each allocated packet must choose one of two detours.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1" customHeight="1">
      <x:c r="A23" s="20" t="str">
        <x:v>Methods, scenario definitions and limitations: REPORT.md. Full inputs and seeds: results/scenario_manifest.json.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1" customHeight="1">
      <x:c r="A24" s="20" t="str">
        <x:v>Source: results/raw_results.csv; results/scenario_manifest.json; results/exact_references.csv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1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1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1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8" hidden="0" customWidth="1"/>
    <x:col min="3" max="3" width="48" hidden="0" customWidth="1"/>
    <x:col min="4" max="4" width="28" hidden="0" customWidth="1"/>
    <x:col min="5" max="5" width="9" hidden="0" customWidth="1"/>
    <x:col min="6" max="6" width="22" hidden="0" customWidth="1"/>
    <x:col min="7" max="7" width="8" hidden="0" customWidth="1"/>
    <x:col min="8" max="8" width="13" hidden="0" customWidth="1"/>
    <x:col min="9" max="9" width="13" hidden="0" customWidth="1"/>
    <x:col min="10" max="10" width="15" hidden="0" customWidth="1"/>
    <x:col min="11" max="11" width="17" hidden="0" customWidth="1"/>
    <x:col min="12" max="12" width="12" hidden="0" customWidth="1"/>
    <x:col min="13" max="13" width="17" hidden="0" customWidth="1"/>
    <x:col min="14" max="14" width="12" hidden="0" customWidth="1"/>
    <x:col min="15" max="15" width="15" hidden="0" customWidth="1"/>
    <x:col min="16" max="16" width="15" hidden="0" customWidth="1"/>
    <x:col min="17" max="17" width="15" hidden="0" customWidth="1"/>
    <x:col min="18" max="18" width="18" hidden="0" customWidth="1"/>
    <x:col min="19" max="19" width="15" hidden="0" customWidth="1"/>
    <x:col min="20" max="20" width="15" hidden="0" customWidth="1"/>
    <x:col min="21" max="21" width="18" hidden="0" customWidth="1"/>
    <x:col min="22" max="22" width="16" hidden="0" customWidth="1"/>
    <x:col min="23" max="23" width="16" hidden="0" customWidth="1"/>
    <x:col min="24" max="24" width="17" hidden="0" customWidth="1"/>
    <x:col min="25" max="25" width="12" hidden="0" customWidth="1"/>
  </x:cols>
  <x:sheetData>
    <x:row r="1" ht="42" customHeight="1">
      <x:c r="A1" s="6" t="str">
        <x:v>Suite</x:v>
      </x:c>
      <x:c r="B1" s="6" t="str">
        <x:v>Nodes</x:v>
      </x:c>
      <x:c r="C1" s="6" t="str">
        <x:v>Scenario ID</x:v>
      </x:c>
      <x:c r="D1" s="6" t="str">
        <x:v>Traffic family</x:v>
      </x:c>
      <x:c r="E1" s="6" t="str">
        <x:v>Level</x:v>
      </x:c>
      <x:c r="F1" s="6" t="str">
        <x:v>Input status</x:v>
      </x:c>
      <x:c r="G1" s="6" t="str">
        <x:v>Qubits</x:v>
      </x:c>
      <x:c r="H1" s="6" t="str">
        <x:v>Requested packets</x:v>
      </x:c>
      <x:c r="I1" s="6" t="str">
        <x:v>Budget omitted</x:v>
      </x:c>
      <x:c r="J1" s="6" t="str">
        <x:v>Initial peak (%)</x:v>
      </x:c>
      <x:c r="K1" s="6" t="str">
        <x:v>QAOA mean peak (%)</x:v>
      </x:c>
      <x:c r="L1" s="6" t="str">
        <x:v>QAOA SD (pp)</x:v>
      </x:c>
      <x:c r="M1" s="6" t="str">
        <x:v>BPSO mean peak (%)</x:v>
      </x:c>
      <x:c r="N1" s="6" t="str">
        <x:v>BPSO SD (pp)</x:v>
      </x:c>
      <x:c r="O1" s="6" t="str">
        <x:v>QAOA relief (%)</x:v>
      </x:c>
      <x:c r="P1" s="6" t="str">
        <x:v>BPSO relief (%)</x:v>
      </x:c>
      <x:c r="Q1" s="6" t="str">
        <x:v>QAOA relief (pp)</x:v>
      </x:c>
      <x:c r="R1" s="6" t="str">
        <x:v>BPSO minus QAOA (pp)</x:v>
      </x:c>
      <x:c r="S1" s="6" t="str">
        <x:v>QAOA outcome</x:v>
      </x:c>
      <x:c r="T1" s="6" t="str">
        <x:v>BPSO outcome</x:v>
      </x:c>
      <x:c r="U1" s="6" t="str">
        <x:v>Mean comparison</x:v>
      </x:c>
      <x:c r="V1" s="6" t="str">
        <x:v>Exact-J peak (%)</x:v>
      </x:c>
      <x:c r="W1" s="6" t="str">
        <x:v>Minimum peak (%)</x:v>
      </x:c>
      <x:c r="X1" s="6" t="str">
        <x:v>QAOA mean J gap</x:v>
      </x:c>
      <x:c r="Y1" s="6" t="str">
        <x:v>Solver seeds</x:v>
      </x:c>
    </x:row>
    <x:row r="2" ht="18" customHeight="1">
      <x:c r="A2" s="2" t="str">
        <x:v>legacy</x:v>
      </x:c>
      <x:c r="B2" s="2" t="n">
        <x:v>4</x:v>
      </x:c>
      <x:c r="C2" s="2" t="str">
        <x:v>legacy_n4_01</x:v>
      </x:c>
      <x:c r="D2" s="2" t="str">
        <x:v>Single Bottleneck</x:v>
      </x:c>
      <x:c r="E2" s="2" t="str">
        <x:v>1</x:v>
      </x:c>
      <x:c r="F2" s="2" t="str">
        <x:v>ready</x:v>
      </x:c>
      <x:c r="G2" s="2" t="n">
        <x:v>5</x:v>
      </x:c>
      <x:c r="H2" s="2" t="n">
        <x:v>5</x:v>
      </x:c>
      <x:c r="I2" s="2" t="n">
        <x:v>0</x:v>
      </x:c>
      <x:c r="J2" s="7" t="n">
        <x:v>77.1875</x:v>
      </x:c>
      <x:c r="K2" s="7" t="n">
        <x:v>67.53529411764706</x:v>
      </x:c>
      <x:c r="L2" s="7" t="n">
        <x:v>0</x:v>
      </x:c>
      <x:c r="M2" s="7" t="n">
        <x:v>67.53529411764706</x:v>
      </x:c>
      <x:c r="N2" s="7" t="n">
        <x:v>0</x:v>
      </x:c>
      <x:c r="O2" s="7" t="n">
        <x:f>IF(J2=0,"n.a.",100*(J2-K2)/J2)</x:f>
        <x:v>12.50488211478924</x:v>
      </x:c>
      <x:c r="P2" s="7" t="n">
        <x:f>IF(J2=0,"n.a.",100*(J2-M2)/J2)</x:f>
        <x:v>12.50488211478924</x:v>
      </x:c>
      <x:c r="Q2" s="7" t="n">
        <x:f>J2-K2</x:f>
        <x:v>9.652205882352945</x:v>
      </x:c>
      <x:c r="R2" s="7" t="n">
        <x:f>M2-K2</x:f>
        <x:v>0</x:v>
      </x:c>
      <x:c r="S2" s="2" t="str">
        <x:f>IF(J2-K2&gt;0.00000001,"improved",IF(K2-J2&gt;0.00000001,"worsened","unchanged"))</x:f>
        <x:v>improved</x:v>
      </x:c>
      <x:c r="T2" s="2" t="str">
        <x:f>IF(J2-M2&gt;0.00000001,"improved",IF(M2-J2&gt;0.00000001,"worsened","unchanged"))</x:f>
        <x:v>improved</x:v>
      </x:c>
      <x:c r="U2" s="2" t="str">
        <x:f>IF(R2&gt;0.00000001,"QAOA lower",IF(R2&lt; -0.00000001,"BPSO lower","tie"))</x:f>
        <x:v>tie</x:v>
      </x:c>
      <x:c r="V2" s="7" t="n">
        <x:v>67.53529411764706</x:v>
      </x:c>
      <x:c r="W2" s="7" t="n">
        <x:v>67.53529411764706</x:v>
      </x:c>
      <x:c r="X2" s="8" t="n">
        <x:v>0</x:v>
      </x:c>
      <x:c r="Y2" s="2" t="n">
        <x:v>5</x:v>
      </x:c>
    </x:row>
    <x:row r="3" ht="18" customHeight="1">
      <x:c r="A3" s="2" t="str">
        <x:v>legacy</x:v>
      </x:c>
      <x:c r="B3" s="2" t="n">
        <x:v>4</x:v>
      </x:c>
      <x:c r="C3" s="2" t="str">
        <x:v>legacy_n4_02</x:v>
      </x:c>
      <x:c r="D3" s="2" t="str">
        <x:v>Adjacent Bottlenecks</x:v>
      </x:c>
      <x:c r="E3" s="2" t="str">
        <x:v>2</x:v>
      </x:c>
      <x:c r="F3" s="2" t="str">
        <x:v>ready</x:v>
      </x:c>
      <x:c r="G3" s="2" t="n">
        <x:v>8</x:v>
      </x:c>
      <x:c r="H3" s="2" t="n">
        <x:v>8</x:v>
      </x:c>
      <x:c r="I3" s="2" t="n">
        <x:v>0</x:v>
      </x:c>
      <x:c r="J3" s="7" t="n">
        <x:v>82.53888888888889</x:v>
      </x:c>
      <x:c r="K3" s="7" t="n">
        <x:v>72.99090909090908</x:v>
      </x:c>
      <x:c r="L3" s="7" t="n">
        <x:v>0</x:v>
      </x:c>
      <x:c r="M3" s="7" t="n">
        <x:v>72.99090909090908</x:v>
      </x:c>
      <x:c r="N3" s="7" t="n">
        <x:v>0</x:v>
      </x:c>
      <x:c r="O3" s="7" t="n">
        <x:f>IF(J3=0,"n.a.",100*(J3-K3)/J3)</x:f>
        <x:v>11.567855984629231</x:v>
      </x:c>
      <x:c r="P3" s="7" t="n">
        <x:f>IF(J3=0,"n.a.",100*(J3-M3)/J3)</x:f>
        <x:v>11.567855984629231</x:v>
      </x:c>
      <x:c r="Q3" s="7" t="n">
        <x:f>J3-K3</x:f>
        <x:v>9.547979797979806</x:v>
      </x:c>
      <x:c r="R3" s="7" t="n">
        <x:f>M3-K3</x:f>
        <x:v>0</x:v>
      </x:c>
      <x:c r="S3" s="2" t="str">
        <x:f>IF(J3-K3&gt;0.00000001,"improved",IF(K3-J3&gt;0.00000001,"worsened","unchanged"))</x:f>
        <x:v>improved</x:v>
      </x:c>
      <x:c r="T3" s="2" t="str">
        <x:f>IF(J3-M3&gt;0.00000001,"improved",IF(M3-J3&gt;0.00000001,"worsened","unchanged"))</x:f>
        <x:v>improved</x:v>
      </x:c>
      <x:c r="U3" s="2" t="str">
        <x:f>IF(R3&gt;0.00000001,"QAOA lower",IF(R3&lt; -0.00000001,"BPSO lower","tie"))</x:f>
        <x:v>tie</x:v>
      </x:c>
      <x:c r="V3" s="7" t="n">
        <x:v>72.99090909090908</x:v>
      </x:c>
      <x:c r="W3" s="7" t="n">
        <x:v>66.17272727272727</x:v>
      </x:c>
      <x:c r="X3" s="8" t="n">
        <x:v>0</x:v>
      </x:c>
      <x:c r="Y3" s="2" t="n">
        <x:v>5</x:v>
      </x:c>
    </x:row>
    <x:row r="4" ht="18" customHeight="1">
      <x:c r="A4" s="2" t="str">
        <x:v>legacy</x:v>
      </x:c>
      <x:c r="B4" s="2" t="n">
        <x:v>4</x:v>
      </x:c>
      <x:c r="C4" s="2" t="str">
        <x:v>legacy_n4_03</x:v>
      </x:c>
      <x:c r="D4" s="2" t="str">
        <x:v>Non-Adjacent Bottlenecks</x:v>
      </x:c>
      <x:c r="E4" s="2" t="str">
        <x:v>3</x:v>
      </x:c>
      <x:c r="F4" s="2" t="str">
        <x:v>ready</x:v>
      </x:c>
      <x:c r="G4" s="2" t="n">
        <x:v>6</x:v>
      </x:c>
      <x:c r="H4" s="2" t="n">
        <x:v>6</x:v>
      </x:c>
      <x:c r="I4" s="2" t="n">
        <x:v>0</x:v>
      </x:c>
      <x:c r="J4" s="7" t="n">
        <x:v>78.26428571428572</x:v>
      </x:c>
      <x:c r="K4" s="7" t="n">
        <x:v>60.1125</x:v>
      </x:c>
      <x:c r="L4" s="7" t="n">
        <x:v>7.944109290391274e-15</x:v>
      </x:c>
      <x:c r="M4" s="7" t="n">
        <x:v>60.1125</x:v>
      </x:c>
      <x:c r="N4" s="7" t="n">
        <x:v>7.944109290391274e-15</x:v>
      </x:c>
      <x:c r="O4" s="7" t="n">
        <x:f>IF(J4=0,"n.a.",100*(J4-K4)/J4)</x:f>
        <x:v>23.19293602263394</x:v>
      </x:c>
      <x:c r="P4" s="7" t="n">
        <x:f>IF(J4=0,"n.a.",100*(J4-M4)/J4)</x:f>
        <x:v>23.19293602263394</x:v>
      </x:c>
      <x:c r="Q4" s="7" t="n">
        <x:f>J4-K4</x:f>
        <x:v>18.151785714285722</x:v>
      </x:c>
      <x:c r="R4" s="7" t="n">
        <x:f>M4-K4</x:f>
        <x:v>0</x:v>
      </x:c>
      <x:c r="S4" s="2" t="str">
        <x:f>IF(J4-K4&gt;0.00000001,"improved",IF(K4-J4&gt;0.00000001,"worsened","unchanged"))</x:f>
        <x:v>improved</x:v>
      </x:c>
      <x:c r="T4" s="2" t="str">
        <x:f>IF(J4-M4&gt;0.00000001,"improved",IF(M4-J4&gt;0.00000001,"worsened","unchanged"))</x:f>
        <x:v>improved</x:v>
      </x:c>
      <x:c r="U4" s="2" t="str">
        <x:f>IF(R4&gt;0.00000001,"QAOA lower",IF(R4&lt; -0.00000001,"BPSO lower","tie"))</x:f>
        <x:v>tie</x:v>
      </x:c>
      <x:c r="V4" s="7" t="n">
        <x:v>60.112500000000004</x:v>
      </x:c>
      <x:c r="W4" s="7" t="n">
        <x:v>60.112500000000004</x:v>
      </x:c>
      <x:c r="X4" s="8" t="n">
        <x:v>0</x:v>
      </x:c>
      <x:c r="Y4" s="2" t="n">
        <x:v>5</x:v>
      </x:c>
    </x:row>
    <x:row r="5" ht="18" customHeight="1">
      <x:c r="A5" s="2" t="str">
        <x:v>legacy</x:v>
      </x:c>
      <x:c r="B5" s="2" t="n">
        <x:v>4</x:v>
      </x:c>
      <x:c r="C5" s="2" t="str">
        <x:v>legacy_n4_04</x:v>
      </x:c>
      <x:c r="D5" s="2" t="str">
        <x:v>Inbound Corridor</x:v>
      </x:c>
      <x:c r="E5" s="2" t="str">
        <x:v>4</x:v>
      </x:c>
      <x:c r="F5" s="2" t="str">
        <x:v>ready</x:v>
      </x:c>
      <x:c r="G5" s="2" t="n">
        <x:v>9</x:v>
      </x:c>
      <x:c r="H5" s="2" t="n">
        <x:v>9</x:v>
      </x:c>
      <x:c r="I5" s="2" t="n">
        <x:v>0</x:v>
      </x:c>
      <x:c r="J5" s="7" t="n">
        <x:v>85.25555555555555</x:v>
      </x:c>
      <x:c r="K5" s="7" t="n">
        <x:v>73.82105263157894</x:v>
      </x:c>
      <x:c r="L5" s="7" t="n">
        <x:v>0</x:v>
      </x:c>
      <x:c r="M5" s="7" t="n">
        <x:v>73.82105263157894</x:v>
      </x:c>
      <x:c r="N5" s="7" t="n">
        <x:v>0</x:v>
      </x:c>
      <x:c r="O5" s="7" t="n">
        <x:f>IF(J5=0,"n.a.",100*(J5-K5)/J5)</x:f>
        <x:v>13.412032622936204</x:v>
      </x:c>
      <x:c r="P5" s="7" t="n">
        <x:f>IF(J5=0,"n.a.",100*(J5-M5)/J5)</x:f>
        <x:v>13.412032622936204</x:v>
      </x:c>
      <x:c r="Q5" s="7" t="n">
        <x:f>J5-K5</x:f>
        <x:v>11.43450292397661</x:v>
      </x:c>
      <x:c r="R5" s="7" t="n">
        <x:f>M5-K5</x:f>
        <x:v>0</x:v>
      </x:c>
      <x:c r="S5" s="2" t="str">
        <x:f>IF(J5-K5&gt;0.00000001,"improved",IF(K5-J5&gt;0.00000001,"worsened","unchanged"))</x:f>
        <x:v>improved</x:v>
      </x:c>
      <x:c r="T5" s="2" t="str">
        <x:f>IF(J5-M5&gt;0.00000001,"improved",IF(M5-J5&gt;0.00000001,"worsened","unchanged"))</x:f>
        <x:v>improved</x:v>
      </x:c>
      <x:c r="U5" s="2" t="str">
        <x:f>IF(R5&gt;0.00000001,"QAOA lower",IF(R5&lt; -0.00000001,"BPSO lower","tie"))</x:f>
        <x:v>tie</x:v>
      </x:c>
      <x:c r="V5" s="7" t="n">
        <x:v>73.82105263157894</x:v>
      </x:c>
      <x:c r="W5" s="7" t="n">
        <x:v>73.82105263157894</x:v>
      </x:c>
      <x:c r="X5" s="8" t="n">
        <x:v>0</x:v>
      </x:c>
      <x:c r="Y5" s="2" t="n">
        <x:v>5</x:v>
      </x:c>
    </x:row>
    <x:row r="6" ht="18" customHeight="1">
      <x:c r="A6" s="2" t="str">
        <x:v>legacy</x:v>
      </x:c>
      <x:c r="B6" s="2" t="n">
        <x:v>4</x:v>
      </x:c>
      <x:c r="C6" s="2" t="str">
        <x:v>legacy_n4_05</x:v>
      </x:c>
      <x:c r="D6" s="2" t="str">
        <x:v>Outbound Corridor</x:v>
      </x:c>
      <x:c r="E6" s="2" t="str">
        <x:v>5</x:v>
      </x:c>
      <x:c r="F6" s="2" t="str">
        <x:v>ready</x:v>
      </x:c>
      <x:c r="G6" s="2" t="n">
        <x:v>10</x:v>
      </x:c>
      <x:c r="H6" s="2" t="n">
        <x:v>10</x:v>
      </x:c>
      <x:c r="I6" s="2" t="n">
        <x:v>0</x:v>
      </x:c>
      <x:c r="J6" s="7" t="n">
        <x:v>81.81304347826087</x:v>
      </x:c>
      <x:c r="K6" s="7" t="n">
        <x:v>83.66</x:v>
      </x:c>
      <x:c r="L6" s="7" t="n">
        <x:v>0</x:v>
      </x:c>
      <x:c r="M6" s="7" t="n">
        <x:v>83.66</x:v>
      </x:c>
      <x:c r="N6" s="7" t="n">
        <x:v>0</x:v>
      </x:c>
      <x:c r="O6" s="7" t="n">
        <x:f>IF(J6=0,"n.a.",100*(J6-K6)/J6)</x:f>
        <x:v>-2.2575330817877455</x:v>
      </x:c>
      <x:c r="P6" s="7" t="n">
        <x:f>IF(J6=0,"n.a.",100*(J6-M6)/J6)</x:f>
        <x:v>-2.2575330817877455</x:v>
      </x:c>
      <x:c r="Q6" s="7" t="n">
        <x:f>J6-K6</x:f>
        <x:v>-1.8469565217391306</x:v>
      </x:c>
      <x:c r="R6" s="7" t="n">
        <x:f>M6-K6</x:f>
        <x:v>0</x:v>
      </x:c>
      <x:c r="S6" s="2" t="str">
        <x:f>IF(J6-K6&gt;0.00000001,"improved",IF(K6-J6&gt;0.00000001,"worsened","unchanged"))</x:f>
        <x:v>worsened</x:v>
      </x:c>
      <x:c r="T6" s="2" t="str">
        <x:f>IF(J6-M6&gt;0.00000001,"improved",IF(M6-J6&gt;0.00000001,"worsened","unchanged"))</x:f>
        <x:v>worsened</x:v>
      </x:c>
      <x:c r="U6" s="2" t="str">
        <x:f>IF(R6&gt;0.00000001,"QAOA lower",IF(R6&lt; -0.00000001,"BPSO lower","tie"))</x:f>
        <x:v>tie</x:v>
      </x:c>
      <x:c r="V6" s="7" t="n">
        <x:v>83.66</x:v>
      </x:c>
      <x:c r="W6" s="7" t="n">
        <x:v>83.66</x:v>
      </x:c>
      <x:c r="X6" s="8" t="n">
        <x:v>0</x:v>
      </x:c>
      <x:c r="Y6" s="2" t="n">
        <x:v>5</x:v>
      </x:c>
    </x:row>
    <x:row r="7" ht="18" customHeight="1">
      <x:c r="A7" s="2" t="str">
        <x:v>legacy</x:v>
      </x:c>
      <x:c r="B7" s="2" t="n">
        <x:v>4</x:v>
      </x:c>
      <x:c r="C7" s="2" t="str">
        <x:v>legacy_n4_06</x:v>
      </x:c>
      <x:c r="D7" s="2" t="str">
        <x:v>Localized Congestion</x:v>
      </x:c>
      <x:c r="E7" s="2" t="str">
        <x:v>6</x:v>
      </x:c>
      <x:c r="F7" s="2" t="str">
        <x:v>ready</x:v>
      </x:c>
      <x:c r="G7" s="2" t="n">
        <x:v>10</x:v>
      </x:c>
      <x:c r="H7" s="2" t="n">
        <x:v>11</x:v>
      </x:c>
      <x:c r="I7" s="2" t="n">
        <x:v>1</x:v>
      </x:c>
      <x:c r="J7" s="7" t="n">
        <x:v>79.67894736842106</x:v>
      </x:c>
      <x:c r="K7" s="7" t="n">
        <x:v>79.67894736842106</x:v>
      </x:c>
      <x:c r="L7" s="7" t="n">
        <x:v>0</x:v>
      </x:c>
      <x:c r="M7" s="7" t="n">
        <x:v>79.67894736842106</x:v>
      </x:c>
      <x:c r="N7" s="7" t="n">
        <x:v>0</x:v>
      </x:c>
      <x:c r="O7" s="7" t="n">
        <x:f>IF(J7=0,"n.a.",100*(J7-K7)/J7)</x:f>
        <x:v>0</x:v>
      </x:c>
      <x:c r="P7" s="7" t="n">
        <x:f>IF(J7=0,"n.a.",100*(J7-M7)/J7)</x:f>
        <x:v>0</x:v>
      </x:c>
      <x:c r="Q7" s="7" t="n">
        <x:f>J7-K7</x:f>
        <x:v>0</x:v>
      </x:c>
      <x:c r="R7" s="7" t="n">
        <x:f>M7-K7</x:f>
        <x:v>0</x:v>
      </x:c>
      <x:c r="S7" s="2" t="str">
        <x:f>IF(J7-K7&gt;0.00000001,"improved",IF(K7-J7&gt;0.00000001,"worsened","unchanged"))</x:f>
        <x:v>unchanged</x:v>
      </x:c>
      <x:c r="T7" s="2" t="str">
        <x:f>IF(J7-M7&gt;0.00000001,"improved",IF(M7-J7&gt;0.00000001,"worsened","unchanged"))</x:f>
        <x:v>unchanged</x:v>
      </x:c>
      <x:c r="U7" s="2" t="str">
        <x:f>IF(R7&gt;0.00000001,"QAOA lower",IF(R7&lt; -0.00000001,"BPSO lower","tie"))</x:f>
        <x:v>tie</x:v>
      </x:c>
      <x:c r="V7" s="7" t="n">
        <x:v>79.67894736842106</x:v>
      </x:c>
      <x:c r="W7" s="7" t="n">
        <x:v>79.67894736842106</x:v>
      </x:c>
      <x:c r="X7" s="8" t="n">
        <x:v>0</x:v>
      </x:c>
      <x:c r="Y7" s="2" t="n">
        <x:v>5</x:v>
      </x:c>
    </x:row>
    <x:row r="8" ht="18" customHeight="1">
      <x:c r="A8" s="2" t="str">
        <x:v>legacy</x:v>
      </x:c>
      <x:c r="B8" s="2" t="n">
        <x:v>4</x:v>
      </x:c>
      <x:c r="C8" s="2" t="str">
        <x:v>legacy_n4_07</x:v>
      </x:c>
      <x:c r="D8" s="2" t="str">
        <x:v>Lane Closure Incident</x:v>
      </x:c>
      <x:c r="E8" s="2" t="str">
        <x:v>7</x:v>
      </x:c>
      <x:c r="F8" s="2" t="str">
        <x:v>ready</x:v>
      </x:c>
      <x:c r="G8" s="2" t="n">
        <x:v>3</x:v>
      </x:c>
      <x:c r="H8" s="2" t="n">
        <x:v>3</x:v>
      </x:c>
      <x:c r="I8" s="2" t="n">
        <x:v>0</x:v>
      </x:c>
      <x:c r="J8" s="7" t="n">
        <x:v>77.825</x:v>
      </x:c>
      <x:c r="K8" s="7" t="n">
        <x:v>56.01875</x:v>
      </x:c>
      <x:c r="L8" s="7" t="n">
        <x:v>0</x:v>
      </x:c>
      <x:c r="M8" s="7" t="n">
        <x:v>56.01875</x:v>
      </x:c>
      <x:c r="N8" s="7" t="n">
        <x:v>0</x:v>
      </x:c>
      <x:c r="O8" s="7" t="n">
        <x:f>IF(J8=0,"n.a.",100*(J8-K8)/J8)</x:f>
        <x:v>28.01959524574366</x:v>
      </x:c>
      <x:c r="P8" s="7" t="n">
        <x:f>IF(J8=0,"n.a.",100*(J8-M8)/J8)</x:f>
        <x:v>28.01959524574366</x:v>
      </x:c>
      <x:c r="Q8" s="7" t="n">
        <x:f>J8-K8</x:f>
        <x:v>21.806250000000006</x:v>
      </x:c>
      <x:c r="R8" s="7" t="n">
        <x:f>M8-K8</x:f>
        <x:v>0</x:v>
      </x:c>
      <x:c r="S8" s="2" t="str">
        <x:f>IF(J8-K8&gt;0.00000001,"improved",IF(K8-J8&gt;0.00000001,"worsened","unchanged"))</x:f>
        <x:v>improved</x:v>
      </x:c>
      <x:c r="T8" s="2" t="str">
        <x:f>IF(J8-M8&gt;0.00000001,"improved",IF(M8-J8&gt;0.00000001,"worsened","unchanged"))</x:f>
        <x:v>improved</x:v>
      </x:c>
      <x:c r="U8" s="2" t="str">
        <x:f>IF(R8&gt;0.00000001,"QAOA lower",IF(R8&lt; -0.00000001,"BPSO lower","tie"))</x:f>
        <x:v>tie</x:v>
      </x:c>
      <x:c r="V8" s="7" t="n">
        <x:v>56.01875</x:v>
      </x:c>
      <x:c r="W8" s="7" t="n">
        <x:v>56.01875</x:v>
      </x:c>
      <x:c r="X8" s="8" t="n">
        <x:v>0</x:v>
      </x:c>
      <x:c r="Y8" s="2" t="n">
        <x:v>5</x:v>
      </x:c>
    </x:row>
    <x:row r="9" ht="18" customHeight="1">
      <x:c r="A9" s="2" t="str">
        <x:v>legacy</x:v>
      </x:c>
      <x:c r="B9" s="2" t="n">
        <x:v>4</x:v>
      </x:c>
      <x:c r="C9" s="2" t="str">
        <x:v>legacy_n4_08</x:v>
      </x:c>
      <x:c r="D9" s="2" t="str">
        <x:v>Event Outflow</x:v>
      </x:c>
      <x:c r="E9" s="2" t="str">
        <x:v>8</x:v>
      </x:c>
      <x:c r="F9" s="2" t="str">
        <x:v>ready</x:v>
      </x:c>
      <x:c r="G9" s="2" t="n">
        <x:v>7</x:v>
      </x:c>
      <x:c r="H9" s="2" t="n">
        <x:v>7</x:v>
      </x:c>
      <x:c r="I9" s="2" t="n">
        <x:v>0</x:v>
      </x:c>
      <x:c r="J9" s="7" t="n">
        <x:v>77.01666666666667</x:v>
      </x:c>
      <x:c r="K9" s="7" t="n">
        <x:v>67.025</x:v>
      </x:c>
      <x:c r="L9" s="7" t="n">
        <x:v>0</x:v>
      </x:c>
      <x:c r="M9" s="7" t="n">
        <x:v>67.025</x:v>
      </x:c>
      <x:c r="N9" s="7" t="n">
        <x:v>0</x:v>
      </x:c>
      <x:c r="O9" s="7" t="n">
        <x:f>IF(J9=0,"n.a.",100*(J9-K9)/J9)</x:f>
        <x:v>12.973382384765195</x:v>
      </x:c>
      <x:c r="P9" s="7" t="n">
        <x:f>IF(J9=0,"n.a.",100*(J9-M9)/J9)</x:f>
        <x:v>12.973382384765195</x:v>
      </x:c>
      <x:c r="Q9" s="7" t="n">
        <x:f>J9-K9</x:f>
        <x:v>9.99166666666666</x:v>
      </x:c>
      <x:c r="R9" s="7" t="n">
        <x:f>M9-K9</x:f>
        <x:v>0</x:v>
      </x:c>
      <x:c r="S9" s="2" t="str">
        <x:f>IF(J9-K9&gt;0.00000001,"improved",IF(K9-J9&gt;0.00000001,"worsened","unchanged"))</x:f>
        <x:v>improved</x:v>
      </x:c>
      <x:c r="T9" s="2" t="str">
        <x:f>IF(J9-M9&gt;0.00000001,"improved",IF(M9-J9&gt;0.00000001,"worsened","unchanged"))</x:f>
        <x:v>improved</x:v>
      </x:c>
      <x:c r="U9" s="2" t="str">
        <x:f>IF(R9&gt;0.00000001,"QAOA lower",IF(R9&lt; -0.00000001,"BPSO lower","tie"))</x:f>
        <x:v>tie</x:v>
      </x:c>
      <x:c r="V9" s="7" t="n">
        <x:v>67.025</x:v>
      </x:c>
      <x:c r="W9" s="7" t="n">
        <x:v>66.69411764705883</x:v>
      </x:c>
      <x:c r="X9" s="8" t="n">
        <x:v>0</x:v>
      </x:c>
      <x:c r="Y9" s="2" t="n">
        <x:v>5</x:v>
      </x:c>
    </x:row>
    <x:row r="10" ht="18" customHeight="1">
      <x:c r="A10" s="2" t="str">
        <x:v>legacy</x:v>
      </x:c>
      <x:c r="B10" s="2" t="n">
        <x:v>4</x:v>
      </x:c>
      <x:c r="C10" s="2" t="str">
        <x:v>legacy_n4_09</x:v>
      </x:c>
      <x:c r="D10" s="2" t="str">
        <x:v>Localized Dropoff</x:v>
      </x:c>
      <x:c r="E10" s="2" t="str">
        <x:v>9</x:v>
      </x:c>
      <x:c r="F10" s="2" t="str">
        <x:v>ready</x:v>
      </x:c>
      <x:c r="G10" s="2" t="n">
        <x:v>10</x:v>
      </x:c>
      <x:c r="H10" s="2" t="n">
        <x:v>10</x:v>
      </x:c>
      <x:c r="I10" s="2" t="n">
        <x:v>0</x:v>
      </x:c>
      <x:c r="J10" s="7" t="n">
        <x:v>85.25714285714285</x:v>
      </x:c>
      <x:c r="K10" s="7" t="n">
        <x:v>78.94500000000001</x:v>
      </x:c>
      <x:c r="L10" s="7" t="n">
        <x:v>0</x:v>
      </x:c>
      <x:c r="M10" s="7" t="n">
        <x:v>78.94500000000001</x:v>
      </x:c>
      <x:c r="N10" s="7" t="n">
        <x:v>0</x:v>
      </x:c>
      <x:c r="O10" s="7" t="n">
        <x:f>IF(J10=0,"n.a.",100*(J10-K10)/J10)</x:f>
        <x:v>7.403652815013391</x:v>
      </x:c>
      <x:c r="P10" s="7" t="n">
        <x:f>IF(J10=0,"n.a.",100*(J10-M10)/J10)</x:f>
        <x:v>7.403652815013391</x:v>
      </x:c>
      <x:c r="Q10" s="7" t="n">
        <x:f>J10-K10</x:f>
        <x:v>6.312142857142845</x:v>
      </x:c>
      <x:c r="R10" s="7" t="n">
        <x:f>M10-K10</x:f>
        <x:v>0</x:v>
      </x:c>
      <x:c r="S10" s="2" t="str">
        <x:f>IF(J10-K10&gt;0.00000001,"improved",IF(K10-J10&gt;0.00000001,"worsened","unchanged"))</x:f>
        <x:v>improved</x:v>
      </x:c>
      <x:c r="T10" s="2" t="str">
        <x:f>IF(J10-M10&gt;0.00000001,"improved",IF(M10-J10&gt;0.00000001,"worsened","unchanged"))</x:f>
        <x:v>improved</x:v>
      </x:c>
      <x:c r="U10" s="2" t="str">
        <x:f>IF(R10&gt;0.00000001,"QAOA lower",IF(R10&lt; -0.00000001,"BPSO lower","tie"))</x:f>
        <x:v>tie</x:v>
      </x:c>
      <x:c r="V10" s="7" t="n">
        <x:v>78.94500000000001</x:v>
      </x:c>
      <x:c r="W10" s="7" t="n">
        <x:v>72.78181818181818</x:v>
      </x:c>
      <x:c r="X10" s="8" t="n">
        <x:v>0</x:v>
      </x:c>
      <x:c r="Y10" s="2" t="n">
        <x:v>5</x:v>
      </x:c>
    </x:row>
    <x:row r="11" ht="18" customHeight="1">
      <x:c r="A11" s="2" t="str">
        <x:v>legacy</x:v>
      </x:c>
      <x:c r="B11" s="2" t="n">
        <x:v>4</x:v>
      </x:c>
      <x:c r="C11" s="2" t="str">
        <x:v>legacy_n4_10</x:v>
      </x:c>
      <x:c r="D11" s="2" t="str">
        <x:v>Asymmetric Demand</x:v>
      </x:c>
      <x:c r="E11" s="2" t="str">
        <x:v>10</x:v>
      </x:c>
      <x:c r="F11" s="2" t="str">
        <x:v>ready</x:v>
      </x:c>
      <x:c r="G11" s="2" t="n">
        <x:v>9</x:v>
      </x:c>
      <x:c r="H11" s="2" t="n">
        <x:v>9</x:v>
      </x:c>
      <x:c r="I11" s="2" t="n">
        <x:v>0</x:v>
      </x:c>
      <x:c r="J11" s="7" t="n">
        <x:v>84.46666666666667</x:v>
      </x:c>
      <x:c r="K11" s="7" t="n">
        <x:v>75.96000000000001</x:v>
      </x:c>
      <x:c r="L11" s="7" t="n">
        <x:v>0</x:v>
      </x:c>
      <x:c r="M11" s="7" t="n">
        <x:v>75.96000000000001</x:v>
      </x:c>
      <x:c r="N11" s="7" t="n">
        <x:v>0</x:v>
      </x:c>
      <x:c r="O11" s="7" t="n">
        <x:f>IF(J11=0,"n.a.",100*(J11-K11)/J11)</x:f>
        <x:v>10.071033938437246</x:v>
      </x:c>
      <x:c r="P11" s="7" t="n">
        <x:f>IF(J11=0,"n.a.",100*(J11-M11)/J11)</x:f>
        <x:v>10.071033938437246</x:v>
      </x:c>
      <x:c r="Q11" s="7" t="n">
        <x:f>J11-K11</x:f>
        <x:v>8.50666666666666</x:v>
      </x:c>
      <x:c r="R11" s="7" t="n">
        <x:f>M11-K11</x:f>
        <x:v>0</x:v>
      </x:c>
      <x:c r="S11" s="2" t="str">
        <x:f>IF(J11-K11&gt;0.00000001,"improved",IF(K11-J11&gt;0.00000001,"worsened","unchanged"))</x:f>
        <x:v>improved</x:v>
      </x:c>
      <x:c r="T11" s="2" t="str">
        <x:f>IF(J11-M11&gt;0.00000001,"improved",IF(M11-J11&gt;0.00000001,"worsened","unchanged"))</x:f>
        <x:v>improved</x:v>
      </x:c>
      <x:c r="U11" s="2" t="str">
        <x:f>IF(R11&gt;0.00000001,"QAOA lower",IF(R11&lt; -0.00000001,"BPSO lower","tie"))</x:f>
        <x:v>tie</x:v>
      </x:c>
      <x:c r="V11" s="7" t="n">
        <x:v>75.96000000000001</x:v>
      </x:c>
      <x:c r="W11" s="7" t="n">
        <x:v>71.98636363636363</x:v>
      </x:c>
      <x:c r="X11" s="8" t="n">
        <x:v>3.3306690738754696e-16</x:v>
      </x:c>
      <x:c r="Y11" s="2" t="n">
        <x:v>5</x:v>
      </x:c>
    </x:row>
    <x:row r="12" ht="18" customHeight="1">
      <x:c r="A12" s="2" t="str">
        <x:v>legacy</x:v>
      </x:c>
      <x:c r="B12" s="2" t="n">
        <x:v>4</x:v>
      </x:c>
      <x:c r="C12" s="2" t="str">
        <x:v>legacy_n4_11</x:v>
      </x:c>
      <x:c r="D12" s="2" t="str">
        <x:v>Weather Slowdown</x:v>
      </x:c>
      <x:c r="E12" s="2" t="str">
        <x:v>11</x:v>
      </x:c>
      <x:c r="F12" s="2" t="str">
        <x:v>ready</x:v>
      </x:c>
      <x:c r="G12" s="2" t="n">
        <x:v>10</x:v>
      </x:c>
      <x:c r="H12" s="2" t="n">
        <x:v>15</x:v>
      </x:c>
      <x:c r="I12" s="2" t="n">
        <x:v>5</x:v>
      </x:c>
      <x:c r="J12" s="7" t="n">
        <x:v>84.8409090909091</x:v>
      </x:c>
      <x:c r="K12" s="7" t="n">
        <x:v>91.6590909090909</x:v>
      </x:c>
      <x:c r="L12" s="7" t="n">
        <x:v>0</x:v>
      </x:c>
      <x:c r="M12" s="7" t="n">
        <x:v>91.6590909090909</x:v>
      </x:c>
      <x:c r="N12" s="7" t="n">
        <x:v>0</x:v>
      </x:c>
      <x:c r="O12" s="7" t="n">
        <x:f>IF(J12=0,"n.a.",100*(J12-K12)/J12)</x:f>
        <x:v>-8.036431824270018</x:v>
      </x:c>
      <x:c r="P12" s="7" t="n">
        <x:f>IF(J12=0,"n.a.",100*(J12-M12)/J12)</x:f>
        <x:v>-8.036431824270018</x:v>
      </x:c>
      <x:c r="Q12" s="7" t="n">
        <x:f>J12-K12</x:f>
        <x:v>-6.818181818181813</x:v>
      </x:c>
      <x:c r="R12" s="7" t="n">
        <x:f>M12-K12</x:f>
        <x:v>0</x:v>
      </x:c>
      <x:c r="S12" s="2" t="str">
        <x:f>IF(J12-K12&gt;0.00000001,"improved",IF(K12-J12&gt;0.00000001,"worsened","unchanged"))</x:f>
        <x:v>worsened</x:v>
      </x:c>
      <x:c r="T12" s="2" t="str">
        <x:f>IF(J12-M12&gt;0.00000001,"improved",IF(M12-J12&gt;0.00000001,"worsened","unchanged"))</x:f>
        <x:v>worsened</x:v>
      </x:c>
      <x:c r="U12" s="2" t="str">
        <x:f>IF(R12&gt;0.00000001,"QAOA lower",IF(R12&lt; -0.00000001,"BPSO lower","tie"))</x:f>
        <x:v>tie</x:v>
      </x:c>
      <x:c r="V12" s="7" t="n">
        <x:v>91.6590909090909</x:v>
      </x:c>
      <x:c r="W12" s="7" t="n">
        <x:v>91.6590909090909</x:v>
      </x:c>
      <x:c r="X12" s="8" t="n">
        <x:v>0</x:v>
      </x:c>
      <x:c r="Y12" s="2" t="n">
        <x:v>5</x:v>
      </x:c>
    </x:row>
    <x:row r="13" ht="18" customHeight="1">
      <x:c r="A13" s="2" t="str">
        <x:v>legacy</x:v>
      </x:c>
      <x:c r="B13" s="2" t="n">
        <x:v>4</x:v>
      </x:c>
      <x:c r="C13" s="2" t="str">
        <x:v>legacy_n4_12</x:v>
      </x:c>
      <x:c r="D13" s="2" t="str">
        <x:v>Corridor Congestion</x:v>
      </x:c>
      <x:c r="E13" s="2" t="str">
        <x:v>12</x:v>
      </x:c>
      <x:c r="F13" s="2" t="str">
        <x:v>ready</x:v>
      </x:c>
      <x:c r="G13" s="2" t="n">
        <x:v>9</x:v>
      </x:c>
      <x:c r="H13" s="2" t="n">
        <x:v>9</x:v>
      </x:c>
      <x:c r="I13" s="2" t="n">
        <x:v>0</x:v>
      </x:c>
      <x:c r="J13" s="7" t="n">
        <x:v>84</x:v>
      </x:c>
      <x:c r="K13" s="7" t="n">
        <x:v>77.825</x:v>
      </x:c>
      <x:c r="L13" s="7" t="n">
        <x:v>0</x:v>
      </x:c>
      <x:c r="M13" s="7" t="n">
        <x:v>77.825</x:v>
      </x:c>
      <x:c r="N13" s="7" t="n">
        <x:v>0</x:v>
      </x:c>
      <x:c r="O13" s="7" t="n">
        <x:f>IF(J13=0,"n.a.",100*(J13-K13)/J13)</x:f>
        <x:v>7.351190476190474</x:v>
      </x:c>
      <x:c r="P13" s="7" t="n">
        <x:f>IF(J13=0,"n.a.",100*(J13-M13)/J13)</x:f>
        <x:v>7.351190476190474</x:v>
      </x:c>
      <x:c r="Q13" s="7" t="n">
        <x:f>J13-K13</x:f>
        <x:v>6.174999999999997</x:v>
      </x:c>
      <x:c r="R13" s="7" t="n">
        <x:f>M13-K13</x:f>
        <x:v>0</x:v>
      </x:c>
      <x:c r="S13" s="2" t="str">
        <x:f>IF(J13-K13&gt;0.00000001,"improved",IF(K13-J13&gt;0.00000001,"worsened","unchanged"))</x:f>
        <x:v>improved</x:v>
      </x:c>
      <x:c r="T13" s="2" t="str">
        <x:f>IF(J13-M13&gt;0.00000001,"improved",IF(M13-J13&gt;0.00000001,"worsened","unchanged"))</x:f>
        <x:v>improved</x:v>
      </x:c>
      <x:c r="U13" s="2" t="str">
        <x:f>IF(R13&gt;0.00000001,"QAOA lower",IF(R13&lt; -0.00000001,"BPSO lower","tie"))</x:f>
        <x:v>tie</x:v>
      </x:c>
      <x:c r="V13" s="7" t="n">
        <x:v>77.825</x:v>
      </x:c>
      <x:c r="W13" s="7" t="n">
        <x:v>77.825</x:v>
      </x:c>
      <x:c r="X13" s="8" t="n">
        <x:v>0</x:v>
      </x:c>
      <x:c r="Y13" s="2" t="n">
        <x:v>5</x:v>
      </x:c>
    </x:row>
    <x:row r="14" ht="18" customHeight="1">
      <x:c r="A14" s="2" t="str">
        <x:v>legacy</x:v>
      </x:c>
      <x:c r="B14" s="2" t="n">
        <x:v>4</x:v>
      </x:c>
      <x:c r="C14" s="2" t="str">
        <x:v>legacy_n4_13</x:v>
      </x:c>
      <x:c r="D14" s="2" t="str">
        <x:v>Freight Corridor</x:v>
      </x:c>
      <x:c r="E14" s="2" t="str">
        <x:v>13</x:v>
      </x:c>
      <x:c r="F14" s="2" t="str">
        <x:v>ready</x:v>
      </x:c>
      <x:c r="G14" s="2" t="n">
        <x:v>5</x:v>
      </x:c>
      <x:c r="H14" s="2" t="n">
        <x:v>5</x:v>
      </x:c>
      <x:c r="I14" s="2" t="n">
        <x:v>0</x:v>
      </x:c>
      <x:c r="J14" s="7" t="n">
        <x:v>76.73478260869565</x:v>
      </x:c>
      <x:c r="K14" s="7" t="n">
        <x:v>56.794444444444444</x:v>
      </x:c>
      <x:c r="L14" s="7" t="n">
        <x:v>0</x:v>
      </x:c>
      <x:c r="M14" s="7" t="n">
        <x:v>56.794444444444444</x:v>
      </x:c>
      <x:c r="N14" s="7" t="n">
        <x:v>0</x:v>
      </x:c>
      <x:c r="O14" s="7" t="n">
        <x:f>IF(J14=0,"n.a.",100*(J14-K14)/J14)</x:f>
        <x:v>25.986048942023785</x:v>
      </x:c>
      <x:c r="P14" s="7" t="n">
        <x:f>IF(J14=0,"n.a.",100*(J14-M14)/J14)</x:f>
        <x:v>25.986048942023785</x:v>
      </x:c>
      <x:c r="Q14" s="7" t="n">
        <x:f>J14-K14</x:f>
        <x:v>19.94033816425121</x:v>
      </x:c>
      <x:c r="R14" s="7" t="n">
        <x:f>M14-K14</x:f>
        <x:v>0</x:v>
      </x:c>
      <x:c r="S14" s="2" t="str">
        <x:f>IF(J14-K14&gt;0.00000001,"improved",IF(K14-J14&gt;0.00000001,"worsened","unchanged"))</x:f>
        <x:v>improved</x:v>
      </x:c>
      <x:c r="T14" s="2" t="str">
        <x:f>IF(J14-M14&gt;0.00000001,"improved",IF(M14-J14&gt;0.00000001,"worsened","unchanged"))</x:f>
        <x:v>improved</x:v>
      </x:c>
      <x:c r="U14" s="2" t="str">
        <x:f>IF(R14&gt;0.00000001,"QAOA lower",IF(R14&lt; -0.00000001,"BPSO lower","tie"))</x:f>
        <x:v>tie</x:v>
      </x:c>
      <x:c r="V14" s="7" t="n">
        <x:v>56.794444444444444</x:v>
      </x:c>
      <x:c r="W14" s="7" t="n">
        <x:v>56.794444444444444</x:v>
      </x:c>
      <x:c r="X14" s="8" t="n">
        <x:v>0</x:v>
      </x:c>
      <x:c r="Y14" s="2" t="n">
        <x:v>5</x:v>
      </x:c>
    </x:row>
    <x:row r="15" ht="18" customHeight="1">
      <x:c r="A15" s="2" t="str">
        <x:v>legacy</x:v>
      </x:c>
      <x:c r="B15" s="2" t="n">
        <x:v>4</x:v>
      </x:c>
      <x:c r="C15" s="2" t="str">
        <x:v>legacy_n4_14</x:v>
      </x:c>
      <x:c r="D15" s="2" t="str">
        <x:v>Multiple Bottlenecks</x:v>
      </x:c>
      <x:c r="E15" s="2" t="str">
        <x:v>14</x:v>
      </x:c>
      <x:c r="F15" s="2" t="str">
        <x:v>ready</x:v>
      </x:c>
      <x:c r="G15" s="2" t="n">
        <x:v>10</x:v>
      </x:c>
      <x:c r="H15" s="2" t="n">
        <x:v>11</x:v>
      </x:c>
      <x:c r="I15" s="2" t="n">
        <x:v>1</x:v>
      </x:c>
      <x:c r="J15" s="7" t="n">
        <x:v>84.33684210526316</x:v>
      </x:c>
      <x:c r="K15" s="7" t="n">
        <x:v>89.43684210526315</x:v>
      </x:c>
      <x:c r="L15" s="7" t="n">
        <x:v>0</x:v>
      </x:c>
      <x:c r="M15" s="7" t="n">
        <x:v>89.43684210526315</x:v>
      </x:c>
      <x:c r="N15" s="7" t="n">
        <x:v>0</x:v>
      </x:c>
      <x:c r="O15" s="7" t="n">
        <x:f>IF(J15=0,"n.a.",100*(J15-K15)/J15)</x:f>
        <x:v>-6.0471792311532635</x:v>
      </x:c>
      <x:c r="P15" s="7" t="n">
        <x:f>IF(J15=0,"n.a.",100*(J15-M15)/J15)</x:f>
        <x:v>-6.0471792311532635</x:v>
      </x:c>
      <x:c r="Q15" s="7" t="n">
        <x:f>J15-K15</x:f>
        <x:v>-5.099999999999994</x:v>
      </x:c>
      <x:c r="R15" s="7" t="n">
        <x:f>M15-K15</x:f>
        <x:v>0</x:v>
      </x:c>
      <x:c r="S15" s="2" t="str">
        <x:f>IF(J15-K15&gt;0.00000001,"improved",IF(K15-J15&gt;0.00000001,"worsened","unchanged"))</x:f>
        <x:v>worsened</x:v>
      </x:c>
      <x:c r="T15" s="2" t="str">
        <x:f>IF(J15-M15&gt;0.00000001,"improved",IF(M15-J15&gt;0.00000001,"worsened","unchanged"))</x:f>
        <x:v>worsened</x:v>
      </x:c>
      <x:c r="U15" s="2" t="str">
        <x:f>IF(R15&gt;0.00000001,"QAOA lower",IF(R15&lt; -0.00000001,"BPSO lower","tie"))</x:f>
        <x:v>tie</x:v>
      </x:c>
      <x:c r="V15" s="7" t="n">
        <x:v>89.43684210526315</x:v>
      </x:c>
      <x:c r="W15" s="7" t="n">
        <x:v>81.5421052631579</x:v>
      </x:c>
      <x:c r="X15" s="8" t="n">
        <x:v>0</x:v>
      </x:c>
      <x:c r="Y15" s="2" t="n">
        <x:v>5</x:v>
      </x:c>
    </x:row>
    <x:row r="16" ht="18" customHeight="1">
      <x:c r="A16" s="2" t="str">
        <x:v>legacy</x:v>
      </x:c>
      <x:c r="B16" s="2" t="n">
        <x:v>4</x:v>
      </x:c>
      <x:c r="C16" s="2" t="str">
        <x:v>legacy_n4_15</x:v>
      </x:c>
      <x:c r="D16" s="2" t="str">
        <x:v>Off-Peak Baseline</x:v>
      </x:c>
      <x:c r="E16" s="2" t="str">
        <x:v>15</x:v>
      </x:c>
      <x:c r="F16" s="2" t="str">
        <x:v>ready</x:v>
      </x:c>
      <x:c r="G16" s="2" t="n">
        <x:v>4</x:v>
      </x:c>
      <x:c r="H16" s="2" t="n">
        <x:v>4</x:v>
      </x:c>
      <x:c r="I16" s="2" t="n">
        <x:v>0</x:v>
      </x:c>
      <x:c r="J16" s="7" t="n">
        <x:v>81.78235294117647</x:v>
      </x:c>
      <x:c r="K16" s="7" t="n">
        <x:v>59.210526315789465</x:v>
      </x:c>
      <x:c r="L16" s="7" t="n">
        <x:v>0</x:v>
      </x:c>
      <x:c r="M16" s="7" t="n">
        <x:v>59.210526315789465</x:v>
      </x:c>
      <x:c r="N16" s="7" t="n">
        <x:v>0</x:v>
      </x:c>
      <x:c r="O16" s="7" t="n">
        <x:f>IF(J16=0,"n.a.",100*(J16-K16)/J16)</x:f>
        <x:v>27.599874317167448</x:v>
      </x:c>
      <x:c r="P16" s="7" t="n">
        <x:f>IF(J16=0,"n.a.",100*(J16-M16)/J16)</x:f>
        <x:v>27.599874317167448</x:v>
      </x:c>
      <x:c r="Q16" s="7" t="n">
        <x:f>J16-K16</x:f>
        <x:v>22.571826625387004</x:v>
      </x:c>
      <x:c r="R16" s="7" t="n">
        <x:f>M16-K16</x:f>
        <x:v>0</x:v>
      </x:c>
      <x:c r="S16" s="2" t="str">
        <x:f>IF(J16-K16&gt;0.00000001,"improved",IF(K16-J16&gt;0.00000001,"worsened","unchanged"))</x:f>
        <x:v>improved</x:v>
      </x:c>
      <x:c r="T16" s="2" t="str">
        <x:f>IF(J16-M16&gt;0.00000001,"improved",IF(M16-J16&gt;0.00000001,"worsened","unchanged"))</x:f>
        <x:v>improved</x:v>
      </x:c>
      <x:c r="U16" s="2" t="str">
        <x:f>IF(R16&gt;0.00000001,"QAOA lower",IF(R16&lt; -0.00000001,"BPSO lower","tie"))</x:f>
        <x:v>tie</x:v>
      </x:c>
      <x:c r="V16" s="7" t="n">
        <x:v>59.210526315789465</x:v>
      </x:c>
      <x:c r="W16" s="7" t="n">
        <x:v>59.210526315789465</x:v>
      </x:c>
      <x:c r="X16" s="8" t="n">
        <x:v>0</x:v>
      </x:c>
      <x:c r="Y16" s="2" t="n">
        <x:v>5</x:v>
      </x:c>
    </x:row>
    <x:row r="17" ht="18" customHeight="1">
      <x:c r="A17" s="2" t="str">
        <x:v>controlled</x:v>
      </x:c>
      <x:c r="B17" s="2" t="n">
        <x:v>4</x:v>
      </x:c>
      <x:c r="C17" s="2" t="str">
        <x:v>controlled_n4_off_peak_1</x:v>
      </x:c>
      <x:c r="D17" s="2" t="str">
        <x:v>off_peak</x:v>
      </x:c>
      <x:c r="E17" s="2" t="n">
        <x:v>0.2</x:v>
      </x:c>
      <x:c r="F17" s="2" t="str">
        <x:v>no_congestion</x:v>
      </x:c>
      <x:c r="G17" s="2" t="n">
        <x:v>0</x:v>
      </x:c>
      <x:c r="H17" s="2" t="n">
        <x:v>0</x:v>
      </x:c>
      <x:c r="I17" s="2" t="n">
        <x:v>0</x:v>
      </x:c>
      <x:c r="J17" s="7" t="n">
        <x:v>20</x:v>
      </x:c>
      <x:c r="K17" s="7" t="n">
        <x:v>20</x:v>
      </x:c>
      <x:c r="L17" s="7" t="n">
        <x:v>0</x:v>
      </x:c>
      <x:c r="M17" s="7" t="n">
        <x:v>20</x:v>
      </x:c>
      <x:c r="N17" s="7" t="n">
        <x:v>0</x:v>
      </x:c>
      <x:c r="O17" s="7" t="n">
        <x:f>IF(J17=0,"n.a.",100*(J17-K17)/J17)</x:f>
        <x:v>0</x:v>
      </x:c>
      <x:c r="P17" s="7" t="n">
        <x:f>IF(J17=0,"n.a.",100*(J17-M17)/J17)</x:f>
        <x:v>0</x:v>
      </x:c>
      <x:c r="Q17" s="7" t="n">
        <x:f>J17-K17</x:f>
        <x:v>0</x:v>
      </x:c>
      <x:c r="R17" s="7" t="n">
        <x:f>M17-K17</x:f>
        <x:v>0</x:v>
      </x:c>
      <x:c r="S17" s="2" t="str">
        <x:f>IF(J17-K17&gt;0.00000001,"improved",IF(K17-J17&gt;0.00000001,"worsened","unchanged"))</x:f>
        <x:v>unchanged</x:v>
      </x:c>
      <x:c r="T17" s="2" t="str">
        <x:f>IF(J17-M17&gt;0.00000001,"improved",IF(M17-J17&gt;0.00000001,"worsened","unchanged"))</x:f>
        <x:v>unchanged</x:v>
      </x:c>
      <x:c r="U17" s="2" t="str">
        <x:f>IF(R17&gt;0.00000001,"QAOA lower",IF(R17&lt; -0.00000001,"BPSO lower","tie"))</x:f>
        <x:v>tie</x:v>
      </x:c>
      <x:c r="V17" s="7" t="n">
        <x:v>20</x:v>
      </x:c>
      <x:c r="W17" s="7" t="n">
        <x:v>20</x:v>
      </x:c>
      <x:c r="X17" s="8" t="n">
        <x:v>0</x:v>
      </x:c>
      <x:c r="Y17" s="2" t="n">
        <x:v>5</x:v>
      </x:c>
    </x:row>
    <x:row r="18" ht="18" customHeight="1">
      <x:c r="A18" s="2" t="str">
        <x:v>controlled</x:v>
      </x:c>
      <x:c r="B18" s="2" t="n">
        <x:v>4</x:v>
      </x:c>
      <x:c r="C18" s="2" t="str">
        <x:v>controlled_n4_off_peak_2</x:v>
      </x:c>
      <x:c r="D18" s="2" t="str">
        <x:v>off_peak</x:v>
      </x:c>
      <x:c r="E18" s="2" t="n">
        <x:v>0.3</x:v>
      </x:c>
      <x:c r="F18" s="2" t="str">
        <x:v>no_congestion</x:v>
      </x:c>
      <x:c r="G18" s="2" t="n">
        <x:v>0</x:v>
      </x:c>
      <x:c r="H18" s="2" t="n">
        <x:v>0</x:v>
      </x:c>
      <x:c r="I18" s="2" t="n">
        <x:v>0</x:v>
      </x:c>
      <x:c r="J18" s="7" t="n">
        <x:v>30</x:v>
      </x:c>
      <x:c r="K18" s="7" t="n">
        <x:v>30</x:v>
      </x:c>
      <x:c r="L18" s="7" t="n">
        <x:v>0</x:v>
      </x:c>
      <x:c r="M18" s="7" t="n">
        <x:v>30</x:v>
      </x:c>
      <x:c r="N18" s="7" t="n">
        <x:v>0</x:v>
      </x:c>
      <x:c r="O18" s="7" t="n">
        <x:f>IF(J18=0,"n.a.",100*(J18-K18)/J18)</x:f>
        <x:v>0</x:v>
      </x:c>
      <x:c r="P18" s="7" t="n">
        <x:f>IF(J18=0,"n.a.",100*(J18-M18)/J18)</x:f>
        <x:v>0</x:v>
      </x:c>
      <x:c r="Q18" s="7" t="n">
        <x:f>J18-K18</x:f>
        <x:v>0</x:v>
      </x:c>
      <x:c r="R18" s="7" t="n">
        <x:f>M18-K18</x:f>
        <x:v>0</x:v>
      </x:c>
      <x:c r="S18" s="2" t="str">
        <x:f>IF(J18-K18&gt;0.00000001,"improved",IF(K18-J18&gt;0.00000001,"worsened","unchanged"))</x:f>
        <x:v>unchanged</x:v>
      </x:c>
      <x:c r="T18" s="2" t="str">
        <x:f>IF(J18-M18&gt;0.00000001,"improved",IF(M18-J18&gt;0.00000001,"worsened","unchanged"))</x:f>
        <x:v>unchanged</x:v>
      </x:c>
      <x:c r="U18" s="2" t="str">
        <x:f>IF(R18&gt;0.00000001,"QAOA lower",IF(R18&lt; -0.00000001,"BPSO lower","tie"))</x:f>
        <x:v>tie</x:v>
      </x:c>
      <x:c r="V18" s="7" t="n">
        <x:v>30</x:v>
      </x:c>
      <x:c r="W18" s="7" t="n">
        <x:v>30</x:v>
      </x:c>
      <x:c r="X18" s="8" t="n">
        <x:v>0</x:v>
      </x:c>
      <x:c r="Y18" s="2" t="n">
        <x:v>5</x:v>
      </x:c>
    </x:row>
    <x:row r="19" ht="18" customHeight="1">
      <x:c r="A19" s="2" t="str">
        <x:v>controlled</x:v>
      </x:c>
      <x:c r="B19" s="2" t="n">
        <x:v>4</x:v>
      </x:c>
      <x:c r="C19" s="2" t="str">
        <x:v>controlled_n4_off_peak_3</x:v>
      </x:c>
      <x:c r="D19" s="2" t="str">
        <x:v>off_peak</x:v>
      </x:c>
      <x:c r="E19" s="2" t="n">
        <x:v>0.4</x:v>
      </x:c>
      <x:c r="F19" s="2" t="str">
        <x:v>no_congestion</x:v>
      </x:c>
      <x:c r="G19" s="2" t="n">
        <x:v>0</x:v>
      </x:c>
      <x:c r="H19" s="2" t="n">
        <x:v>0</x:v>
      </x:c>
      <x:c r="I19" s="2" t="n">
        <x:v>0</x:v>
      </x:c>
      <x:c r="J19" s="7" t="n">
        <x:v>40</x:v>
      </x:c>
      <x:c r="K19" s="7" t="n">
        <x:v>40</x:v>
      </x:c>
      <x:c r="L19" s="7" t="n">
        <x:v>0</x:v>
      </x:c>
      <x:c r="M19" s="7" t="n">
        <x:v>40</x:v>
      </x:c>
      <x:c r="N19" s="7" t="n">
        <x:v>0</x:v>
      </x:c>
      <x:c r="O19" s="7" t="n">
        <x:f>IF(J19=0,"n.a.",100*(J19-K19)/J19)</x:f>
        <x:v>0</x:v>
      </x:c>
      <x:c r="P19" s="7" t="n">
        <x:f>IF(J19=0,"n.a.",100*(J19-M19)/J19)</x:f>
        <x:v>0</x:v>
      </x:c>
      <x:c r="Q19" s="7" t="n">
        <x:f>J19-K19</x:f>
        <x:v>0</x:v>
      </x:c>
      <x:c r="R19" s="7" t="n">
        <x:f>M19-K19</x:f>
        <x:v>0</x:v>
      </x:c>
      <x:c r="S19" s="2" t="str">
        <x:f>IF(J19-K19&gt;0.00000001,"improved",IF(K19-J19&gt;0.00000001,"worsened","unchanged"))</x:f>
        <x:v>unchanged</x:v>
      </x:c>
      <x:c r="T19" s="2" t="str">
        <x:f>IF(J19-M19&gt;0.00000001,"improved",IF(M19-J19&gt;0.00000001,"worsened","unchanged"))</x:f>
        <x:v>unchanged</x:v>
      </x:c>
      <x:c r="U19" s="2" t="str">
        <x:f>IF(R19&gt;0.00000001,"QAOA lower",IF(R19&lt; -0.00000001,"BPSO lower","tie"))</x:f>
        <x:v>tie</x:v>
      </x:c>
      <x:c r="V19" s="7" t="n">
        <x:v>40</x:v>
      </x:c>
      <x:c r="W19" s="7" t="n">
        <x:v>40</x:v>
      </x:c>
      <x:c r="X19" s="8" t="n">
        <x:v>0</x:v>
      </x:c>
      <x:c r="Y19" s="2" t="n">
        <x:v>5</x:v>
      </x:c>
    </x:row>
    <x:row r="20" ht="18" customHeight="1">
      <x:c r="A20" s="2" t="str">
        <x:v>controlled</x:v>
      </x:c>
      <x:c r="B20" s="2" t="n">
        <x:v>4</x:v>
      </x:c>
      <x:c r="C20" s="2" t="str">
        <x:v>controlled_n4_threshold_1</x:v>
      </x:c>
      <x:c r="D20" s="2" t="str">
        <x:v>threshold</x:v>
      </x:c>
      <x:c r="E20" s="2" t="n">
        <x:v>0.59</x:v>
      </x:c>
      <x:c r="F20" s="2" t="str">
        <x:v>no_congestion</x:v>
      </x:c>
      <x:c r="G20" s="2" t="n">
        <x:v>0</x:v>
      </x:c>
      <x:c r="H20" s="2" t="n">
        <x:v>0</x:v>
      </x:c>
      <x:c r="I20" s="2" t="n">
        <x:v>0</x:v>
      </x:c>
      <x:c r="J20" s="7" t="n">
        <x:v>59</x:v>
      </x:c>
      <x:c r="K20" s="7" t="n">
        <x:v>59</x:v>
      </x:c>
      <x:c r="L20" s="7" t="n">
        <x:v>0</x:v>
      </x:c>
      <x:c r="M20" s="7" t="n">
        <x:v>59</x:v>
      </x:c>
      <x:c r="N20" s="7" t="n">
        <x:v>0</x:v>
      </x:c>
      <x:c r="O20" s="7" t="n">
        <x:f>IF(J20=0,"n.a.",100*(J20-K20)/J20)</x:f>
        <x:v>0</x:v>
      </x:c>
      <x:c r="P20" s="7" t="n">
        <x:f>IF(J20=0,"n.a.",100*(J20-M20)/J20)</x:f>
        <x:v>0</x:v>
      </x:c>
      <x:c r="Q20" s="7" t="n">
        <x:f>J20-K20</x:f>
        <x:v>0</x:v>
      </x:c>
      <x:c r="R20" s="7" t="n">
        <x:f>M20-K20</x:f>
        <x:v>0</x:v>
      </x:c>
      <x:c r="S20" s="2" t="str">
        <x:f>IF(J20-K20&gt;0.00000001,"improved",IF(K20-J20&gt;0.00000001,"worsened","unchanged"))</x:f>
        <x:v>unchanged</x:v>
      </x:c>
      <x:c r="T20" s="2" t="str">
        <x:f>IF(J20-M20&gt;0.00000001,"improved",IF(M20-J20&gt;0.00000001,"worsened","unchanged"))</x:f>
        <x:v>unchanged</x:v>
      </x:c>
      <x:c r="U20" s="2" t="str">
        <x:f>IF(R20&gt;0.00000001,"QAOA lower",IF(R20&lt; -0.00000001,"BPSO lower","tie"))</x:f>
        <x:v>tie</x:v>
      </x:c>
      <x:c r="V20" s="7" t="n">
        <x:v>59</x:v>
      </x:c>
      <x:c r="W20" s="7" t="n">
        <x:v>59</x:v>
      </x:c>
      <x:c r="X20" s="8" t="n">
        <x:v>0</x:v>
      </x:c>
      <x:c r="Y20" s="2" t="n">
        <x:v>5</x:v>
      </x:c>
    </x:row>
    <x:row r="21" ht="18" customHeight="1">
      <x:c r="A21" s="2" t="str">
        <x:v>controlled</x:v>
      </x:c>
      <x:c r="B21" s="2" t="n">
        <x:v>4</x:v>
      </x:c>
      <x:c r="C21" s="2" t="str">
        <x:v>controlled_n4_threshold_2</x:v>
      </x:c>
      <x:c r="D21" s="2" t="str">
        <x:v>threshold</x:v>
      </x:c>
      <x:c r="E21" s="2" t="n">
        <x:v>0.6</x:v>
      </x:c>
      <x:c r="F21" s="2" t="str">
        <x:v>no_congestion</x:v>
      </x:c>
      <x:c r="G21" s="2" t="n">
        <x:v>0</x:v>
      </x:c>
      <x:c r="H21" s="2" t="n">
        <x:v>0</x:v>
      </x:c>
      <x:c r="I21" s="2" t="n">
        <x:v>0</x:v>
      </x:c>
      <x:c r="J21" s="7" t="n">
        <x:v>60</x:v>
      </x:c>
      <x:c r="K21" s="7" t="n">
        <x:v>60</x:v>
      </x:c>
      <x:c r="L21" s="7" t="n">
        <x:v>0</x:v>
      </x:c>
      <x:c r="M21" s="7" t="n">
        <x:v>60</x:v>
      </x:c>
      <x:c r="N21" s="7" t="n">
        <x:v>0</x:v>
      </x:c>
      <x:c r="O21" s="7" t="n">
        <x:f>IF(J21=0,"n.a.",100*(J21-K21)/J21)</x:f>
        <x:v>0</x:v>
      </x:c>
      <x:c r="P21" s="7" t="n">
        <x:f>IF(J21=0,"n.a.",100*(J21-M21)/J21)</x:f>
        <x:v>0</x:v>
      </x:c>
      <x:c r="Q21" s="7" t="n">
        <x:f>J21-K21</x:f>
        <x:v>0</x:v>
      </x:c>
      <x:c r="R21" s="7" t="n">
        <x:f>M21-K21</x:f>
        <x:v>0</x:v>
      </x:c>
      <x:c r="S21" s="2" t="str">
        <x:f>IF(J21-K21&gt;0.00000001,"improved",IF(K21-J21&gt;0.00000001,"worsened","unchanged"))</x:f>
        <x:v>unchanged</x:v>
      </x:c>
      <x:c r="T21" s="2" t="str">
        <x:f>IF(J21-M21&gt;0.00000001,"improved",IF(M21-J21&gt;0.00000001,"worsened","unchanged"))</x:f>
        <x:v>unchanged</x:v>
      </x:c>
      <x:c r="U21" s="2" t="str">
        <x:f>IF(R21&gt;0.00000001,"QAOA lower",IF(R21&lt; -0.00000001,"BPSO lower","tie"))</x:f>
        <x:v>tie</x:v>
      </x:c>
      <x:c r="V21" s="7" t="n">
        <x:v>60</x:v>
      </x:c>
      <x:c r="W21" s="7" t="n">
        <x:v>60</x:v>
      </x:c>
      <x:c r="X21" s="8" t="n">
        <x:v>0</x:v>
      </x:c>
      <x:c r="Y21" s="2" t="n">
        <x:v>5</x:v>
      </x:c>
    </x:row>
    <x:row r="22" ht="18" customHeight="1">
      <x:c r="A22" s="2" t="str">
        <x:v>controlled</x:v>
      </x:c>
      <x:c r="B22" s="2" t="n">
        <x:v>4</x:v>
      </x:c>
      <x:c r="C22" s="2" t="str">
        <x:v>controlled_n4_threshold_3</x:v>
      </x:c>
      <x:c r="D22" s="2" t="str">
        <x:v>threshold</x:v>
      </x:c>
      <x:c r="E22" s="2" t="n">
        <x:v>0.61</x:v>
      </x:c>
      <x:c r="F22" s="2" t="str">
        <x:v>ready</x:v>
      </x:c>
      <x:c r="G22" s="2" t="n">
        <x:v>2</x:v>
      </x:c>
      <x:c r="H22" s="2" t="n">
        <x:v>2</x:v>
      </x:c>
      <x:c r="I22" s="2" t="n">
        <x:v>0</x:v>
      </x:c>
      <x:c r="J22" s="7" t="n">
        <x:v>61</x:v>
      </x:c>
      <x:c r="K22" s="7" t="n">
        <x:v>48.5</x:v>
      </x:c>
      <x:c r="L22" s="7" t="n">
        <x:v>0</x:v>
      </x:c>
      <x:c r="M22" s="7" t="n">
        <x:v>48.5</x:v>
      </x:c>
      <x:c r="N22" s="7" t="n">
        <x:v>0</x:v>
      </x:c>
      <x:c r="O22" s="7" t="n">
        <x:f>IF(J22=0,"n.a.",100*(J22-K22)/J22)</x:f>
        <x:v>20.491803278688526</x:v>
      </x:c>
      <x:c r="P22" s="7" t="n">
        <x:f>IF(J22=0,"n.a.",100*(J22-M22)/J22)</x:f>
        <x:v>20.491803278688526</x:v>
      </x:c>
      <x:c r="Q22" s="7" t="n">
        <x:f>J22-K22</x:f>
        <x:v>12.5</x:v>
      </x:c>
      <x:c r="R22" s="7" t="n">
        <x:f>M22-K22</x:f>
        <x:v>0</x:v>
      </x:c>
      <x:c r="S22" s="2" t="str">
        <x:f>IF(J22-K22&gt;0.00000001,"improved",IF(K22-J22&gt;0.00000001,"worsened","unchanged"))</x:f>
        <x:v>improved</x:v>
      </x:c>
      <x:c r="T22" s="2" t="str">
        <x:f>IF(J22-M22&gt;0.00000001,"improved",IF(M22-J22&gt;0.00000001,"worsened","unchanged"))</x:f>
        <x:v>improved</x:v>
      </x:c>
      <x:c r="U22" s="2" t="str">
        <x:f>IF(R22&gt;0.00000001,"QAOA lower",IF(R22&lt; -0.00000001,"BPSO lower","tie"))</x:f>
        <x:v>tie</x:v>
      </x:c>
      <x:c r="V22" s="7" t="n">
        <x:v>48.5</x:v>
      </x:c>
      <x:c r="W22" s="7" t="n">
        <x:v>48.5</x:v>
      </x:c>
      <x:c r="X22" s="8" t="n">
        <x:v>0</x:v>
      </x:c>
      <x:c r="Y22" s="2" t="n">
        <x:v>5</x:v>
      </x:c>
    </x:row>
    <x:row r="23" ht="18" customHeight="1">
      <x:c r="A23" s="2" t="str">
        <x:v>controlled</x:v>
      </x:c>
      <x:c r="B23" s="2" t="n">
        <x:v>4</x:v>
      </x:c>
      <x:c r="C23" s="2" t="str">
        <x:v>controlled_n4_single_bottleneck_1</x:v>
      </x:c>
      <x:c r="D23" s="2" t="str">
        <x:v>single_bottleneck</x:v>
      </x:c>
      <x:c r="E23" s="2" t="n">
        <x:v>0.65</x:v>
      </x:c>
      <x:c r="F23" s="2" t="str">
        <x:v>ready</x:v>
      </x:c>
      <x:c r="G23" s="2" t="n">
        <x:v>3</x:v>
      </x:c>
      <x:c r="H23" s="2" t="n">
        <x:v>3</x:v>
      </x:c>
      <x:c r="I23" s="2" t="n">
        <x:v>0</x:v>
      </x:c>
      <x:c r="J23" s="7" t="n">
        <x:v>65</x:v>
      </x:c>
      <x:c r="K23" s="7" t="n">
        <x:v>46.666666666666664</x:v>
      </x:c>
      <x:c r="L23" s="7" t="n">
        <x:v>0</x:v>
      </x:c>
      <x:c r="M23" s="7" t="n">
        <x:v>46.666666666666664</x:v>
      </x:c>
      <x:c r="N23" s="7" t="n">
        <x:v>0</x:v>
      </x:c>
      <x:c r="O23" s="7" t="n">
        <x:f>IF(J23=0,"n.a.",100*(J23-K23)/J23)</x:f>
        <x:v>28.205128205128208</x:v>
      </x:c>
      <x:c r="P23" s="7" t="n">
        <x:f>IF(J23=0,"n.a.",100*(J23-M23)/J23)</x:f>
        <x:v>28.205128205128208</x:v>
      </x:c>
      <x:c r="Q23" s="7" t="n">
        <x:f>J23-K23</x:f>
        <x:v>18.333333333333336</x:v>
      </x:c>
      <x:c r="R23" s="7" t="n">
        <x:f>M23-K23</x:f>
        <x:v>0</x:v>
      </x:c>
      <x:c r="S23" s="2" t="str">
        <x:f>IF(J23-K23&gt;0.00000001,"improved",IF(K23-J23&gt;0.00000001,"worsened","unchanged"))</x:f>
        <x:v>improved</x:v>
      </x:c>
      <x:c r="T23" s="2" t="str">
        <x:f>IF(J23-M23&gt;0.00000001,"improved",IF(M23-J23&gt;0.00000001,"worsened","unchanged"))</x:f>
        <x:v>improved</x:v>
      </x:c>
      <x:c r="U23" s="2" t="str">
        <x:f>IF(R23&gt;0.00000001,"QAOA lower",IF(R23&lt; -0.00000001,"BPSO lower","tie"))</x:f>
        <x:v>tie</x:v>
      </x:c>
      <x:c r="V23" s="7" t="n">
        <x:v>46.666666666666664</x:v>
      </x:c>
      <x:c r="W23" s="7" t="n">
        <x:v>46.666666666666664</x:v>
      </x:c>
      <x:c r="X23" s="8" t="n">
        <x:v>0</x:v>
      </x:c>
      <x:c r="Y23" s="2" t="n">
        <x:v>5</x:v>
      </x:c>
    </x:row>
    <x:row r="24" ht="18" customHeight="1">
      <x:c r="A24" s="2" t="str">
        <x:v>controlled</x:v>
      </x:c>
      <x:c r="B24" s="2" t="n">
        <x:v>4</x:v>
      </x:c>
      <x:c r="C24" s="2" t="str">
        <x:v>controlled_n4_single_bottleneck_2</x:v>
      </x:c>
      <x:c r="D24" s="2" t="str">
        <x:v>single_bottleneck</x:v>
      </x:c>
      <x:c r="E24" s="2" t="n">
        <x:v>0.8</x:v>
      </x:c>
      <x:c r="F24" s="2" t="str">
        <x:v>ready</x:v>
      </x:c>
      <x:c r="G24" s="2" t="n">
        <x:v>5</x:v>
      </x:c>
      <x:c r="H24" s="2" t="n">
        <x:v>5</x:v>
      </x:c>
      <x:c r="I24" s="2" t="n">
        <x:v>0</x:v>
      </x:c>
      <x:c r="J24" s="7" t="n">
        <x:v>80</x:v>
      </x:c>
      <x:c r="K24" s="7" t="n">
        <x:v>55.000000000000014</x:v>
      </x:c>
      <x:c r="L24" s="7" t="n">
        <x:v>7.944109290391274e-15</x:v>
      </x:c>
      <x:c r="M24" s="7" t="n">
        <x:v>55.000000000000014</x:v>
      </x:c>
      <x:c r="N24" s="7" t="n">
        <x:v>7.944109290391274e-15</x:v>
      </x:c>
      <x:c r="O24" s="7" t="n">
        <x:f>IF(J24=0,"n.a.",100*(J24-K24)/J24)</x:f>
        <x:v>31.249999999999982</x:v>
      </x:c>
      <x:c r="P24" s="7" t="n">
        <x:f>IF(J24=0,"n.a.",100*(J24-M24)/J24)</x:f>
        <x:v>31.249999999999982</x:v>
      </x:c>
      <x:c r="Q24" s="7" t="n">
        <x:f>J24-K24</x:f>
        <x:v>24.999999999999986</x:v>
      </x:c>
      <x:c r="R24" s="7" t="n">
        <x:f>M24-K24</x:f>
        <x:v>0</x:v>
      </x:c>
      <x:c r="S24" s="2" t="str">
        <x:f>IF(J24-K24&gt;0.00000001,"improved",IF(K24-J24&gt;0.00000001,"worsened","unchanged"))</x:f>
        <x:v>improved</x:v>
      </x:c>
      <x:c r="T24" s="2" t="str">
        <x:f>IF(J24-M24&gt;0.00000001,"improved",IF(M24-J24&gt;0.00000001,"worsened","unchanged"))</x:f>
        <x:v>improved</x:v>
      </x:c>
      <x:c r="U24" s="2" t="str">
        <x:f>IF(R24&gt;0.00000001,"QAOA lower",IF(R24&lt; -0.00000001,"BPSO lower","tie"))</x:f>
        <x:v>tie</x:v>
      </x:c>
      <x:c r="V24" s="7" t="n">
        <x:v>55.00000000000001</x:v>
      </x:c>
      <x:c r="W24" s="7" t="n">
        <x:v>55.00000000000001</x:v>
      </x:c>
      <x:c r="X24" s="8" t="n">
        <x:v>0</x:v>
      </x:c>
      <x:c r="Y24" s="2" t="n">
        <x:v>5</x:v>
      </x:c>
    </x:row>
    <x:row r="25" ht="18" customHeight="1">
      <x:c r="A25" s="2" t="str">
        <x:v>controlled</x:v>
      </x:c>
      <x:c r="B25" s="2" t="n">
        <x:v>4</x:v>
      </x:c>
      <x:c r="C25" s="2" t="str">
        <x:v>controlled_n4_single_bottleneck_3</x:v>
      </x:c>
      <x:c r="D25" s="2" t="str">
        <x:v>single_bottleneck</x:v>
      </x:c>
      <x:c r="E25" s="2" t="n">
        <x:v>0.95</x:v>
      </x:c>
      <x:c r="F25" s="2" t="str">
        <x:v>ready</x:v>
      </x:c>
      <x:c r="G25" s="2" t="n">
        <x:v>8</x:v>
      </x:c>
      <x:c r="H25" s="2" t="n">
        <x:v>8</x:v>
      </x:c>
      <x:c r="I25" s="2" t="n">
        <x:v>0</x:v>
      </x:c>
      <x:c r="J25" s="7" t="n">
        <x:v>95</x:v>
      </x:c>
      <x:c r="K25" s="7" t="n">
        <x:v>67.5</x:v>
      </x:c>
      <x:c r="L25" s="7" t="n">
        <x:v>0</x:v>
      </x:c>
      <x:c r="M25" s="7" t="n">
        <x:v>67.5</x:v>
      </x:c>
      <x:c r="N25" s="7" t="n">
        <x:v>0</x:v>
      </x:c>
      <x:c r="O25" s="7" t="n">
        <x:f>IF(J25=0,"n.a.",100*(J25-K25)/J25)</x:f>
        <x:v>28.94736842105263</x:v>
      </x:c>
      <x:c r="P25" s="7" t="n">
        <x:f>IF(J25=0,"n.a.",100*(J25-M25)/J25)</x:f>
        <x:v>28.94736842105263</x:v>
      </x:c>
      <x:c r="Q25" s="7" t="n">
        <x:f>J25-K25</x:f>
        <x:v>27.5</x:v>
      </x:c>
      <x:c r="R25" s="7" t="n">
        <x:f>M25-K25</x:f>
        <x:v>0</x:v>
      </x:c>
      <x:c r="S25" s="2" t="str">
        <x:f>IF(J25-K25&gt;0.00000001,"improved",IF(K25-J25&gt;0.00000001,"worsened","unchanged"))</x:f>
        <x:v>improved</x:v>
      </x:c>
      <x:c r="T25" s="2" t="str">
        <x:f>IF(J25-M25&gt;0.00000001,"improved",IF(M25-J25&gt;0.00000001,"worsened","unchanged"))</x:f>
        <x:v>improved</x:v>
      </x:c>
      <x:c r="U25" s="2" t="str">
        <x:f>IF(R25&gt;0.00000001,"QAOA lower",IF(R25&lt; -0.00000001,"BPSO lower","tie"))</x:f>
        <x:v>tie</x:v>
      </x:c>
      <x:c r="V25" s="7" t="n">
        <x:v>67.5</x:v>
      </x:c>
      <x:c r="W25" s="7" t="n">
        <x:v>67.5</x:v>
      </x:c>
      <x:c r="X25" s="8" t="n">
        <x:v>0</x:v>
      </x:c>
      <x:c r="Y25" s="2" t="n">
        <x:v>5</x:v>
      </x:c>
    </x:row>
    <x:row r="26" ht="18" customHeight="1">
      <x:c r="A26" s="2" t="str">
        <x:v>controlled</x:v>
      </x:c>
      <x:c r="B26" s="2" t="n">
        <x:v>4</x:v>
      </x:c>
      <x:c r="C26" s="2" t="str">
        <x:v>controlled_n4_adjacent_bottlenecks_1</x:v>
      </x:c>
      <x:c r="D26" s="2" t="str">
        <x:v>adjacent_bottlenecks</x:v>
      </x:c>
      <x:c r="E26" s="2" t="n">
        <x:v>0.65</x:v>
      </x:c>
      <x:c r="F26" s="2" t="str">
        <x:v>ready</x:v>
      </x:c>
      <x:c r="G26" s="2" t="n">
        <x:v>5</x:v>
      </x:c>
      <x:c r="H26" s="2" t="n">
        <x:v>5</x:v>
      </x:c>
      <x:c r="I26" s="2" t="n">
        <x:v>0</x:v>
      </x:c>
      <x:c r="J26" s="7" t="n">
        <x:v>65</x:v>
      </x:c>
      <x:c r="K26" s="7" t="n">
        <x:v>57.499999999999986</x:v>
      </x:c>
      <x:c r="L26" s="7" t="n">
        <x:v>7.944109290391274e-15</x:v>
      </x:c>
      <x:c r="M26" s="7" t="n">
        <x:v>57.499999999999986</x:v>
      </x:c>
      <x:c r="N26" s="7" t="n">
        <x:v>7.944109290391274e-15</x:v>
      </x:c>
      <x:c r="O26" s="7" t="n">
        <x:f>IF(J26=0,"n.a.",100*(J26-K26)/J26)</x:f>
        <x:v>11.53846153846156</x:v>
      </x:c>
      <x:c r="P26" s="7" t="n">
        <x:f>IF(J26=0,"n.a.",100*(J26-M26)/J26)</x:f>
        <x:v>11.53846153846156</x:v>
      </x:c>
      <x:c r="Q26" s="7" t="n">
        <x:f>J26-K26</x:f>
        <x:v>7.500000000000014</x:v>
      </x:c>
      <x:c r="R26" s="7" t="n">
        <x:f>M26-K26</x:f>
        <x:v>0</x:v>
      </x:c>
      <x:c r="S26" s="2" t="str">
        <x:f>IF(J26-K26&gt;0.00000001,"improved",IF(K26-J26&gt;0.00000001,"worsened","unchanged"))</x:f>
        <x:v>improved</x:v>
      </x:c>
      <x:c r="T26" s="2" t="str">
        <x:f>IF(J26-M26&gt;0.00000001,"improved",IF(M26-J26&gt;0.00000001,"worsened","unchanged"))</x:f>
        <x:v>improved</x:v>
      </x:c>
      <x:c r="U26" s="2" t="str">
        <x:f>IF(R26&gt;0.00000001,"QAOA lower",IF(R26&lt; -0.00000001,"BPSO lower","tie"))</x:f>
        <x:v>tie</x:v>
      </x:c>
      <x:c r="V26" s="7" t="n">
        <x:v>57.49999999999999</x:v>
      </x:c>
      <x:c r="W26" s="7" t="n">
        <x:v>57.49999999999999</x:v>
      </x:c>
      <x:c r="X26" s="8" t="n">
        <x:v>0</x:v>
      </x:c>
      <x:c r="Y26" s="2" t="n">
        <x:v>5</x:v>
      </x:c>
    </x:row>
    <x:row r="27" ht="18" customHeight="1">
      <x:c r="A27" s="2" t="str">
        <x:v>controlled</x:v>
      </x:c>
      <x:c r="B27" s="2" t="n">
        <x:v>4</x:v>
      </x:c>
      <x:c r="C27" s="2" t="str">
        <x:v>controlled_n4_adjacent_bottlenecks_2</x:v>
      </x:c>
      <x:c r="D27" s="2" t="str">
        <x:v>adjacent_bottlenecks</x:v>
      </x:c>
      <x:c r="E27" s="2" t="n">
        <x:v>0.8</x:v>
      </x:c>
      <x:c r="F27" s="2" t="str">
        <x:v>ready</x:v>
      </x:c>
      <x:c r="G27" s="2" t="n">
        <x:v>9</x:v>
      </x:c>
      <x:c r="H27" s="2" t="n">
        <x:v>9</x:v>
      </x:c>
      <x:c r="I27" s="2" t="n">
        <x:v>0</x:v>
      </x:c>
      <x:c r="J27" s="7" t="n">
        <x:v>80</x:v>
      </x:c>
      <x:c r="K27" s="7" t="n">
        <x:v>80</x:v>
      </x:c>
      <x:c r="L27" s="7" t="n">
        <x:v>0</x:v>
      </x:c>
      <x:c r="M27" s="7" t="n">
        <x:v>80</x:v>
      </x:c>
      <x:c r="N27" s="7" t="n">
        <x:v>0</x:v>
      </x:c>
      <x:c r="O27" s="7" t="n">
        <x:f>IF(J27=0,"n.a.",100*(J27-K27)/J27)</x:f>
        <x:v>0</x:v>
      </x:c>
      <x:c r="P27" s="7" t="n">
        <x:f>IF(J27=0,"n.a.",100*(J27-M27)/J27)</x:f>
        <x:v>0</x:v>
      </x:c>
      <x:c r="Q27" s="7" t="n">
        <x:f>J27-K27</x:f>
        <x:v>0</x:v>
      </x:c>
      <x:c r="R27" s="7" t="n">
        <x:f>M27-K27</x:f>
        <x:v>0</x:v>
      </x:c>
      <x:c r="S27" s="2" t="str">
        <x:f>IF(J27-K27&gt;0.00000001,"improved",IF(K27-J27&gt;0.00000001,"worsened","unchanged"))</x:f>
        <x:v>unchanged</x:v>
      </x:c>
      <x:c r="T27" s="2" t="str">
        <x:f>IF(J27-M27&gt;0.00000001,"improved",IF(M27-J27&gt;0.00000001,"worsened","unchanged"))</x:f>
        <x:v>unchanged</x:v>
      </x:c>
      <x:c r="U27" s="2" t="str">
        <x:f>IF(R27&gt;0.00000001,"QAOA lower",IF(R27&lt; -0.00000001,"BPSO lower","tie"))</x:f>
        <x:v>tie</x:v>
      </x:c>
      <x:c r="V27" s="7" t="n">
        <x:v>80</x:v>
      </x:c>
      <x:c r="W27" s="7" t="n">
        <x:v>71.66666666666667</x:v>
      </x:c>
      <x:c r="X27" s="8" t="n">
        <x:v>0</x:v>
      </x:c>
      <x:c r="Y27" s="2" t="n">
        <x:v>5</x:v>
      </x:c>
    </x:row>
    <x:row r="28" ht="18" customHeight="1">
      <x:c r="A28" s="2" t="str">
        <x:v>controlled</x:v>
      </x:c>
      <x:c r="B28" s="2" t="n">
        <x:v>4</x:v>
      </x:c>
      <x:c r="C28" s="2" t="str">
        <x:v>controlled_n4_adjacent_bottlenecks_3</x:v>
      </x:c>
      <x:c r="D28" s="2" t="str">
        <x:v>adjacent_bottlenecks</x:v>
      </x:c>
      <x:c r="E28" s="2" t="n">
        <x:v>0.95</x:v>
      </x:c>
      <x:c r="F28" s="2" t="str">
        <x:v>ready</x:v>
      </x:c>
      <x:c r="G28" s="2" t="n">
        <x:v>10</x:v>
      </x:c>
      <x:c r="H28" s="2" t="n">
        <x:v>14</x:v>
      </x:c>
      <x:c r="I28" s="2" t="n">
        <x:v>4</x:v>
      </x:c>
      <x:c r="J28" s="7" t="n">
        <x:v>95</x:v>
      </x:c>
      <x:c r="K28" s="7" t="n">
        <x:v>88.33333333333333</x:v>
      </x:c>
      <x:c r="L28" s="7" t="n">
        <x:v>0</x:v>
      </x:c>
      <x:c r="M28" s="7" t="n">
        <x:v>88.33333333333333</x:v>
      </x:c>
      <x:c r="N28" s="7" t="n">
        <x:v>0</x:v>
      </x:c>
      <x:c r="O28" s="7" t="n">
        <x:f>IF(J28=0,"n.a.",100*(J28-K28)/J28)</x:f>
        <x:v>7.017543859649129</x:v>
      </x:c>
      <x:c r="P28" s="7" t="n">
        <x:f>IF(J28=0,"n.a.",100*(J28-M28)/J28)</x:f>
        <x:v>7.017543859649129</x:v>
      </x:c>
      <x:c r="Q28" s="7" t="n">
        <x:f>J28-K28</x:f>
        <x:v>6.666666666666671</x:v>
      </x:c>
      <x:c r="R28" s="7" t="n">
        <x:f>M28-K28</x:f>
        <x:v>0</x:v>
      </x:c>
      <x:c r="S28" s="2" t="str">
        <x:f>IF(J28-K28&gt;0.00000001,"improved",IF(K28-J28&gt;0.00000001,"worsened","unchanged"))</x:f>
        <x:v>improved</x:v>
      </x:c>
      <x:c r="T28" s="2" t="str">
        <x:f>IF(J28-M28&gt;0.00000001,"improved",IF(M28-J28&gt;0.00000001,"worsened","unchanged"))</x:f>
        <x:v>improved</x:v>
      </x:c>
      <x:c r="U28" s="2" t="str">
        <x:f>IF(R28&gt;0.00000001,"QAOA lower",IF(R28&lt; -0.00000001,"BPSO lower","tie"))</x:f>
        <x:v>tie</x:v>
      </x:c>
      <x:c r="V28" s="7" t="n">
        <x:v>88.33333333333333</x:v>
      </x:c>
      <x:c r="W28" s="7" t="n">
        <x:v>88.33333333333333</x:v>
      </x:c>
      <x:c r="X28" s="8" t="n">
        <x:v>0</x:v>
      </x:c>
      <x:c r="Y28" s="2" t="n">
        <x:v>5</x:v>
      </x:c>
    </x:row>
    <x:row r="29" ht="18" customHeight="1">
      <x:c r="A29" s="2" t="str">
        <x:v>controlled</x:v>
      </x:c>
      <x:c r="B29" s="2" t="n">
        <x:v>4</x:v>
      </x:c>
      <x:c r="C29" s="2" t="str">
        <x:v>controlled_n4_separated_bottlenecks_1</x:v>
      </x:c>
      <x:c r="D29" s="2" t="str">
        <x:v>separated_bottlenecks</x:v>
      </x:c>
      <x:c r="E29" s="2" t="n">
        <x:v>0.65</x:v>
      </x:c>
      <x:c r="F29" s="2" t="str">
        <x:v>ready</x:v>
      </x:c>
      <x:c r="G29" s="2" t="n">
        <x:v>5</x:v>
      </x:c>
      <x:c r="H29" s="2" t="n">
        <x:v>5</x:v>
      </x:c>
      <x:c r="I29" s="2" t="n">
        <x:v>0</x:v>
      </x:c>
      <x:c r="J29" s="7" t="n">
        <x:v>65</x:v>
      </x:c>
      <x:c r="K29" s="7" t="n">
        <x:v>55.000000000000014</x:v>
      </x:c>
      <x:c r="L29" s="7" t="n">
        <x:v>7.944109290391274e-15</x:v>
      </x:c>
      <x:c r="M29" s="7" t="n">
        <x:v>55.000000000000014</x:v>
      </x:c>
      <x:c r="N29" s="7" t="n">
        <x:v>7.944109290391274e-15</x:v>
      </x:c>
      <x:c r="O29" s="7" t="n">
        <x:f>IF(J29=0,"n.a.",100*(J29-K29)/J29)</x:f>
        <x:v>15.384615384615364</x:v>
      </x:c>
      <x:c r="P29" s="7" t="n">
        <x:f>IF(J29=0,"n.a.",100*(J29-M29)/J29)</x:f>
        <x:v>15.384615384615364</x:v>
      </x:c>
      <x:c r="Q29" s="7" t="n">
        <x:f>J29-K29</x:f>
        <x:v>9.999999999999986</x:v>
      </x:c>
      <x:c r="R29" s="7" t="n">
        <x:f>M29-K29</x:f>
        <x:v>0</x:v>
      </x:c>
      <x:c r="S29" s="2" t="str">
        <x:f>IF(J29-K29&gt;0.00000001,"improved",IF(K29-J29&gt;0.00000001,"worsened","unchanged"))</x:f>
        <x:v>improved</x:v>
      </x:c>
      <x:c r="T29" s="2" t="str">
        <x:f>IF(J29-M29&gt;0.00000001,"improved",IF(M29-J29&gt;0.00000001,"worsened","unchanged"))</x:f>
        <x:v>improved</x:v>
      </x:c>
      <x:c r="U29" s="2" t="str">
        <x:f>IF(R29&gt;0.00000001,"QAOA lower",IF(R29&lt; -0.00000001,"BPSO lower","tie"))</x:f>
        <x:v>tie</x:v>
      </x:c>
      <x:c r="V29" s="7" t="n">
        <x:v>55.00000000000001</x:v>
      </x:c>
      <x:c r="W29" s="7" t="n">
        <x:v>55.00000000000001</x:v>
      </x:c>
      <x:c r="X29" s="8" t="n">
        <x:v>0</x:v>
      </x:c>
      <x:c r="Y29" s="2" t="n">
        <x:v>5</x:v>
      </x:c>
    </x:row>
    <x:row r="30" ht="18" customHeight="1">
      <x:c r="A30" s="2" t="str">
        <x:v>controlled</x:v>
      </x:c>
      <x:c r="B30" s="2" t="n">
        <x:v>4</x:v>
      </x:c>
      <x:c r="C30" s="2" t="str">
        <x:v>controlled_n4_separated_bottlenecks_2</x:v>
      </x:c>
      <x:c r="D30" s="2" t="str">
        <x:v>separated_bottlenecks</x:v>
      </x:c>
      <x:c r="E30" s="2" t="n">
        <x:v>0.8</x:v>
      </x:c>
      <x:c r="F30" s="2" t="str">
        <x:v>ready</x:v>
      </x:c>
      <x:c r="G30" s="2" t="n">
        <x:v>9</x:v>
      </x:c>
      <x:c r="H30" s="2" t="n">
        <x:v>9</x:v>
      </x:c>
      <x:c r="I30" s="2" t="n">
        <x:v>0</x:v>
      </x:c>
      <x:c r="J30" s="7" t="n">
        <x:v>80</x:v>
      </x:c>
      <x:c r="K30" s="7" t="n">
        <x:v>71.66666666666667</x:v>
      </x:c>
      <x:c r="L30" s="7" t="n">
        <x:v>0</x:v>
      </x:c>
      <x:c r="M30" s="7" t="n">
        <x:v>71.66666666666667</x:v>
      </x:c>
      <x:c r="N30" s="7" t="n">
        <x:v>0</x:v>
      </x:c>
      <x:c r="O30" s="7" t="n">
        <x:f>IF(J30=0,"n.a.",100*(J30-K30)/J30)</x:f>
        <x:v>10.41666666666666</x:v>
      </x:c>
      <x:c r="P30" s="7" t="n">
        <x:f>IF(J30=0,"n.a.",100*(J30-M30)/J30)</x:f>
        <x:v>10.41666666666666</x:v>
      </x:c>
      <x:c r="Q30" s="7" t="n">
        <x:f>J30-K30</x:f>
        <x:v>8.333333333333329</x:v>
      </x:c>
      <x:c r="R30" s="7" t="n">
        <x:f>M30-K30</x:f>
        <x:v>0</x:v>
      </x:c>
      <x:c r="S30" s="2" t="str">
        <x:f>IF(J30-K30&gt;0.00000001,"improved",IF(K30-J30&gt;0.00000001,"worsened","unchanged"))</x:f>
        <x:v>improved</x:v>
      </x:c>
      <x:c r="T30" s="2" t="str">
        <x:f>IF(J30-M30&gt;0.00000001,"improved",IF(M30-J30&gt;0.00000001,"worsened","unchanged"))</x:f>
        <x:v>improved</x:v>
      </x:c>
      <x:c r="U30" s="2" t="str">
        <x:f>IF(R30&gt;0.00000001,"QAOA lower",IF(R30&lt; -0.00000001,"BPSO lower","tie"))</x:f>
        <x:v>tie</x:v>
      </x:c>
      <x:c r="V30" s="7" t="n">
        <x:v>71.66666666666667</x:v>
      </x:c>
      <x:c r="W30" s="7" t="n">
        <x:v>71.66666666666667</x:v>
      </x:c>
      <x:c r="X30" s="8" t="n">
        <x:v>0</x:v>
      </x:c>
      <x:c r="Y30" s="2" t="n">
        <x:v>5</x:v>
      </x:c>
    </x:row>
    <x:row r="31" ht="18" customHeight="1">
      <x:c r="A31" s="2" t="str">
        <x:v>controlled</x:v>
      </x:c>
      <x:c r="B31" s="2" t="n">
        <x:v>4</x:v>
      </x:c>
      <x:c r="C31" s="2" t="str">
        <x:v>controlled_n4_separated_bottlenecks_3</x:v>
      </x:c>
      <x:c r="D31" s="2" t="str">
        <x:v>separated_bottlenecks</x:v>
      </x:c>
      <x:c r="E31" s="2" t="n">
        <x:v>0.95</x:v>
      </x:c>
      <x:c r="F31" s="2" t="str">
        <x:v>ready</x:v>
      </x:c>
      <x:c r="G31" s="2" t="n">
        <x:v>10</x:v>
      </x:c>
      <x:c r="H31" s="2" t="n">
        <x:v>14</x:v>
      </x:c>
      <x:c r="I31" s="2" t="n">
        <x:v>4</x:v>
      </x:c>
      <x:c r="J31" s="7" t="n">
        <x:v>95</x:v>
      </x:c>
      <x:c r="K31" s="7" t="n">
        <x:v>80</x:v>
      </x:c>
      <x:c r="L31" s="7" t="n">
        <x:v>0</x:v>
      </x:c>
      <x:c r="M31" s="7" t="n">
        <x:v>80</x:v>
      </x:c>
      <x:c r="N31" s="7" t="n">
        <x:v>0</x:v>
      </x:c>
      <x:c r="O31" s="7" t="n">
        <x:f>IF(J31=0,"n.a.",100*(J31-K31)/J31)</x:f>
        <x:v>15.789473684210526</x:v>
      </x:c>
      <x:c r="P31" s="7" t="n">
        <x:f>IF(J31=0,"n.a.",100*(J31-M31)/J31)</x:f>
        <x:v>15.789473684210526</x:v>
      </x:c>
      <x:c r="Q31" s="7" t="n">
        <x:f>J31-K31</x:f>
        <x:v>15</x:v>
      </x:c>
      <x:c r="R31" s="7" t="n">
        <x:f>M31-K31</x:f>
        <x:v>0</x:v>
      </x:c>
      <x:c r="S31" s="2" t="str">
        <x:f>IF(J31-K31&gt;0.00000001,"improved",IF(K31-J31&gt;0.00000001,"worsened","unchanged"))</x:f>
        <x:v>improved</x:v>
      </x:c>
      <x:c r="T31" s="2" t="str">
        <x:f>IF(J31-M31&gt;0.00000001,"improved",IF(M31-J31&gt;0.00000001,"worsened","unchanged"))</x:f>
        <x:v>improved</x:v>
      </x:c>
      <x:c r="U31" s="2" t="str">
        <x:f>IF(R31&gt;0.00000001,"QAOA lower",IF(R31&lt; -0.00000001,"BPSO lower","tie"))</x:f>
        <x:v>tie</x:v>
      </x:c>
      <x:c r="V31" s="7" t="n">
        <x:v>80</x:v>
      </x:c>
      <x:c r="W31" s="7" t="n">
        <x:v>80</x:v>
      </x:c>
      <x:c r="X31" s="8" t="n">
        <x:v>0</x:v>
      </x:c>
      <x:c r="Y31" s="2" t="n">
        <x:v>5</x:v>
      </x:c>
    </x:row>
    <x:row r="32" ht="18" customHeight="1">
      <x:c r="A32" s="2" t="str">
        <x:v>controlled</x:v>
      </x:c>
      <x:c r="B32" s="2" t="n">
        <x:v>4</x:v>
      </x:c>
      <x:c r="C32" s="2" t="str">
        <x:v>controlled_n4_distributed_peak_1</x:v>
      </x:c>
      <x:c r="D32" s="2" t="str">
        <x:v>distributed_peak</x:v>
      </x:c>
      <x:c r="E32" s="2" t="n">
        <x:v>0.3</x:v>
      </x:c>
      <x:c r="F32" s="2" t="str">
        <x:v>ready</x:v>
      </x:c>
      <x:c r="G32" s="2" t="n">
        <x:v>10</x:v>
      </x:c>
      <x:c r="H32" s="2" t="n">
        <x:v>16</x:v>
      </x:c>
      <x:c r="I32" s="2" t="n">
        <x:v>6</x:v>
      </x:c>
      <x:c r="J32" s="7" t="n">
        <x:v>85</x:v>
      </x:c>
      <x:c r="K32" s="7" t="n">
        <x:v>110.00000000000003</x:v>
      </x:c>
      <x:c r="L32" s="7" t="n">
        <x:v>1.5888218580782548e-14</x:v>
      </x:c>
      <x:c r="M32" s="7" t="n">
        <x:v>110.00000000000003</x:v>
      </x:c>
      <x:c r="N32" s="7" t="n">
        <x:v>1.5888218580782548e-14</x:v>
      </x:c>
      <x:c r="O32" s="7" t="n">
        <x:f>IF(J32=0,"n.a.",100*(J32-K32)/J32)</x:f>
        <x:v>-29.411764705882383</x:v>
      </x:c>
      <x:c r="P32" s="7" t="n">
        <x:f>IF(J32=0,"n.a.",100*(J32-M32)/J32)</x:f>
        <x:v>-29.411764705882383</x:v>
      </x:c>
      <x:c r="Q32" s="7" t="n">
        <x:f>J32-K32</x:f>
        <x:v>-25.00000000000003</x:v>
      </x:c>
      <x:c r="R32" s="7" t="n">
        <x:f>M32-K32</x:f>
        <x:v>0</x:v>
      </x:c>
      <x:c r="S32" s="2" t="str">
        <x:f>IF(J32-K32&gt;0.00000001,"improved",IF(K32-J32&gt;0.00000001,"worsened","unchanged"))</x:f>
        <x:v>worsened</x:v>
      </x:c>
      <x:c r="T32" s="2" t="str">
        <x:f>IF(J32-M32&gt;0.00000001,"improved",IF(M32-J32&gt;0.00000001,"worsened","unchanged"))</x:f>
        <x:v>worsened</x:v>
      </x:c>
      <x:c r="U32" s="2" t="str">
        <x:f>IF(R32&gt;0.00000001,"QAOA lower",IF(R32&lt; -0.00000001,"BPSO lower","tie"))</x:f>
        <x:v>tie</x:v>
      </x:c>
      <x:c r="V32" s="7" t="n">
        <x:v>110.00000000000001</x:v>
      </x:c>
      <x:c r="W32" s="7" t="n">
        <x:v>105</x:v>
      </x:c>
      <x:c r="X32" s="8" t="n">
        <x:v>0</x:v>
      </x:c>
      <x:c r="Y32" s="2" t="n">
        <x:v>5</x:v>
      </x:c>
    </x:row>
    <x:row r="33" ht="18" customHeight="1">
      <x:c r="A33" s="2" t="str">
        <x:v>controlled</x:v>
      </x:c>
      <x:c r="B33" s="2" t="n">
        <x:v>4</x:v>
      </x:c>
      <x:c r="C33" s="2" t="str">
        <x:v>controlled_n4_distributed_peak_2</x:v>
      </x:c>
      <x:c r="D33" s="2" t="str">
        <x:v>distributed_peak</x:v>
      </x:c>
      <x:c r="E33" s="2" t="n">
        <x:v>0.5</x:v>
      </x:c>
      <x:c r="F33" s="2" t="str">
        <x:v>ready</x:v>
      </x:c>
      <x:c r="G33" s="2" t="n">
        <x:v>10</x:v>
      </x:c>
      <x:c r="H33" s="2" t="n">
        <x:v>16</x:v>
      </x:c>
      <x:c r="I33" s="2" t="n">
        <x:v>6</x:v>
      </x:c>
      <x:c r="J33" s="7" t="n">
        <x:v>85</x:v>
      </x:c>
      <x:c r="K33" s="7" t="n">
        <x:v>118.33333333333333</x:v>
      </x:c>
      <x:c r="L33" s="7" t="n">
        <x:v>0</x:v>
      </x:c>
      <x:c r="M33" s="7" t="n">
        <x:v>118.33333333333333</x:v>
      </x:c>
      <x:c r="N33" s="7" t="n">
        <x:v>0</x:v>
      </x:c>
      <x:c r="O33" s="7" t="n">
        <x:f>IF(J33=0,"n.a.",100*(J33-K33)/J33)</x:f>
        <x:v>-39.2156862745098</x:v>
      </x:c>
      <x:c r="P33" s="7" t="n">
        <x:f>IF(J33=0,"n.a.",100*(J33-M33)/J33)</x:f>
        <x:v>-39.2156862745098</x:v>
      </x:c>
      <x:c r="Q33" s="7" t="n">
        <x:f>J33-K33</x:f>
        <x:v>-33.33333333333333</x:v>
      </x:c>
      <x:c r="R33" s="7" t="n">
        <x:f>M33-K33</x:f>
        <x:v>0</x:v>
      </x:c>
      <x:c r="S33" s="2" t="str">
        <x:f>IF(J33-K33&gt;0.00000001,"improved",IF(K33-J33&gt;0.00000001,"worsened","unchanged"))</x:f>
        <x:v>worsened</x:v>
      </x:c>
      <x:c r="T33" s="2" t="str">
        <x:f>IF(J33-M33&gt;0.00000001,"improved",IF(M33-J33&gt;0.00000001,"worsened","unchanged"))</x:f>
        <x:v>worsened</x:v>
      </x:c>
      <x:c r="U33" s="2" t="str">
        <x:f>IF(R33&gt;0.00000001,"QAOA lower",IF(R33&lt; -0.00000001,"BPSO lower","tie"))</x:f>
        <x:v>tie</x:v>
      </x:c>
      <x:c r="V33" s="7" t="n">
        <x:v>118.33333333333333</x:v>
      </x:c>
      <x:c r="W33" s="7" t="n">
        <x:v>115.625</x:v>
      </x:c>
      <x:c r="X33" s="8" t="n">
        <x:v>0</x:v>
      </x:c>
      <x:c r="Y33" s="2" t="n">
        <x:v>5</x:v>
      </x:c>
    </x:row>
    <x:row r="34" ht="18" customHeight="1">
      <x:c r="A34" s="2" t="str">
        <x:v>controlled</x:v>
      </x:c>
      <x:c r="B34" s="2" t="n">
        <x:v>4</x:v>
      </x:c>
      <x:c r="C34" s="2" t="str">
        <x:v>controlled_n4_distributed_peak_3</x:v>
      </x:c>
      <x:c r="D34" s="2" t="str">
        <x:v>distributed_peak</x:v>
      </x:c>
      <x:c r="E34" s="2" t="n">
        <x:v>0.7</x:v>
      </x:c>
      <x:c r="F34" s="2" t="str">
        <x:v>ready</x:v>
      </x:c>
      <x:c r="G34" s="2" t="n">
        <x:v>10</x:v>
      </x:c>
      <x:c r="H34" s="2" t="n">
        <x:v>26</x:v>
      </x:c>
      <x:c r="I34" s="2" t="n">
        <x:v>16</x:v>
      </x:c>
      <x:c r="J34" s="7" t="n">
        <x:v>85</x:v>
      </x:c>
      <x:c r="K34" s="7" t="n">
        <x:v>126.25</x:v>
      </x:c>
      <x:c r="L34" s="7" t="n">
        <x:v>0</x:v>
      </x:c>
      <x:c r="M34" s="7" t="n">
        <x:v>126.25</x:v>
      </x:c>
      <x:c r="N34" s="7" t="n">
        <x:v>0</x:v>
      </x:c>
      <x:c r="O34" s="7" t="n">
        <x:f>IF(J34=0,"n.a.",100*(J34-K34)/J34)</x:f>
        <x:v>-48.529411764705884</x:v>
      </x:c>
      <x:c r="P34" s="7" t="n">
        <x:f>IF(J34=0,"n.a.",100*(J34-M34)/J34)</x:f>
        <x:v>-48.529411764705884</x:v>
      </x:c>
      <x:c r="Q34" s="7" t="n">
        <x:f>J34-K34</x:f>
        <x:v>-41.25</x:v>
      </x:c>
      <x:c r="R34" s="7" t="n">
        <x:f>M34-K34</x:f>
        <x:v>0</x:v>
      </x:c>
      <x:c r="S34" s="2" t="str">
        <x:f>IF(J34-K34&gt;0.00000001,"improved",IF(K34-J34&gt;0.00000001,"worsened","unchanged"))</x:f>
        <x:v>worsened</x:v>
      </x:c>
      <x:c r="T34" s="2" t="str">
        <x:f>IF(J34-M34&gt;0.00000001,"improved",IF(M34-J34&gt;0.00000001,"worsened","unchanged"))</x:f>
        <x:v>worsened</x:v>
      </x:c>
      <x:c r="U34" s="2" t="str">
        <x:f>IF(R34&gt;0.00000001,"QAOA lower",IF(R34&lt; -0.00000001,"BPSO lower","tie"))</x:f>
        <x:v>tie</x:v>
      </x:c>
      <x:c r="V34" s="7" t="n">
        <x:v>126.25</x:v>
      </x:c>
      <x:c r="W34" s="7" t="n">
        <x:v>126.25</x:v>
      </x:c>
      <x:c r="X34" s="8" t="n">
        <x:v>0.000351215277777861</x:v>
      </x:c>
      <x:c r="Y34" s="2" t="n">
        <x:v>5</x:v>
      </x:c>
    </x:row>
    <x:row r="35" ht="18" customHeight="1">
      <x:c r="A35" s="2" t="str">
        <x:v>controlled</x:v>
      </x:c>
      <x:c r="B35" s="2" t="n">
        <x:v>4</x:v>
      </x:c>
      <x:c r="C35" s="2" t="str">
        <x:v>controlled_n4_lane_closure_1</x:v>
      </x:c>
      <x:c r="D35" s="2" t="str">
        <x:v>lane_closure</x:v>
      </x:c>
      <x:c r="E35" s="2" t="n">
        <x:v>1</x:v>
      </x:c>
      <x:c r="F35" s="2" t="str">
        <x:v>no_congestion</x:v>
      </x:c>
      <x:c r="G35" s="2" t="n">
        <x:v>0</x:v>
      </x:c>
      <x:c r="H35" s="2" t="n">
        <x:v>0</x:v>
      </x:c>
      <x:c r="I35" s="2" t="n">
        <x:v>0</x:v>
      </x:c>
      <x:c r="J35" s="7" t="n">
        <x:v>55.00000000000001</x:v>
      </x:c>
      <x:c r="K35" s="7" t="n">
        <x:v>55.000000000000014</x:v>
      </x:c>
      <x:c r="L35" s="7" t="n">
        <x:v>7.944109290391274e-15</x:v>
      </x:c>
      <x:c r="M35" s="7" t="n">
        <x:v>55.000000000000014</x:v>
      </x:c>
      <x:c r="N35" s="7" t="n">
        <x:v>7.944109290391274e-15</x:v>
      </x:c>
      <x:c r="O35" s="7" t="n">
        <x:f>IF(J35=0,"n.a.",100*(J35-K35)/J35)</x:f>
        <x:v>-1.291895883200182e-14</x:v>
      </x:c>
      <x:c r="P35" s="7" t="n">
        <x:f>IF(J35=0,"n.a.",100*(J35-M35)/J35)</x:f>
        <x:v>-1.291895883200182e-14</x:v>
      </x:c>
      <x:c r="Q35" s="7" t="n">
        <x:f>J35-K35</x:f>
        <x:v>-7.105427357601002e-15</x:v>
      </x:c>
      <x:c r="R35" s="7" t="n">
        <x:f>M35-K35</x:f>
        <x:v>0</x:v>
      </x:c>
      <x:c r="S35" s="2" t="str">
        <x:f>IF(J35-K35&gt;0.00000001,"improved",IF(K35-J35&gt;0.00000001,"worsened","unchanged"))</x:f>
        <x:v>unchanged</x:v>
      </x:c>
      <x:c r="T35" s="2" t="str">
        <x:f>IF(J35-M35&gt;0.00000001,"improved",IF(M35-J35&gt;0.00000001,"worsened","unchanged"))</x:f>
        <x:v>unchanged</x:v>
      </x:c>
      <x:c r="U35" s="2" t="str">
        <x:f>IF(R35&gt;0.00000001,"QAOA lower",IF(R35&lt; -0.00000001,"BPSO lower","tie"))</x:f>
        <x:v>tie</x:v>
      </x:c>
      <x:c r="V35" s="7" t="n">
        <x:v>55.00000000000001</x:v>
      </x:c>
      <x:c r="W35" s="7" t="n">
        <x:v>55.00000000000001</x:v>
      </x:c>
      <x:c r="X35" s="8" t="n">
        <x:v>0</x:v>
      </x:c>
      <x:c r="Y35" s="2" t="n">
        <x:v>5</x:v>
      </x:c>
    </x:row>
    <x:row r="36" ht="18" customHeight="1">
      <x:c r="A36" s="2" t="str">
        <x:v>controlled</x:v>
      </x:c>
      <x:c r="B36" s="2" t="n">
        <x:v>4</x:v>
      </x:c>
      <x:c r="C36" s="2" t="str">
        <x:v>controlled_n4_lane_closure_2</x:v>
      </x:c>
      <x:c r="D36" s="2" t="str">
        <x:v>lane_closure</x:v>
      </x:c>
      <x:c r="E36" s="2" t="n">
        <x:v>0.75</x:v>
      </x:c>
      <x:c r="F36" s="2" t="str">
        <x:v>ready</x:v>
      </x:c>
      <x:c r="G36" s="2" t="n">
        <x:v>3</x:v>
      </x:c>
      <x:c r="H36" s="2" t="n">
        <x:v>3</x:v>
      </x:c>
      <x:c r="I36" s="2" t="n">
        <x:v>0</x:v>
      </x:c>
      <x:c r="J36" s="7" t="n">
        <x:v>73.33333333333333</x:v>
      </x:c>
      <x:c r="K36" s="7" t="n">
        <x:v>71.66666666666667</x:v>
      </x:c>
      <x:c r="L36" s="7" t="n">
        <x:v>0</x:v>
      </x:c>
      <x:c r="M36" s="7" t="n">
        <x:v>71.66666666666667</x:v>
      </x:c>
      <x:c r="N36" s="7" t="n">
        <x:v>0</x:v>
      </x:c>
      <x:c r="O36" s="7" t="n">
        <x:f>IF(J36=0,"n.a.",100*(J36-K36)/J36)</x:f>
        <x:v>2.27272727272726</x:v>
      </x:c>
      <x:c r="P36" s="7" t="n">
        <x:f>IF(J36=0,"n.a.",100*(J36-M36)/J36)</x:f>
        <x:v>2.27272727272726</x:v>
      </x:c>
      <x:c r="Q36" s="7" t="n">
        <x:f>J36-K36</x:f>
        <x:v>1.6666666666666572</x:v>
      </x:c>
      <x:c r="R36" s="7" t="n">
        <x:f>M36-K36</x:f>
        <x:v>0</x:v>
      </x:c>
      <x:c r="S36" s="2" t="str">
        <x:f>IF(J36-K36&gt;0.00000001,"improved",IF(K36-J36&gt;0.00000001,"worsened","unchanged"))</x:f>
        <x:v>improved</x:v>
      </x:c>
      <x:c r="T36" s="2" t="str">
        <x:f>IF(J36-M36&gt;0.00000001,"improved",IF(M36-J36&gt;0.00000001,"worsened","unchanged"))</x:f>
        <x:v>improved</x:v>
      </x:c>
      <x:c r="U36" s="2" t="str">
        <x:f>IF(R36&gt;0.00000001,"QAOA lower",IF(R36&lt; -0.00000001,"BPSO lower","tie"))</x:f>
        <x:v>tie</x:v>
      </x:c>
      <x:c r="V36" s="7" t="n">
        <x:v>71.66666666666667</x:v>
      </x:c>
      <x:c r="W36" s="7" t="n">
        <x:v>71.66666666666667</x:v>
      </x:c>
      <x:c r="X36" s="8" t="n">
        <x:v>0</x:v>
      </x:c>
      <x:c r="Y36" s="2" t="n">
        <x:v>5</x:v>
      </x:c>
    </x:row>
    <x:row r="37" ht="18" customHeight="1">
      <x:c r="A37" s="2" t="str">
        <x:v>controlled</x:v>
      </x:c>
      <x:c r="B37" s="2" t="n">
        <x:v>4</x:v>
      </x:c>
      <x:c r="C37" s="2" t="str">
        <x:v>controlled_n4_lane_closure_3</x:v>
      </x:c>
      <x:c r="D37" s="2" t="str">
        <x:v>lane_closure</x:v>
      </x:c>
      <x:c r="E37" s="2" t="n">
        <x:v>0.5</x:v>
      </x:c>
      <x:c r="F37" s="2" t="str">
        <x:v>ready</x:v>
      </x:c>
      <x:c r="G37" s="2" t="n">
        <x:v>5</x:v>
      </x:c>
      <x:c r="H37" s="2" t="n">
        <x:v>5</x:v>
      </x:c>
      <x:c r="I37" s="2" t="n">
        <x:v>0</x:v>
      </x:c>
      <x:c r="J37" s="7" t="n">
        <x:v>110.00000000000001</x:v>
      </x:c>
      <x:c r="K37" s="7" t="n">
        <x:v>80</x:v>
      </x:c>
      <x:c r="L37" s="7" t="n">
        <x:v>0</x:v>
      </x:c>
      <x:c r="M37" s="7" t="n">
        <x:v>80</x:v>
      </x:c>
      <x:c r="N37" s="7" t="n">
        <x:v>0</x:v>
      </x:c>
      <x:c r="O37" s="7" t="n">
        <x:f>IF(J37=0,"n.a.",100*(J37-K37)/J37)</x:f>
        <x:v>27.27272727272728</x:v>
      </x:c>
      <x:c r="P37" s="7" t="n">
        <x:f>IF(J37=0,"n.a.",100*(J37-M37)/J37)</x:f>
        <x:v>27.27272727272728</x:v>
      </x:c>
      <x:c r="Q37" s="7" t="n">
        <x:f>J37-K37</x:f>
        <x:v>30.000000000000014</x:v>
      </x:c>
      <x:c r="R37" s="7" t="n">
        <x:f>M37-K37</x:f>
        <x:v>0</x:v>
      </x:c>
      <x:c r="S37" s="2" t="str">
        <x:f>IF(J37-K37&gt;0.00000001,"improved",IF(K37-J37&gt;0.00000001,"worsened","unchanged"))</x:f>
        <x:v>improved</x:v>
      </x:c>
      <x:c r="T37" s="2" t="str">
        <x:f>IF(J37-M37&gt;0.00000001,"improved",IF(M37-J37&gt;0.00000001,"worsened","unchanged"))</x:f>
        <x:v>improved</x:v>
      </x:c>
      <x:c r="U37" s="2" t="str">
        <x:f>IF(R37&gt;0.00000001,"QAOA lower",IF(R37&lt; -0.00000001,"BPSO lower","tie"))</x:f>
        <x:v>tie</x:v>
      </x:c>
      <x:c r="V37" s="7" t="n">
        <x:v>80</x:v>
      </x:c>
      <x:c r="W37" s="7" t="n">
        <x:v>80</x:v>
      </x:c>
      <x:c r="X37" s="8" t="n">
        <x:v>0</x:v>
      </x:c>
      <x:c r="Y37" s="2" t="n">
        <x:v>5</x:v>
      </x:c>
    </x:row>
    <x:row r="38" ht="18" customHeight="1">
      <x:c r="A38" s="2" t="str">
        <x:v>controlled</x:v>
      </x:c>
      <x:c r="B38" s="2" t="n">
        <x:v>4</x:v>
      </x:c>
      <x:c r="C38" s="2" t="str">
        <x:v>controlled_n4_weather_capacity_loss_1</x:v>
      </x:c>
      <x:c r="D38" s="2" t="str">
        <x:v>weather_capacity_loss</x:v>
      </x:c>
      <x:c r="E38" s="2" t="n">
        <x:v>1</x:v>
      </x:c>
      <x:c r="F38" s="2" t="str">
        <x:v>no_congestion</x:v>
      </x:c>
      <x:c r="G38" s="2" t="n">
        <x:v>0</x:v>
      </x:c>
      <x:c r="H38" s="2" t="n">
        <x:v>0</x:v>
      </x:c>
      <x:c r="I38" s="2" t="n">
        <x:v>0</x:v>
      </x:c>
      <x:c r="J38" s="7" t="n">
        <x:v>55.00000000000001</x:v>
      </x:c>
      <x:c r="K38" s="7" t="n">
        <x:v>55.000000000000014</x:v>
      </x:c>
      <x:c r="L38" s="7" t="n">
        <x:v>7.944109290391274e-15</x:v>
      </x:c>
      <x:c r="M38" s="7" t="n">
        <x:v>55.000000000000014</x:v>
      </x:c>
      <x:c r="N38" s="7" t="n">
        <x:v>7.944109290391274e-15</x:v>
      </x:c>
      <x:c r="O38" s="7" t="n">
        <x:f>IF(J38=0,"n.a.",100*(J38-K38)/J38)</x:f>
        <x:v>-1.291895883200182e-14</x:v>
      </x:c>
      <x:c r="P38" s="7" t="n">
        <x:f>IF(J38=0,"n.a.",100*(J38-M38)/J38)</x:f>
        <x:v>-1.291895883200182e-14</x:v>
      </x:c>
      <x:c r="Q38" s="7" t="n">
        <x:f>J38-K38</x:f>
        <x:v>-7.105427357601002e-15</x:v>
      </x:c>
      <x:c r="R38" s="7" t="n">
        <x:f>M38-K38</x:f>
        <x:v>0</x:v>
      </x:c>
      <x:c r="S38" s="2" t="str">
        <x:f>IF(J38-K38&gt;0.00000001,"improved",IF(K38-J38&gt;0.00000001,"worsened","unchanged"))</x:f>
        <x:v>unchanged</x:v>
      </x:c>
      <x:c r="T38" s="2" t="str">
        <x:f>IF(J38-M38&gt;0.00000001,"improved",IF(M38-J38&gt;0.00000001,"worsened","unchanged"))</x:f>
        <x:v>unchanged</x:v>
      </x:c>
      <x:c r="U38" s="2" t="str">
        <x:f>IF(R38&gt;0.00000001,"QAOA lower",IF(R38&lt; -0.00000001,"BPSO lower","tie"))</x:f>
        <x:v>tie</x:v>
      </x:c>
      <x:c r="V38" s="7" t="n">
        <x:v>55.00000000000001</x:v>
      </x:c>
      <x:c r="W38" s="7" t="n">
        <x:v>55.00000000000001</x:v>
      </x:c>
      <x:c r="X38" s="8" t="n">
        <x:v>0</x:v>
      </x:c>
      <x:c r="Y38" s="2" t="n">
        <x:v>5</x:v>
      </x:c>
    </x:row>
    <x:row r="39" ht="18" customHeight="1">
      <x:c r="A39" s="2" t="str">
        <x:v>controlled</x:v>
      </x:c>
      <x:c r="B39" s="2" t="n">
        <x:v>4</x:v>
      </x:c>
      <x:c r="C39" s="2" t="str">
        <x:v>controlled_n4_weather_capacity_loss_2</x:v>
      </x:c>
      <x:c r="D39" s="2" t="str">
        <x:v>weather_capacity_loss</x:v>
      </x:c>
      <x:c r="E39" s="2" t="n">
        <x:v>0.8</x:v>
      </x:c>
      <x:c r="F39" s="2" t="str">
        <x:v>ready</x:v>
      </x:c>
      <x:c r="G39" s="2" t="n">
        <x:v>10</x:v>
      </x:c>
      <x:c r="H39" s="2" t="n">
        <x:v>14</x:v>
      </x:c>
      <x:c r="I39" s="2" t="n">
        <x:v>4</x:v>
      </x:c>
      <x:c r="J39" s="7" t="n">
        <x:v>68.75000000000001</x:v>
      </x:c>
      <x:c r="K39" s="7" t="n">
        <x:v>92.1875</x:v>
      </x:c>
      <x:c r="L39" s="7" t="n">
        <x:v>0</x:v>
      </x:c>
      <x:c r="M39" s="7" t="n">
        <x:v>92.1875</x:v>
      </x:c>
      <x:c r="N39" s="7" t="n">
        <x:v>0</x:v>
      </x:c>
      <x:c r="O39" s="7" t="n">
        <x:f>IF(J39=0,"n.a.",100*(J39-K39)/J39)</x:f>
        <x:v>-34.090909090909065</x:v>
      </x:c>
      <x:c r="P39" s="7" t="n">
        <x:f>IF(J39=0,"n.a.",100*(J39-M39)/J39)</x:f>
        <x:v>-34.090909090909065</x:v>
      </x:c>
      <x:c r="Q39" s="7" t="n">
        <x:f>J39-K39</x:f>
        <x:v>-23.437499999999986</x:v>
      </x:c>
      <x:c r="R39" s="7" t="n">
        <x:f>M39-K39</x:f>
        <x:v>0</x:v>
      </x:c>
      <x:c r="S39" s="2" t="str">
        <x:f>IF(J39-K39&gt;0.00000001,"improved",IF(K39-J39&gt;0.00000001,"worsened","unchanged"))</x:f>
        <x:v>worsened</x:v>
      </x:c>
      <x:c r="T39" s="2" t="str">
        <x:f>IF(J39-M39&gt;0.00000001,"improved",IF(M39-J39&gt;0.00000001,"worsened","unchanged"))</x:f>
        <x:v>worsened</x:v>
      </x:c>
      <x:c r="U39" s="2" t="str">
        <x:f>IF(R39&gt;0.00000001,"QAOA lower",IF(R39&lt; -0.00000001,"BPSO lower","tie"))</x:f>
        <x:v>tie</x:v>
      </x:c>
      <x:c r="V39" s="7" t="n">
        <x:v>92.1875</x:v>
      </x:c>
      <x:c r="W39" s="7" t="n">
        <x:v>89.58333333333334</x:v>
      </x:c>
      <x:c r="X39" s="8" t="n">
        <x:v>0</x:v>
      </x:c>
      <x:c r="Y39" s="2" t="n">
        <x:v>5</x:v>
      </x:c>
    </x:row>
    <x:row r="40" ht="18" customHeight="1">
      <x:c r="A40" s="2" t="str">
        <x:v>controlled</x:v>
      </x:c>
      <x:c r="B40" s="2" t="n">
        <x:v>4</x:v>
      </x:c>
      <x:c r="C40" s="2" t="str">
        <x:v>controlled_n4_weather_capacity_loss_3</x:v>
      </x:c>
      <x:c r="D40" s="2" t="str">
        <x:v>weather_capacity_loss</x:v>
      </x:c>
      <x:c r="E40" s="2" t="n">
        <x:v>0.6</x:v>
      </x:c>
      <x:c r="F40" s="2" t="str">
        <x:v>ready</x:v>
      </x:c>
      <x:c r="G40" s="2" t="n">
        <x:v>10</x:v>
      </x:c>
      <x:c r="H40" s="2" t="n">
        <x:v>23</x:v>
      </x:c>
      <x:c r="I40" s="2" t="n">
        <x:v>13</x:v>
      </x:c>
      <x:c r="J40" s="7" t="n">
        <x:v>91.66666666666667</x:v>
      </x:c>
      <x:c r="K40" s="7" t="n">
        <x:v>154.16666666666669</x:v>
      </x:c>
      <x:c r="L40" s="7" t="n">
        <x:v>0</x:v>
      </x:c>
      <x:c r="M40" s="7" t="n">
        <x:v>154.16666666666669</x:v>
      </x:c>
      <x:c r="N40" s="7" t="n">
        <x:v>0</x:v>
      </x:c>
      <x:c r="O40" s="7" t="n">
        <x:f>IF(J40=0,"n.a.",100*(J40-K40)/J40)</x:f>
        <x:v>-68.1818181818182</x:v>
      </x:c>
      <x:c r="P40" s="7" t="n">
        <x:f>IF(J40=0,"n.a.",100*(J40-M40)/J40)</x:f>
        <x:v>-68.1818181818182</x:v>
      </x:c>
      <x:c r="Q40" s="7" t="n">
        <x:f>J40-K40</x:f>
        <x:v>-62.500000000000014</x:v>
      </x:c>
      <x:c r="R40" s="7" t="n">
        <x:f>M40-K40</x:f>
        <x:v>0</x:v>
      </x:c>
      <x:c r="S40" s="2" t="str">
        <x:f>IF(J40-K40&gt;0.00000001,"improved",IF(K40-J40&gt;0.00000001,"worsened","unchanged"))</x:f>
        <x:v>worsened</x:v>
      </x:c>
      <x:c r="T40" s="2" t="str">
        <x:f>IF(J40-M40&gt;0.00000001,"improved",IF(M40-J40&gt;0.00000001,"worsened","unchanged"))</x:f>
        <x:v>worsened</x:v>
      </x:c>
      <x:c r="U40" s="2" t="str">
        <x:f>IF(R40&gt;0.00000001,"QAOA lower",IF(R40&lt; -0.00000001,"BPSO lower","tie"))</x:f>
        <x:v>tie</x:v>
      </x:c>
      <x:c r="V40" s="7" t="n">
        <x:v>154.16666666666669</x:v>
      </x:c>
      <x:c r="W40" s="7" t="n">
        <x:v>138.54166666666669</x:v>
      </x:c>
      <x:c r="X40" s="8" t="n">
        <x:v>0</x:v>
      </x:c>
      <x:c r="Y40" s="2" t="n">
        <x:v>5</x:v>
      </x:c>
    </x:row>
    <x:row r="41" ht="18" customHeight="1">
      <x:c r="A41" s="2" t="str">
        <x:v>legacy</x:v>
      </x:c>
      <x:c r="B41" s="2" t="n">
        <x:v>5</x:v>
      </x:c>
      <x:c r="C41" s="2" t="str">
        <x:v>legacy_n5_01</x:v>
      </x:c>
      <x:c r="D41" s="2" t="str">
        <x:v>Single Bottleneck</x:v>
      </x:c>
      <x:c r="E41" s="2" t="str">
        <x:v>1</x:v>
      </x:c>
      <x:c r="F41" s="2" t="str">
        <x:v>ready</x:v>
      </x:c>
      <x:c r="G41" s="2" t="n">
        <x:v>6</x:v>
      </x:c>
      <x:c r="H41" s="2" t="n">
        <x:v>6</x:v>
      </x:c>
      <x:c r="I41" s="2" t="n">
        <x:v>0</x:v>
      </x:c>
      <x:c r="J41" s="7" t="n">
        <x:v>83.06666666666666</x:v>
      </x:c>
      <x:c r="K41" s="7" t="n">
        <x:v>76.00555555555555</x:v>
      </x:c>
      <x:c r="L41" s="7" t="n">
        <x:v>0</x:v>
      </x:c>
      <x:c r="M41" s="7" t="n">
        <x:v>76.00555555555555</x:v>
      </x:c>
      <x:c r="N41" s="7" t="n">
        <x:v>0</x:v>
      </x:c>
      <x:c r="O41" s="7" t="n">
        <x:f>IF(J41=0,"n.a.",100*(J41-K41)/J41)</x:f>
        <x:v>8.500535045478873</x:v>
      </x:c>
      <x:c r="P41" s="7" t="n">
        <x:f>IF(J41=0,"n.a.",100*(J41-M41)/J41)</x:f>
        <x:v>8.500535045478873</x:v>
      </x:c>
      <x:c r="Q41" s="7" t="n">
        <x:f>J41-K41</x:f>
        <x:v>7.061111111111117</x:v>
      </x:c>
      <x:c r="R41" s="7" t="n">
        <x:f>M41-K41</x:f>
        <x:v>0</x:v>
      </x:c>
      <x:c r="S41" s="2" t="str">
        <x:f>IF(J41-K41&gt;0.00000001,"improved",IF(K41-J41&gt;0.00000001,"worsened","unchanged"))</x:f>
        <x:v>improved</x:v>
      </x:c>
      <x:c r="T41" s="2" t="str">
        <x:f>IF(J41-M41&gt;0.00000001,"improved",IF(M41-J41&gt;0.00000001,"worsened","unchanged"))</x:f>
        <x:v>improved</x:v>
      </x:c>
      <x:c r="U41" s="2" t="str">
        <x:f>IF(R41&gt;0.00000001,"QAOA lower",IF(R41&lt; -0.00000001,"BPSO lower","tie"))</x:f>
        <x:v>tie</x:v>
      </x:c>
      <x:c r="V41" s="7" t="n">
        <x:v>76.00555555555555</x:v>
      </x:c>
      <x:c r="W41" s="7" t="n">
        <x:v>69.34705882352942</x:v>
      </x:c>
      <x:c r="X41" s="8" t="n">
        <x:v>0</x:v>
      </x:c>
      <x:c r="Y41" s="2" t="n">
        <x:v>5</x:v>
      </x:c>
    </x:row>
    <x:row r="42" ht="18" customHeight="1">
      <x:c r="A42" s="2" t="str">
        <x:v>legacy</x:v>
      </x:c>
      <x:c r="B42" s="2" t="n">
        <x:v>5</x:v>
      </x:c>
      <x:c r="C42" s="2" t="str">
        <x:v>legacy_n5_02</x:v>
      </x:c>
      <x:c r="D42" s="2" t="str">
        <x:v>Adjacent Bottlenecks</x:v>
      </x:c>
      <x:c r="E42" s="2" t="str">
        <x:v>2</x:v>
      </x:c>
      <x:c r="F42" s="2" t="str">
        <x:v>ready</x:v>
      </x:c>
      <x:c r="G42" s="2" t="n">
        <x:v>8</x:v>
      </x:c>
      <x:c r="H42" s="2" t="n">
        <x:v>8</x:v>
      </x:c>
      <x:c r="I42" s="2" t="n">
        <x:v>0</x:v>
      </x:c>
      <x:c r="J42" s="7" t="n">
        <x:v>81.28571428571428</x:v>
      </x:c>
      <x:c r="K42" s="7" t="n">
        <x:v>69.9695652173913</x:v>
      </x:c>
      <x:c r="L42" s="7" t="n">
        <x:v>0</x:v>
      </x:c>
      <x:c r="M42" s="7" t="n">
        <x:v>69.9695652173913</x:v>
      </x:c>
      <x:c r="N42" s="7" t="n">
        <x:v>0</x:v>
      </x:c>
      <x:c r="O42" s="7" t="n">
        <x:f>IF(J42=0,"n.a.",100*(J42-K42)/J42)</x:f>
        <x:v>13.921448765950931</x:v>
      </x:c>
      <x:c r="P42" s="7" t="n">
        <x:f>IF(J42=0,"n.a.",100*(J42-M42)/J42)</x:f>
        <x:v>13.921448765950931</x:v>
      </x:c>
      <x:c r="Q42" s="7" t="n">
        <x:f>J42-K42</x:f>
        <x:v>11.316149068322972</x:v>
      </x:c>
      <x:c r="R42" s="7" t="n">
        <x:f>M42-K42</x:f>
        <x:v>0</x:v>
      </x:c>
      <x:c r="S42" s="2" t="str">
        <x:f>IF(J42-K42&gt;0.00000001,"improved",IF(K42-J42&gt;0.00000001,"worsened","unchanged"))</x:f>
        <x:v>improved</x:v>
      </x:c>
      <x:c r="T42" s="2" t="str">
        <x:f>IF(J42-M42&gt;0.00000001,"improved",IF(M42-J42&gt;0.00000001,"worsened","unchanged"))</x:f>
        <x:v>improved</x:v>
      </x:c>
      <x:c r="U42" s="2" t="str">
        <x:f>IF(R42&gt;0.00000001,"QAOA lower",IF(R42&lt; -0.00000001,"BPSO lower","tie"))</x:f>
        <x:v>tie</x:v>
      </x:c>
      <x:c r="V42" s="7" t="n">
        <x:v>69.9695652173913</x:v>
      </x:c>
      <x:c r="W42" s="7" t="n">
        <x:v>69.9695652173913</x:v>
      </x:c>
      <x:c r="X42" s="8" t="n">
        <x:v>0</x:v>
      </x:c>
      <x:c r="Y42" s="2" t="n">
        <x:v>5</x:v>
      </x:c>
    </x:row>
    <x:row r="43" ht="18" customHeight="1">
      <x:c r="A43" s="2" t="str">
        <x:v>legacy</x:v>
      </x:c>
      <x:c r="B43" s="2" t="n">
        <x:v>5</x:v>
      </x:c>
      <x:c r="C43" s="2" t="str">
        <x:v>legacy_n5_03</x:v>
      </x:c>
      <x:c r="D43" s="2" t="str">
        <x:v>Non-Adjacent Bottlenecks</x:v>
      </x:c>
      <x:c r="E43" s="2" t="str">
        <x:v>3</x:v>
      </x:c>
      <x:c r="F43" s="2" t="str">
        <x:v>ready</x:v>
      </x:c>
      <x:c r="G43" s="2" t="n">
        <x:v>9</x:v>
      </x:c>
      <x:c r="H43" s="2" t="n">
        <x:v>9</x:v>
      </x:c>
      <x:c r="I43" s="2" t="n">
        <x:v>0</x:v>
      </x:c>
      <x:c r="J43" s="7" t="n">
        <x:v>81.81363636363636</x:v>
      </x:c>
      <x:c r="K43" s="7" t="n">
        <x:v>68.68</x:v>
      </x:c>
      <x:c r="L43" s="7" t="n">
        <x:v>0</x:v>
      </x:c>
      <x:c r="M43" s="7" t="n">
        <x:v>68.68</x:v>
      </x:c>
      <x:c r="N43" s="7" t="n">
        <x:v>0</x:v>
      </x:c>
      <x:c r="O43" s="7" t="n">
        <x:f>IF(J43=0,"n.a.",100*(J43-K43)/J43)</x:f>
        <x:v>16.05311406189232</x:v>
      </x:c>
      <x:c r="P43" s="7" t="n">
        <x:f>IF(J43=0,"n.a.",100*(J43-M43)/J43)</x:f>
        <x:v>16.05311406189232</x:v>
      </x:c>
      <x:c r="Q43" s="7" t="n">
        <x:f>J43-K43</x:f>
        <x:v>13.133636363636356</x:v>
      </x:c>
      <x:c r="R43" s="7" t="n">
        <x:f>M43-K43</x:f>
        <x:v>0</x:v>
      </x:c>
      <x:c r="S43" s="2" t="str">
        <x:f>IF(J43-K43&gt;0.00000001,"improved",IF(K43-J43&gt;0.00000001,"worsened","unchanged"))</x:f>
        <x:v>improved</x:v>
      </x:c>
      <x:c r="T43" s="2" t="str">
        <x:f>IF(J43-M43&gt;0.00000001,"improved",IF(M43-J43&gt;0.00000001,"worsened","unchanged"))</x:f>
        <x:v>improved</x:v>
      </x:c>
      <x:c r="U43" s="2" t="str">
        <x:f>IF(R43&gt;0.00000001,"QAOA lower",IF(R43&lt; -0.00000001,"BPSO lower","tie"))</x:f>
        <x:v>tie</x:v>
      </x:c>
      <x:c r="V43" s="7" t="n">
        <x:v>68.68</x:v>
      </x:c>
      <x:c r="W43" s="7" t="n">
        <x:v>68.68</x:v>
      </x:c>
      <x:c r="X43" s="8" t="n">
        <x:v>0</x:v>
      </x:c>
      <x:c r="Y43" s="2" t="n">
        <x:v>5</x:v>
      </x:c>
    </x:row>
    <x:row r="44" ht="18" customHeight="1">
      <x:c r="A44" s="2" t="str">
        <x:v>legacy</x:v>
      </x:c>
      <x:c r="B44" s="2" t="n">
        <x:v>5</x:v>
      </x:c>
      <x:c r="C44" s="2" t="str">
        <x:v>legacy_n5_04</x:v>
      </x:c>
      <x:c r="D44" s="2" t="str">
        <x:v>Inbound Corridor</x:v>
      </x:c>
      <x:c r="E44" s="2" t="str">
        <x:v>4</x:v>
      </x:c>
      <x:c r="F44" s="2" t="str">
        <x:v>ready</x:v>
      </x:c>
      <x:c r="G44" s="2" t="n">
        <x:v>7</x:v>
      </x:c>
      <x:c r="H44" s="2" t="n">
        <x:v>7</x:v>
      </x:c>
      <x:c r="I44" s="2" t="n">
        <x:v>0</x:v>
      </x:c>
      <x:c r="J44" s="7" t="n">
        <x:v>81.46111111111111</x:v>
      </x:c>
      <x:c r="K44" s="7" t="n">
        <x:v>58.26521739130435</x:v>
      </x:c>
      <x:c r="L44" s="7" t="n">
        <x:v>0</x:v>
      </x:c>
      <x:c r="M44" s="7" t="n">
        <x:v>58.26521739130435</x:v>
      </x:c>
      <x:c r="N44" s="7" t="n">
        <x:v>0</x:v>
      </x:c>
      <x:c r="O44" s="7" t="n">
        <x:f>IF(J44=0,"n.a.",100*(J44-K44)/J44)</x:f>
        <x:v>28.474806448647737</x:v>
      </x:c>
      <x:c r="P44" s="7" t="n">
        <x:f>IF(J44=0,"n.a.",100*(J44-M44)/J44)</x:f>
        <x:v>28.474806448647737</x:v>
      </x:c>
      <x:c r="Q44" s="7" t="n">
        <x:f>J44-K44</x:f>
        <x:v>23.19589371980676</x:v>
      </x:c>
      <x:c r="R44" s="7" t="n">
        <x:f>M44-K44</x:f>
        <x:v>0</x:v>
      </x:c>
      <x:c r="S44" s="2" t="str">
        <x:f>IF(J44-K44&gt;0.00000001,"improved",IF(K44-J44&gt;0.00000001,"worsened","unchanged"))</x:f>
        <x:v>improved</x:v>
      </x:c>
      <x:c r="T44" s="2" t="str">
        <x:f>IF(J44-M44&gt;0.00000001,"improved",IF(M44-J44&gt;0.00000001,"worsened","unchanged"))</x:f>
        <x:v>improved</x:v>
      </x:c>
      <x:c r="U44" s="2" t="str">
        <x:f>IF(R44&gt;0.00000001,"QAOA lower",IF(R44&lt; -0.00000001,"BPSO lower","tie"))</x:f>
        <x:v>tie</x:v>
      </x:c>
      <x:c r="V44" s="7" t="n">
        <x:v>58.26521739130435</x:v>
      </x:c>
      <x:c r="W44" s="7" t="n">
        <x:v>58.26521739130435</x:v>
      </x:c>
      <x:c r="X44" s="8" t="n">
        <x:v>2.7755575615628914e-17</x:v>
      </x:c>
      <x:c r="Y44" s="2" t="n">
        <x:v>5</x:v>
      </x:c>
    </x:row>
    <x:row r="45" ht="18" customHeight="1">
      <x:c r="A45" s="2" t="str">
        <x:v>legacy</x:v>
      </x:c>
      <x:c r="B45" s="2" t="n">
        <x:v>5</x:v>
      </x:c>
      <x:c r="C45" s="2" t="str">
        <x:v>legacy_n5_05</x:v>
      </x:c>
      <x:c r="D45" s="2" t="str">
        <x:v>Outbound Corridor</x:v>
      </x:c>
      <x:c r="E45" s="2" t="str">
        <x:v>5</x:v>
      </x:c>
      <x:c r="F45" s="2" t="str">
        <x:v>ready</x:v>
      </x:c>
      <x:c r="G45" s="2" t="n">
        <x:v>9</x:v>
      </x:c>
      <x:c r="H45" s="2" t="n">
        <x:v>9</x:v>
      </x:c>
      <x:c r="I45" s="2" t="n">
        <x:v>0</x:v>
      </x:c>
      <x:c r="J45" s="7" t="n">
        <x:v>77.82941176470588</x:v>
      </x:c>
      <x:c r="K45" s="7" t="n">
        <x:v>75.10833333333333</x:v>
      </x:c>
      <x:c r="L45" s="7" t="n">
        <x:v>0</x:v>
      </x:c>
      <x:c r="M45" s="7" t="n">
        <x:v>75.10833333333333</x:v>
      </x:c>
      <x:c r="N45" s="7" t="n">
        <x:v>0</x:v>
      </x:c>
      <x:c r="O45" s="7" t="n">
        <x:f>IF(J45=0,"n.a.",100*(J45-K45)/J45)</x:f>
        <x:v>3.4962083994658983</x:v>
      </x:c>
      <x:c r="P45" s="7" t="n">
        <x:f>IF(J45=0,"n.a.",100*(J45-M45)/J45)</x:f>
        <x:v>3.4962083994658983</x:v>
      </x:c>
      <x:c r="Q45" s="7" t="n">
        <x:f>J45-K45</x:f>
        <x:v>2.721078431372547</x:v>
      </x:c>
      <x:c r="R45" s="7" t="n">
        <x:f>M45-K45</x:f>
        <x:v>0</x:v>
      </x:c>
      <x:c r="S45" s="2" t="str">
        <x:f>IF(J45-K45&gt;0.00000001,"improved",IF(K45-J45&gt;0.00000001,"worsened","unchanged"))</x:f>
        <x:v>improved</x:v>
      </x:c>
      <x:c r="T45" s="2" t="str">
        <x:f>IF(J45-M45&gt;0.00000001,"improved",IF(M45-J45&gt;0.00000001,"worsened","unchanged"))</x:f>
        <x:v>improved</x:v>
      </x:c>
      <x:c r="U45" s="2" t="str">
        <x:f>IF(R45&gt;0.00000001,"QAOA lower",IF(R45&lt; -0.00000001,"BPSO lower","tie"))</x:f>
        <x:v>tie</x:v>
      </x:c>
      <x:c r="V45" s="7" t="n">
        <x:v>75.10833333333333</x:v>
      </x:c>
      <x:c r="W45" s="7" t="n">
        <x:v>75.10833333333333</x:v>
      </x:c>
      <x:c r="X45" s="8" t="n">
        <x:v>0</x:v>
      </x:c>
      <x:c r="Y45" s="2" t="n">
        <x:v>5</x:v>
      </x:c>
    </x:row>
    <x:row r="46" ht="18" customHeight="1">
      <x:c r="A46" s="2" t="str">
        <x:v>legacy</x:v>
      </x:c>
      <x:c r="B46" s="2" t="n">
        <x:v>5</x:v>
      </x:c>
      <x:c r="C46" s="2" t="str">
        <x:v>legacy_n5_06</x:v>
      </x:c>
      <x:c r="D46" s="2" t="str">
        <x:v>Localized Congestion</x:v>
      </x:c>
      <x:c r="E46" s="2" t="str">
        <x:v>6</x:v>
      </x:c>
      <x:c r="F46" s="2" t="str">
        <x:v>ready</x:v>
      </x:c>
      <x:c r="G46" s="2" t="n">
        <x:v>10</x:v>
      </x:c>
      <x:c r="H46" s="2" t="n">
        <x:v>13</x:v>
      </x:c>
      <x:c r="I46" s="2" t="n">
        <x:v>3</x:v>
      </x:c>
      <x:c r="J46" s="7" t="n">
        <x:v>84.46666666666667</x:v>
      </x:c>
      <x:c r="K46" s="7" t="n">
        <x:v>80.94117647058823</x:v>
      </x:c>
      <x:c r="L46" s="7" t="n">
        <x:v>0</x:v>
      </x:c>
      <x:c r="M46" s="7" t="n">
        <x:v>80.94117647058823</x:v>
      </x:c>
      <x:c r="N46" s="7" t="n">
        <x:v>0</x:v>
      </x:c>
      <x:c r="O46" s="7" t="n">
        <x:f>IF(J46=0,"n.a.",100*(J46-K46)/J46)</x:f>
        <x:v>4.173824225822932</x:v>
      </x:c>
      <x:c r="P46" s="7" t="n">
        <x:f>IF(J46=0,"n.a.",100*(J46-M46)/J46)</x:f>
        <x:v>4.173824225822932</x:v>
      </x:c>
      <x:c r="Q46" s="7" t="n">
        <x:f>J46-K46</x:f>
        <x:v>3.5254901960784366</x:v>
      </x:c>
      <x:c r="R46" s="7" t="n">
        <x:f>M46-K46</x:f>
        <x:v>0</x:v>
      </x:c>
      <x:c r="S46" s="2" t="str">
        <x:f>IF(J46-K46&gt;0.00000001,"improved",IF(K46-J46&gt;0.00000001,"worsened","unchanged"))</x:f>
        <x:v>improved</x:v>
      </x:c>
      <x:c r="T46" s="2" t="str">
        <x:f>IF(J46-M46&gt;0.00000001,"improved",IF(M46-J46&gt;0.00000001,"worsened","unchanged"))</x:f>
        <x:v>improved</x:v>
      </x:c>
      <x:c r="U46" s="2" t="str">
        <x:f>IF(R46&gt;0.00000001,"QAOA lower",IF(R46&lt; -0.00000001,"BPSO lower","tie"))</x:f>
        <x:v>tie</x:v>
      </x:c>
      <x:c r="V46" s="7" t="n">
        <x:v>80.94117647058823</x:v>
      </x:c>
      <x:c r="W46" s="7" t="n">
        <x:v>80.42142857142858</x:v>
      </x:c>
      <x:c r="X46" s="8" t="n">
        <x:v>4.440892098500626e-16</x:v>
      </x:c>
      <x:c r="Y46" s="2" t="n">
        <x:v>5</x:v>
      </x:c>
    </x:row>
    <x:row r="47" ht="18" customHeight="1">
      <x:c r="A47" s="2" t="str">
        <x:v>legacy</x:v>
      </x:c>
      <x:c r="B47" s="2" t="n">
        <x:v>5</x:v>
      </x:c>
      <x:c r="C47" s="2" t="str">
        <x:v>legacy_n5_07</x:v>
      </x:c>
      <x:c r="D47" s="2" t="str">
        <x:v>Lane Closure Incident</x:v>
      </x:c>
      <x:c r="E47" s="2" t="str">
        <x:v>7</x:v>
      </x:c>
      <x:c r="F47" s="2" t="str">
        <x:v>ready</x:v>
      </x:c>
      <x:c r="G47" s="2" t="n">
        <x:v>2</x:v>
      </x:c>
      <x:c r="H47" s="2" t="n">
        <x:v>2</x:v>
      </x:c>
      <x:c r="I47" s="2" t="n">
        <x:v>0</x:v>
      </x:c>
      <x:c r="J47" s="7" t="n">
        <x:v>73.88333333333334</x:v>
      </x:c>
      <x:c r="K47" s="7" t="n">
        <x:v>48.88333333333333</x:v>
      </x:c>
      <x:c r="L47" s="7" t="n">
        <x:v>0</x:v>
      </x:c>
      <x:c r="M47" s="7" t="n">
        <x:v>48.88333333333333</x:v>
      </x:c>
      <x:c r="N47" s="7" t="n">
        <x:v>0</x:v>
      </x:c>
      <x:c r="O47" s="7" t="n">
        <x:f>IF(J47=0,"n.a.",100*(J47-K47)/J47)</x:f>
        <x:v>33.83713061132417</x:v>
      </x:c>
      <x:c r="P47" s="7" t="n">
        <x:f>IF(J47=0,"n.a.",100*(J47-M47)/J47)</x:f>
        <x:v>33.83713061132417</x:v>
      </x:c>
      <x:c r="Q47" s="7" t="n">
        <x:f>J47-K47</x:f>
        <x:v>25.000000000000007</x:v>
      </x:c>
      <x:c r="R47" s="7" t="n">
        <x:f>M47-K47</x:f>
        <x:v>0</x:v>
      </x:c>
      <x:c r="S47" s="2" t="str">
        <x:f>IF(J47-K47&gt;0.00000001,"improved",IF(K47-J47&gt;0.00000001,"worsened","unchanged"))</x:f>
        <x:v>improved</x:v>
      </x:c>
      <x:c r="T47" s="2" t="str">
        <x:f>IF(J47-M47&gt;0.00000001,"improved",IF(M47-J47&gt;0.00000001,"worsened","unchanged"))</x:f>
        <x:v>improved</x:v>
      </x:c>
      <x:c r="U47" s="2" t="str">
        <x:f>IF(R47&gt;0.00000001,"QAOA lower",IF(R47&lt; -0.00000001,"BPSO lower","tie"))</x:f>
        <x:v>tie</x:v>
      </x:c>
      <x:c r="V47" s="7" t="n">
        <x:v>48.88333333333333</x:v>
      </x:c>
      <x:c r="W47" s="7" t="n">
        <x:v>48.88333333333333</x:v>
      </x:c>
      <x:c r="X47" s="8" t="n">
        <x:v>0</x:v>
      </x:c>
      <x:c r="Y47" s="2" t="n">
        <x:v>5</x:v>
      </x:c>
    </x:row>
    <x:row r="48" ht="18" customHeight="1">
      <x:c r="A48" s="2" t="str">
        <x:v>legacy</x:v>
      </x:c>
      <x:c r="B48" s="2" t="n">
        <x:v>5</x:v>
      </x:c>
      <x:c r="C48" s="2" t="str">
        <x:v>legacy_n5_08</x:v>
      </x:c>
      <x:c r="D48" s="2" t="str">
        <x:v>Event Outflow</x:v>
      </x:c>
      <x:c r="E48" s="2" t="str">
        <x:v>8</x:v>
      </x:c>
      <x:c r="F48" s="2" t="str">
        <x:v>ready</x:v>
      </x:c>
      <x:c r="G48" s="2" t="n">
        <x:v>7</x:v>
      </x:c>
      <x:c r="H48" s="2" t="n">
        <x:v>7</x:v>
      </x:c>
      <x:c r="I48" s="2" t="n">
        <x:v>0</x:v>
      </x:c>
      <x:c r="J48" s="7" t="n">
        <x:v>79.76666666666667</x:v>
      </x:c>
      <x:c r="K48" s="7" t="n">
        <x:v>65.82941176470588</x:v>
      </x:c>
      <x:c r="L48" s="7" t="n">
        <x:v>0</x:v>
      </x:c>
      <x:c r="M48" s="7" t="n">
        <x:v>65.82941176470588</x:v>
      </x:c>
      <x:c r="N48" s="7" t="n">
        <x:v>0</x:v>
      </x:c>
      <x:c r="O48" s="7" t="n">
        <x:f>IF(J48=0,"n.a.",100*(J48-K48)/J48)</x:f>
        <x:v>17.472530173791206</x:v>
      </x:c>
      <x:c r="P48" s="7" t="n">
        <x:f>IF(J48=0,"n.a.",100*(J48-M48)/J48)</x:f>
        <x:v>17.472530173791206</x:v>
      </x:c>
      <x:c r="Q48" s="7" t="n">
        <x:f>J48-K48</x:f>
        <x:v>13.937254901960785</x:v>
      </x:c>
      <x:c r="R48" s="7" t="n">
        <x:f>M48-K48</x:f>
        <x:v>0</x:v>
      </x:c>
      <x:c r="S48" s="2" t="str">
        <x:f>IF(J48-K48&gt;0.00000001,"improved",IF(K48-J48&gt;0.00000001,"worsened","unchanged"))</x:f>
        <x:v>improved</x:v>
      </x:c>
      <x:c r="T48" s="2" t="str">
        <x:f>IF(J48-M48&gt;0.00000001,"improved",IF(M48-J48&gt;0.00000001,"worsened","unchanged"))</x:f>
        <x:v>improved</x:v>
      </x:c>
      <x:c r="U48" s="2" t="str">
        <x:f>IF(R48&gt;0.00000001,"QAOA lower",IF(R48&lt; -0.00000001,"BPSO lower","tie"))</x:f>
        <x:v>tie</x:v>
      </x:c>
      <x:c r="V48" s="7" t="n">
        <x:v>65.82941176470588</x:v>
      </x:c>
      <x:c r="W48" s="7" t="n">
        <x:v>65.82941176470588</x:v>
      </x:c>
      <x:c r="X48" s="8" t="n">
        <x:v>5.551115123125783e-17</x:v>
      </x:c>
      <x:c r="Y48" s="2" t="n">
        <x:v>5</x:v>
      </x:c>
    </x:row>
    <x:row r="49" ht="18" customHeight="1">
      <x:c r="A49" s="2" t="str">
        <x:v>legacy</x:v>
      </x:c>
      <x:c r="B49" s="2" t="n">
        <x:v>5</x:v>
      </x:c>
      <x:c r="C49" s="2" t="str">
        <x:v>legacy_n5_09</x:v>
      </x:c>
      <x:c r="D49" s="2" t="str">
        <x:v>Localized Dropoff</x:v>
      </x:c>
      <x:c r="E49" s="2" t="str">
        <x:v>9</x:v>
      </x:c>
      <x:c r="F49" s="2" t="str">
        <x:v>ready</x:v>
      </x:c>
      <x:c r="G49" s="2" t="n">
        <x:v>10</x:v>
      </x:c>
      <x:c r="H49" s="2" t="n">
        <x:v>10</x:v>
      </x:c>
      <x:c r="I49" s="2" t="n">
        <x:v>0</x:v>
      </x:c>
      <x:c r="J49" s="7" t="n">
        <x:v>84.45416666666668</x:v>
      </x:c>
      <x:c r="K49" s="7" t="n">
        <x:v>81.56666666666666</x:v>
      </x:c>
      <x:c r="L49" s="7" t="n">
        <x:v>0</x:v>
      </x:c>
      <x:c r="M49" s="7" t="n">
        <x:v>81.56666666666666</x:v>
      </x:c>
      <x:c r="N49" s="7" t="n">
        <x:v>0</x:v>
      </x:c>
      <x:c r="O49" s="7" t="n">
        <x:f>IF(J49=0,"n.a.",100*(J49-K49)/J49)</x:f>
        <x:v>3.4190142582268686</x:v>
      </x:c>
      <x:c r="P49" s="7" t="n">
        <x:f>IF(J49=0,"n.a.",100*(J49-M49)/J49)</x:f>
        <x:v>3.4190142582268686</x:v>
      </x:c>
      <x:c r="Q49" s="7" t="n">
        <x:f>J49-K49</x:f>
        <x:v>2.887500000000017</x:v>
      </x:c>
      <x:c r="R49" s="7" t="n">
        <x:f>M49-K49</x:f>
        <x:v>0</x:v>
      </x:c>
      <x:c r="S49" s="2" t="str">
        <x:f>IF(J49-K49&gt;0.00000001,"improved",IF(K49-J49&gt;0.00000001,"worsened","unchanged"))</x:f>
        <x:v>improved</x:v>
      </x:c>
      <x:c r="T49" s="2" t="str">
        <x:f>IF(J49-M49&gt;0.00000001,"improved",IF(M49-J49&gt;0.00000001,"worsened","unchanged"))</x:f>
        <x:v>improved</x:v>
      </x:c>
      <x:c r="U49" s="2" t="str">
        <x:f>IF(R49&gt;0.00000001,"QAOA lower",IF(R49&lt; -0.00000001,"BPSO lower","tie"))</x:f>
        <x:v>tie</x:v>
      </x:c>
      <x:c r="V49" s="7" t="n">
        <x:v>81.56666666666666</x:v>
      </x:c>
      <x:c r="W49" s="7" t="n">
        <x:v>81.56666666666666</x:v>
      </x:c>
      <x:c r="X49" s="8" t="n">
        <x:v>0</x:v>
      </x:c>
      <x:c r="Y49" s="2" t="n">
        <x:v>5</x:v>
      </x:c>
    </x:row>
    <x:row r="50" ht="18" customHeight="1">
      <x:c r="A50" s="2" t="str">
        <x:v>legacy</x:v>
      </x:c>
      <x:c r="B50" s="2" t="n">
        <x:v>5</x:v>
      </x:c>
      <x:c r="C50" s="2" t="str">
        <x:v>legacy_n5_10</x:v>
      </x:c>
      <x:c r="D50" s="2" t="str">
        <x:v>Asymmetric Demand</x:v>
      </x:c>
      <x:c r="E50" s="2" t="str">
        <x:v>10</x:v>
      </x:c>
      <x:c r="F50" s="2" t="str">
        <x:v>ready</x:v>
      </x:c>
      <x:c r="G50" s="2" t="n">
        <x:v>8</x:v>
      </x:c>
      <x:c r="H50" s="2" t="n">
        <x:v>8</x:v>
      </x:c>
      <x:c r="I50" s="2" t="n">
        <x:v>0</x:v>
      </x:c>
      <x:c r="J50" s="7" t="n">
        <x:v>77.73157894736843</x:v>
      </x:c>
      <x:c r="K50" s="7" t="n">
        <x:v>63.06875000000001</x:v>
      </x:c>
      <x:c r="L50" s="7" t="n">
        <x:v>0</x:v>
      </x:c>
      <x:c r="M50" s="7" t="n">
        <x:v>63.06875000000001</x:v>
      </x:c>
      <x:c r="N50" s="7" t="n">
        <x:v>0</x:v>
      </x:c>
      <x:c r="O50" s="7" t="n">
        <x:f>IF(J50=0,"n.a.",100*(J50-K50)/J50)</x:f>
        <x:v>18.863413230415063</x:v>
      </x:c>
      <x:c r="P50" s="7" t="n">
        <x:f>IF(J50=0,"n.a.",100*(J50-M50)/J50)</x:f>
        <x:v>18.863413230415063</x:v>
      </x:c>
      <x:c r="Q50" s="7" t="n">
        <x:f>J50-K50</x:f>
        <x:v>14.662828947368425</x:v>
      </x:c>
      <x:c r="R50" s="7" t="n">
        <x:f>M50-K50</x:f>
        <x:v>0</x:v>
      </x:c>
      <x:c r="S50" s="2" t="str">
        <x:f>IF(J50-K50&gt;0.00000001,"improved",IF(K50-J50&gt;0.00000001,"worsened","unchanged"))</x:f>
        <x:v>improved</x:v>
      </x:c>
      <x:c r="T50" s="2" t="str">
        <x:f>IF(J50-M50&gt;0.00000001,"improved",IF(M50-J50&gt;0.00000001,"worsened","unchanged"))</x:f>
        <x:v>improved</x:v>
      </x:c>
      <x:c r="U50" s="2" t="str">
        <x:f>IF(R50&gt;0.00000001,"QAOA lower",IF(R50&lt; -0.00000001,"BPSO lower","tie"))</x:f>
        <x:v>tie</x:v>
      </x:c>
      <x:c r="V50" s="7" t="n">
        <x:v>63.06875000000001</x:v>
      </x:c>
      <x:c r="W50" s="7" t="n">
        <x:v>63.06875000000001</x:v>
      </x:c>
      <x:c r="X50" s="8" t="n">
        <x:v>0</x:v>
      </x:c>
      <x:c r="Y50" s="2" t="n">
        <x:v>5</x:v>
      </x:c>
    </x:row>
    <x:row r="51" ht="18" customHeight="1">
      <x:c r="A51" s="2" t="str">
        <x:v>legacy</x:v>
      </x:c>
      <x:c r="B51" s="2" t="n">
        <x:v>5</x:v>
      </x:c>
      <x:c r="C51" s="2" t="str">
        <x:v>legacy_n5_11</x:v>
      </x:c>
      <x:c r="D51" s="2" t="str">
        <x:v>Weather Slowdown</x:v>
      </x:c>
      <x:c r="E51" s="2" t="str">
        <x:v>11</x:v>
      </x:c>
      <x:c r="F51" s="2" t="str">
        <x:v>ready</x:v>
      </x:c>
      <x:c r="G51" s="2" t="n">
        <x:v>10</x:v>
      </x:c>
      <x:c r="H51" s="2" t="n">
        <x:v>13</x:v>
      </x:c>
      <x:c r="I51" s="2" t="n">
        <x:v>3</x:v>
      </x:c>
      <x:c r="J51" s="7" t="n">
        <x:v>82.61363636363637</x:v>
      </x:c>
      <x:c r="K51" s="7" t="n">
        <x:v>69.34857142857143</x:v>
      </x:c>
      <x:c r="L51" s="7" t="n">
        <x:v>0</x:v>
      </x:c>
      <x:c r="M51" s="7" t="n">
        <x:v>69.34857142857143</x:v>
      </x:c>
      <x:c r="N51" s="7" t="n">
        <x:v>0</x:v>
      </x:c>
      <x:c r="O51" s="7" t="n">
        <x:f>IF(J51=0,"n.a.",100*(J51-K51)/J51)</x:f>
        <x:v>16.056749852623312</x:v>
      </x:c>
      <x:c r="P51" s="7" t="n">
        <x:f>IF(J51=0,"n.a.",100*(J51-M51)/J51)</x:f>
        <x:v>16.056749852623312</x:v>
      </x:c>
      <x:c r="Q51" s="7" t="n">
        <x:f>J51-K51</x:f>
        <x:v>13.265064935064942</x:v>
      </x:c>
      <x:c r="R51" s="7" t="n">
        <x:f>M51-K51</x:f>
        <x:v>0</x:v>
      </x:c>
      <x:c r="S51" s="2" t="str">
        <x:f>IF(J51-K51&gt;0.00000001,"improved",IF(K51-J51&gt;0.00000001,"worsened","unchanged"))</x:f>
        <x:v>improved</x:v>
      </x:c>
      <x:c r="T51" s="2" t="str">
        <x:f>IF(J51-M51&gt;0.00000001,"improved",IF(M51-J51&gt;0.00000001,"worsened","unchanged"))</x:f>
        <x:v>improved</x:v>
      </x:c>
      <x:c r="U51" s="2" t="str">
        <x:f>IF(R51&gt;0.00000001,"QAOA lower",IF(R51&lt; -0.00000001,"BPSO lower","tie"))</x:f>
        <x:v>tie</x:v>
      </x:c>
      <x:c r="V51" s="7" t="n">
        <x:v>69.34857142857143</x:v>
      </x:c>
      <x:c r="W51" s="7" t="n">
        <x:v>69.34857142857143</x:v>
      </x:c>
      <x:c r="X51" s="8" t="n">
        <x:v>0</x:v>
      </x:c>
      <x:c r="Y51" s="2" t="n">
        <x:v>5</x:v>
      </x:c>
    </x:row>
    <x:row r="52" ht="18" customHeight="1">
      <x:c r="A52" s="2" t="str">
        <x:v>legacy</x:v>
      </x:c>
      <x:c r="B52" s="2" t="n">
        <x:v>5</x:v>
      </x:c>
      <x:c r="C52" s="2" t="str">
        <x:v>legacy_n5_12</x:v>
      </x:c>
      <x:c r="D52" s="2" t="str">
        <x:v>Corridor Congestion</x:v>
      </x:c>
      <x:c r="E52" s="2" t="str">
        <x:v>12</x:v>
      </x:c>
      <x:c r="F52" s="2" t="str">
        <x:v>ready</x:v>
      </x:c>
      <x:c r="G52" s="2" t="n">
        <x:v>8</x:v>
      </x:c>
      <x:c r="H52" s="2" t="n">
        <x:v>8</x:v>
      </x:c>
      <x:c r="I52" s="2" t="n">
        <x:v>0</x:v>
      </x:c>
      <x:c r="J52" s="7" t="n">
        <x:v>85.4125</x:v>
      </x:c>
      <x:c r="K52" s="7" t="n">
        <x:v>72.2342857142857</x:v>
      </x:c>
      <x:c r="L52" s="7" t="n">
        <x:v>0</x:v>
      </x:c>
      <x:c r="M52" s="7" t="n">
        <x:v>72.2342857142857</x:v>
      </x:c>
      <x:c r="N52" s="7" t="n">
        <x:v>0</x:v>
      </x:c>
      <x:c r="O52" s="7" t="n">
        <x:f>IF(J52=0,"n.a.",100*(J52-K52)/J52)</x:f>
        <x:v>15.428905939662567</x:v>
      </x:c>
      <x:c r="P52" s="7" t="n">
        <x:f>IF(J52=0,"n.a.",100*(J52-M52)/J52)</x:f>
        <x:v>15.428905939662567</x:v>
      </x:c>
      <x:c r="Q52" s="7" t="n">
        <x:f>J52-K52</x:f>
        <x:v>13.17821428571429</x:v>
      </x:c>
      <x:c r="R52" s="7" t="n">
        <x:f>M52-K52</x:f>
        <x:v>0</x:v>
      </x:c>
      <x:c r="S52" s="2" t="str">
        <x:f>IF(J52-K52&gt;0.00000001,"improved",IF(K52-J52&gt;0.00000001,"worsened","unchanged"))</x:f>
        <x:v>improved</x:v>
      </x:c>
      <x:c r="T52" s="2" t="str">
        <x:f>IF(J52-M52&gt;0.00000001,"improved",IF(M52-J52&gt;0.00000001,"worsened","unchanged"))</x:f>
        <x:v>improved</x:v>
      </x:c>
      <x:c r="U52" s="2" t="str">
        <x:f>IF(R52&gt;0.00000001,"QAOA lower",IF(R52&lt; -0.00000001,"BPSO lower","tie"))</x:f>
        <x:v>tie</x:v>
      </x:c>
      <x:c r="V52" s="7" t="n">
        <x:v>72.2342857142857</x:v>
      </x:c>
      <x:c r="W52" s="7" t="n">
        <x:v>67</x:v>
      </x:c>
      <x:c r="X52" s="8" t="n">
        <x:v>0</x:v>
      </x:c>
      <x:c r="Y52" s="2" t="n">
        <x:v>5</x:v>
      </x:c>
    </x:row>
    <x:row r="53" ht="18" customHeight="1">
      <x:c r="A53" s="2" t="str">
        <x:v>legacy</x:v>
      </x:c>
      <x:c r="B53" s="2" t="n">
        <x:v>5</x:v>
      </x:c>
      <x:c r="C53" s="2" t="str">
        <x:v>legacy_n5_13</x:v>
      </x:c>
      <x:c r="D53" s="2" t="str">
        <x:v>Freight Corridor</x:v>
      </x:c>
      <x:c r="E53" s="2" t="str">
        <x:v>13</x:v>
      </x:c>
      <x:c r="F53" s="2" t="str">
        <x:v>ready</x:v>
      </x:c>
      <x:c r="G53" s="2" t="n">
        <x:v>3</x:v>
      </x:c>
      <x:c r="H53" s="2" t="n">
        <x:v>3</x:v>
      </x:c>
      <x:c r="I53" s="2" t="n">
        <x:v>0</x:v>
      </x:c>
      <x:c r="J53" s="7" t="n">
        <x:v>73.11764705882354</x:v>
      </x:c>
      <x:c r="K53" s="7" t="n">
        <x:v>51.83913043478261</x:v>
      </x:c>
      <x:c r="L53" s="7" t="n">
        <x:v>0</x:v>
      </x:c>
      <x:c r="M53" s="7" t="n">
        <x:v>51.83913043478261</x:v>
      </x:c>
      <x:c r="N53" s="7" t="n">
        <x:v>0</x:v>
      </x:c>
      <x:c r="O53" s="7" t="n">
        <x:f>IF(J53=0,"n.a.",100*(J53-K53)/J53)</x:f>
        <x:v>29.101752422260315</x:v>
      </x:c>
      <x:c r="P53" s="7" t="n">
        <x:f>IF(J53=0,"n.a.",100*(J53-M53)/J53)</x:f>
        <x:v>29.101752422260315</x:v>
      </x:c>
      <x:c r="Q53" s="7" t="n">
        <x:f>J53-K53</x:f>
        <x:v>21.278516624040925</x:v>
      </x:c>
      <x:c r="R53" s="7" t="n">
        <x:f>M53-K53</x:f>
        <x:v>0</x:v>
      </x:c>
      <x:c r="S53" s="2" t="str">
        <x:f>IF(J53-K53&gt;0.00000001,"improved",IF(K53-J53&gt;0.00000001,"worsened","unchanged"))</x:f>
        <x:v>improved</x:v>
      </x:c>
      <x:c r="T53" s="2" t="str">
        <x:f>IF(J53-M53&gt;0.00000001,"improved",IF(M53-J53&gt;0.00000001,"worsened","unchanged"))</x:f>
        <x:v>improved</x:v>
      </x:c>
      <x:c r="U53" s="2" t="str">
        <x:f>IF(R53&gt;0.00000001,"QAOA lower",IF(R53&lt; -0.00000001,"BPSO lower","tie"))</x:f>
        <x:v>tie</x:v>
      </x:c>
      <x:c r="V53" s="7" t="n">
        <x:v>51.83913043478261</x:v>
      </x:c>
      <x:c r="W53" s="7" t="n">
        <x:v>51.83913043478261</x:v>
      </x:c>
      <x:c r="X53" s="8" t="n">
        <x:v>0</x:v>
      </x:c>
      <x:c r="Y53" s="2" t="n">
        <x:v>5</x:v>
      </x:c>
    </x:row>
    <x:row r="54" ht="18" customHeight="1">
      <x:c r="A54" s="2" t="str">
        <x:v>legacy</x:v>
      </x:c>
      <x:c r="B54" s="2" t="n">
        <x:v>5</x:v>
      </x:c>
      <x:c r="C54" s="2" t="str">
        <x:v>legacy_n5_14</x:v>
      </x:c>
      <x:c r="D54" s="2" t="str">
        <x:v>Multiple Bottlenecks</x:v>
      </x:c>
      <x:c r="E54" s="2" t="str">
        <x:v>14</x:v>
      </x:c>
      <x:c r="F54" s="2" t="str">
        <x:v>ready</x:v>
      </x:c>
      <x:c r="G54" s="2" t="n">
        <x:v>10</x:v>
      </x:c>
      <x:c r="H54" s="2" t="n">
        <x:v>11</x:v>
      </x:c>
      <x:c r="I54" s="2" t="n">
        <x:v>1</x:v>
      </x:c>
      <x:c r="J54" s="7" t="n">
        <x:v>82.78333333333333</x:v>
      </x:c>
      <x:c r="K54" s="7" t="n">
        <x:v>74.93181818181817</x:v>
      </x:c>
      <x:c r="L54" s="7" t="n">
        <x:v>0</x:v>
      </x:c>
      <x:c r="M54" s="7" t="n">
        <x:v>74.93181818181817</x:v>
      </x:c>
      <x:c r="N54" s="7" t="n">
        <x:v>0</x:v>
      </x:c>
      <x:c r="O54" s="7" t="n">
        <x:f>IF(J54=0,"n.a.",100*(J54-K54)/J54)</x:f>
        <x:v>9.484415322949658</x:v>
      </x:c>
      <x:c r="P54" s="7" t="n">
        <x:f>IF(J54=0,"n.a.",100*(J54-M54)/J54)</x:f>
        <x:v>9.484415322949658</x:v>
      </x:c>
      <x:c r="Q54" s="7" t="n">
        <x:f>J54-K54</x:f>
        <x:v>7.851515151515159</x:v>
      </x:c>
      <x:c r="R54" s="7" t="n">
        <x:f>M54-K54</x:f>
        <x:v>0</x:v>
      </x:c>
      <x:c r="S54" s="2" t="str">
        <x:f>IF(J54-K54&gt;0.00000001,"improved",IF(K54-J54&gt;0.00000001,"worsened","unchanged"))</x:f>
        <x:v>improved</x:v>
      </x:c>
      <x:c r="T54" s="2" t="str">
        <x:f>IF(J54-M54&gt;0.00000001,"improved",IF(M54-J54&gt;0.00000001,"worsened","unchanged"))</x:f>
        <x:v>improved</x:v>
      </x:c>
      <x:c r="U54" s="2" t="str">
        <x:f>IF(R54&gt;0.00000001,"QAOA lower",IF(R54&lt; -0.00000001,"BPSO lower","tie"))</x:f>
        <x:v>tie</x:v>
      </x:c>
      <x:c r="V54" s="7" t="n">
        <x:v>74.93181818181817</x:v>
      </x:c>
      <x:c r="W54" s="7" t="n">
        <x:v>74.93181818181817</x:v>
      </x:c>
      <x:c r="X54" s="8" t="n">
        <x:v>0</x:v>
      </x:c>
      <x:c r="Y54" s="2" t="n">
        <x:v>5</x:v>
      </x:c>
    </x:row>
    <x:row r="55" ht="18" customHeight="1">
      <x:c r="A55" s="2" t="str">
        <x:v>legacy</x:v>
      </x:c>
      <x:c r="B55" s="2" t="n">
        <x:v>5</x:v>
      </x:c>
      <x:c r="C55" s="2" t="str">
        <x:v>legacy_n5_15</x:v>
      </x:c>
      <x:c r="D55" s="2" t="str">
        <x:v>Off-Peak Baseline</x:v>
      </x:c>
      <x:c r="E55" s="2" t="str">
        <x:v>15</x:v>
      </x:c>
      <x:c r="F55" s="2" t="str">
        <x:v>ready</x:v>
      </x:c>
      <x:c r="G55" s="2" t="n">
        <x:v>4</x:v>
      </x:c>
      <x:c r="H55" s="2" t="n">
        <x:v>4</x:v>
      </x:c>
      <x:c r="I55" s="2" t="n">
        <x:v>0</x:v>
      </x:c>
      <x:c r="J55" s="7" t="n">
        <x:v>74.48636363636363</x:v>
      </x:c>
      <x:c r="K55" s="7" t="n">
        <x:v>53.56666666666668</x:v>
      </x:c>
      <x:c r="L55" s="7" t="n">
        <x:v>0</x:v>
      </x:c>
      <x:c r="M55" s="7" t="n">
        <x:v>53.56666666666668</x:v>
      </x:c>
      <x:c r="N55" s="7" t="n">
        <x:v>0</x:v>
      </x:c>
      <x:c r="O55" s="7" t="n">
        <x:f>IF(J55=0,"n.a.",100*(J55-K55)/J55)</x:f>
        <x:v>28.085270844775312</x:v>
      </x:c>
      <x:c r="P55" s="7" t="n">
        <x:f>IF(J55=0,"n.a.",100*(J55-M55)/J55)</x:f>
        <x:v>28.085270844775312</x:v>
      </x:c>
      <x:c r="Q55" s="7" t="n">
        <x:f>J55-K55</x:f>
        <x:v>20.919696969696957</x:v>
      </x:c>
      <x:c r="R55" s="7" t="n">
        <x:f>M55-K55</x:f>
        <x:v>0</x:v>
      </x:c>
      <x:c r="S55" s="2" t="str">
        <x:f>IF(J55-K55&gt;0.00000001,"improved",IF(K55-J55&gt;0.00000001,"worsened","unchanged"))</x:f>
        <x:v>improved</x:v>
      </x:c>
      <x:c r="T55" s="2" t="str">
        <x:f>IF(J55-M55&gt;0.00000001,"improved",IF(M55-J55&gt;0.00000001,"worsened","unchanged"))</x:f>
        <x:v>improved</x:v>
      </x:c>
      <x:c r="U55" s="2" t="str">
        <x:f>IF(R55&gt;0.00000001,"QAOA lower",IF(R55&lt; -0.00000001,"BPSO lower","tie"))</x:f>
        <x:v>tie</x:v>
      </x:c>
      <x:c r="V55" s="7" t="n">
        <x:v>53.56666666666668</x:v>
      </x:c>
      <x:c r="W55" s="7" t="n">
        <x:v>53.56666666666668</x:v>
      </x:c>
      <x:c r="X55" s="8" t="n">
        <x:v>0</x:v>
      </x:c>
      <x:c r="Y55" s="2" t="n">
        <x:v>5</x:v>
      </x:c>
    </x:row>
    <x:row r="56" ht="18" customHeight="1">
      <x:c r="A56" s="2" t="str">
        <x:v>controlled</x:v>
      </x:c>
      <x:c r="B56" s="2" t="n">
        <x:v>5</x:v>
      </x:c>
      <x:c r="C56" s="2" t="str">
        <x:v>controlled_n5_off_peak_1</x:v>
      </x:c>
      <x:c r="D56" s="2" t="str">
        <x:v>off_peak</x:v>
      </x:c>
      <x:c r="E56" s="2" t="n">
        <x:v>0.2</x:v>
      </x:c>
      <x:c r="F56" s="2" t="str">
        <x:v>no_congestion</x:v>
      </x:c>
      <x:c r="G56" s="2" t="n">
        <x:v>0</x:v>
      </x:c>
      <x:c r="H56" s="2" t="n">
        <x:v>0</x:v>
      </x:c>
      <x:c r="I56" s="2" t="n">
        <x:v>0</x:v>
      </x:c>
      <x:c r="J56" s="7" t="n">
        <x:v>20</x:v>
      </x:c>
      <x:c r="K56" s="7" t="n">
        <x:v>20</x:v>
      </x:c>
      <x:c r="L56" s="7" t="n">
        <x:v>0</x:v>
      </x:c>
      <x:c r="M56" s="7" t="n">
        <x:v>20</x:v>
      </x:c>
      <x:c r="N56" s="7" t="n">
        <x:v>0</x:v>
      </x:c>
      <x:c r="O56" s="7" t="n">
        <x:f>IF(J56=0,"n.a.",100*(J56-K56)/J56)</x:f>
        <x:v>0</x:v>
      </x:c>
      <x:c r="P56" s="7" t="n">
        <x:f>IF(J56=0,"n.a.",100*(J56-M56)/J56)</x:f>
        <x:v>0</x:v>
      </x:c>
      <x:c r="Q56" s="7" t="n">
        <x:f>J56-K56</x:f>
        <x:v>0</x:v>
      </x:c>
      <x:c r="R56" s="7" t="n">
        <x:f>M56-K56</x:f>
        <x:v>0</x:v>
      </x:c>
      <x:c r="S56" s="2" t="str">
        <x:f>IF(J56-K56&gt;0.00000001,"improved",IF(K56-J56&gt;0.00000001,"worsened","unchanged"))</x:f>
        <x:v>unchanged</x:v>
      </x:c>
      <x:c r="T56" s="2" t="str">
        <x:f>IF(J56-M56&gt;0.00000001,"improved",IF(M56-J56&gt;0.00000001,"worsened","unchanged"))</x:f>
        <x:v>unchanged</x:v>
      </x:c>
      <x:c r="U56" s="2" t="str">
        <x:f>IF(R56&gt;0.00000001,"QAOA lower",IF(R56&lt; -0.00000001,"BPSO lower","tie"))</x:f>
        <x:v>tie</x:v>
      </x:c>
      <x:c r="V56" s="7" t="n">
        <x:v>20</x:v>
      </x:c>
      <x:c r="W56" s="7" t="n">
        <x:v>20</x:v>
      </x:c>
      <x:c r="X56" s="8" t="n">
        <x:v>0</x:v>
      </x:c>
      <x:c r="Y56" s="2" t="n">
        <x:v>5</x:v>
      </x:c>
    </x:row>
    <x:row r="57" ht="18" customHeight="1">
      <x:c r="A57" s="2" t="str">
        <x:v>controlled</x:v>
      </x:c>
      <x:c r="B57" s="2" t="n">
        <x:v>5</x:v>
      </x:c>
      <x:c r="C57" s="2" t="str">
        <x:v>controlled_n5_off_peak_2</x:v>
      </x:c>
      <x:c r="D57" s="2" t="str">
        <x:v>off_peak</x:v>
      </x:c>
      <x:c r="E57" s="2" t="n">
        <x:v>0.3</x:v>
      </x:c>
      <x:c r="F57" s="2" t="str">
        <x:v>no_congestion</x:v>
      </x:c>
      <x:c r="G57" s="2" t="n">
        <x:v>0</x:v>
      </x:c>
      <x:c r="H57" s="2" t="n">
        <x:v>0</x:v>
      </x:c>
      <x:c r="I57" s="2" t="n">
        <x:v>0</x:v>
      </x:c>
      <x:c r="J57" s="7" t="n">
        <x:v>30</x:v>
      </x:c>
      <x:c r="K57" s="7" t="n">
        <x:v>30</x:v>
      </x:c>
      <x:c r="L57" s="7" t="n">
        <x:v>0</x:v>
      </x:c>
      <x:c r="M57" s="7" t="n">
        <x:v>30</x:v>
      </x:c>
      <x:c r="N57" s="7" t="n">
        <x:v>0</x:v>
      </x:c>
      <x:c r="O57" s="7" t="n">
        <x:f>IF(J57=0,"n.a.",100*(J57-K57)/J57)</x:f>
        <x:v>0</x:v>
      </x:c>
      <x:c r="P57" s="7" t="n">
        <x:f>IF(J57=0,"n.a.",100*(J57-M57)/J57)</x:f>
        <x:v>0</x:v>
      </x:c>
      <x:c r="Q57" s="7" t="n">
        <x:f>J57-K57</x:f>
        <x:v>0</x:v>
      </x:c>
      <x:c r="R57" s="7" t="n">
        <x:f>M57-K57</x:f>
        <x:v>0</x:v>
      </x:c>
      <x:c r="S57" s="2" t="str">
        <x:f>IF(J57-K57&gt;0.00000001,"improved",IF(K57-J57&gt;0.00000001,"worsened","unchanged"))</x:f>
        <x:v>unchanged</x:v>
      </x:c>
      <x:c r="T57" s="2" t="str">
        <x:f>IF(J57-M57&gt;0.00000001,"improved",IF(M57-J57&gt;0.00000001,"worsened","unchanged"))</x:f>
        <x:v>unchanged</x:v>
      </x:c>
      <x:c r="U57" s="2" t="str">
        <x:f>IF(R57&gt;0.00000001,"QAOA lower",IF(R57&lt; -0.00000001,"BPSO lower","tie"))</x:f>
        <x:v>tie</x:v>
      </x:c>
      <x:c r="V57" s="7" t="n">
        <x:v>30</x:v>
      </x:c>
      <x:c r="W57" s="7" t="n">
        <x:v>30</x:v>
      </x:c>
      <x:c r="X57" s="8" t="n">
        <x:v>0</x:v>
      </x:c>
      <x:c r="Y57" s="2" t="n">
        <x:v>5</x:v>
      </x:c>
    </x:row>
    <x:row r="58" ht="18" customHeight="1">
      <x:c r="A58" s="2" t="str">
        <x:v>controlled</x:v>
      </x:c>
      <x:c r="B58" s="2" t="n">
        <x:v>5</x:v>
      </x:c>
      <x:c r="C58" s="2" t="str">
        <x:v>controlled_n5_off_peak_3</x:v>
      </x:c>
      <x:c r="D58" s="2" t="str">
        <x:v>off_peak</x:v>
      </x:c>
      <x:c r="E58" s="2" t="n">
        <x:v>0.4</x:v>
      </x:c>
      <x:c r="F58" s="2" t="str">
        <x:v>no_congestion</x:v>
      </x:c>
      <x:c r="G58" s="2" t="n">
        <x:v>0</x:v>
      </x:c>
      <x:c r="H58" s="2" t="n">
        <x:v>0</x:v>
      </x:c>
      <x:c r="I58" s="2" t="n">
        <x:v>0</x:v>
      </x:c>
      <x:c r="J58" s="7" t="n">
        <x:v>40</x:v>
      </x:c>
      <x:c r="K58" s="7" t="n">
        <x:v>40</x:v>
      </x:c>
      <x:c r="L58" s="7" t="n">
        <x:v>0</x:v>
      </x:c>
      <x:c r="M58" s="7" t="n">
        <x:v>40</x:v>
      </x:c>
      <x:c r="N58" s="7" t="n">
        <x:v>0</x:v>
      </x:c>
      <x:c r="O58" s="7" t="n">
        <x:f>IF(J58=0,"n.a.",100*(J58-K58)/J58)</x:f>
        <x:v>0</x:v>
      </x:c>
      <x:c r="P58" s="7" t="n">
        <x:f>IF(J58=0,"n.a.",100*(J58-M58)/J58)</x:f>
        <x:v>0</x:v>
      </x:c>
      <x:c r="Q58" s="7" t="n">
        <x:f>J58-K58</x:f>
        <x:v>0</x:v>
      </x:c>
      <x:c r="R58" s="7" t="n">
        <x:f>M58-K58</x:f>
        <x:v>0</x:v>
      </x:c>
      <x:c r="S58" s="2" t="str">
        <x:f>IF(J58-K58&gt;0.00000001,"improved",IF(K58-J58&gt;0.00000001,"worsened","unchanged"))</x:f>
        <x:v>unchanged</x:v>
      </x:c>
      <x:c r="T58" s="2" t="str">
        <x:f>IF(J58-M58&gt;0.00000001,"improved",IF(M58-J58&gt;0.00000001,"worsened","unchanged"))</x:f>
        <x:v>unchanged</x:v>
      </x:c>
      <x:c r="U58" s="2" t="str">
        <x:f>IF(R58&gt;0.00000001,"QAOA lower",IF(R58&lt; -0.00000001,"BPSO lower","tie"))</x:f>
        <x:v>tie</x:v>
      </x:c>
      <x:c r="V58" s="7" t="n">
        <x:v>40</x:v>
      </x:c>
      <x:c r="W58" s="7" t="n">
        <x:v>40</x:v>
      </x:c>
      <x:c r="X58" s="8" t="n">
        <x:v>0</x:v>
      </x:c>
      <x:c r="Y58" s="2" t="n">
        <x:v>5</x:v>
      </x:c>
    </x:row>
    <x:row r="59" ht="18" customHeight="1">
      <x:c r="A59" s="2" t="str">
        <x:v>controlled</x:v>
      </x:c>
      <x:c r="B59" s="2" t="n">
        <x:v>5</x:v>
      </x:c>
      <x:c r="C59" s="2" t="str">
        <x:v>controlled_n5_threshold_1</x:v>
      </x:c>
      <x:c r="D59" s="2" t="str">
        <x:v>threshold</x:v>
      </x:c>
      <x:c r="E59" s="2" t="n">
        <x:v>0.59</x:v>
      </x:c>
      <x:c r="F59" s="2" t="str">
        <x:v>no_congestion</x:v>
      </x:c>
      <x:c r="G59" s="2" t="n">
        <x:v>0</x:v>
      </x:c>
      <x:c r="H59" s="2" t="n">
        <x:v>0</x:v>
      </x:c>
      <x:c r="I59" s="2" t="n">
        <x:v>0</x:v>
      </x:c>
      <x:c r="J59" s="7" t="n">
        <x:v>59</x:v>
      </x:c>
      <x:c r="K59" s="7" t="n">
        <x:v>59</x:v>
      </x:c>
      <x:c r="L59" s="7" t="n">
        <x:v>0</x:v>
      </x:c>
      <x:c r="M59" s="7" t="n">
        <x:v>59</x:v>
      </x:c>
      <x:c r="N59" s="7" t="n">
        <x:v>0</x:v>
      </x:c>
      <x:c r="O59" s="7" t="n">
        <x:f>IF(J59=0,"n.a.",100*(J59-K59)/J59)</x:f>
        <x:v>0</x:v>
      </x:c>
      <x:c r="P59" s="7" t="n">
        <x:f>IF(J59=0,"n.a.",100*(J59-M59)/J59)</x:f>
        <x:v>0</x:v>
      </x:c>
      <x:c r="Q59" s="7" t="n">
        <x:f>J59-K59</x:f>
        <x:v>0</x:v>
      </x:c>
      <x:c r="R59" s="7" t="n">
        <x:f>M59-K59</x:f>
        <x:v>0</x:v>
      </x:c>
      <x:c r="S59" s="2" t="str">
        <x:f>IF(J59-K59&gt;0.00000001,"improved",IF(K59-J59&gt;0.00000001,"worsened","unchanged"))</x:f>
        <x:v>unchanged</x:v>
      </x:c>
      <x:c r="T59" s="2" t="str">
        <x:f>IF(J59-M59&gt;0.00000001,"improved",IF(M59-J59&gt;0.00000001,"worsened","unchanged"))</x:f>
        <x:v>unchanged</x:v>
      </x:c>
      <x:c r="U59" s="2" t="str">
        <x:f>IF(R59&gt;0.00000001,"QAOA lower",IF(R59&lt; -0.00000001,"BPSO lower","tie"))</x:f>
        <x:v>tie</x:v>
      </x:c>
      <x:c r="V59" s="7" t="n">
        <x:v>59</x:v>
      </x:c>
      <x:c r="W59" s="7" t="n">
        <x:v>59</x:v>
      </x:c>
      <x:c r="X59" s="8" t="n">
        <x:v>0</x:v>
      </x:c>
      <x:c r="Y59" s="2" t="n">
        <x:v>5</x:v>
      </x:c>
    </x:row>
    <x:row r="60" ht="18" customHeight="1">
      <x:c r="A60" s="2" t="str">
        <x:v>controlled</x:v>
      </x:c>
      <x:c r="B60" s="2" t="n">
        <x:v>5</x:v>
      </x:c>
      <x:c r="C60" s="2" t="str">
        <x:v>controlled_n5_threshold_2</x:v>
      </x:c>
      <x:c r="D60" s="2" t="str">
        <x:v>threshold</x:v>
      </x:c>
      <x:c r="E60" s="2" t="n">
        <x:v>0.6</x:v>
      </x:c>
      <x:c r="F60" s="2" t="str">
        <x:v>no_congestion</x:v>
      </x:c>
      <x:c r="G60" s="2" t="n">
        <x:v>0</x:v>
      </x:c>
      <x:c r="H60" s="2" t="n">
        <x:v>0</x:v>
      </x:c>
      <x:c r="I60" s="2" t="n">
        <x:v>0</x:v>
      </x:c>
      <x:c r="J60" s="7" t="n">
        <x:v>60</x:v>
      </x:c>
      <x:c r="K60" s="7" t="n">
        <x:v>60</x:v>
      </x:c>
      <x:c r="L60" s="7" t="n">
        <x:v>0</x:v>
      </x:c>
      <x:c r="M60" s="7" t="n">
        <x:v>60</x:v>
      </x:c>
      <x:c r="N60" s="7" t="n">
        <x:v>0</x:v>
      </x:c>
      <x:c r="O60" s="7" t="n">
        <x:f>IF(J60=0,"n.a.",100*(J60-K60)/J60)</x:f>
        <x:v>0</x:v>
      </x:c>
      <x:c r="P60" s="7" t="n">
        <x:f>IF(J60=0,"n.a.",100*(J60-M60)/J60)</x:f>
        <x:v>0</x:v>
      </x:c>
      <x:c r="Q60" s="7" t="n">
        <x:f>J60-K60</x:f>
        <x:v>0</x:v>
      </x:c>
      <x:c r="R60" s="7" t="n">
        <x:f>M60-K60</x:f>
        <x:v>0</x:v>
      </x:c>
      <x:c r="S60" s="2" t="str">
        <x:f>IF(J60-K60&gt;0.00000001,"improved",IF(K60-J60&gt;0.00000001,"worsened","unchanged"))</x:f>
        <x:v>unchanged</x:v>
      </x:c>
      <x:c r="T60" s="2" t="str">
        <x:f>IF(J60-M60&gt;0.00000001,"improved",IF(M60-J60&gt;0.00000001,"worsened","unchanged"))</x:f>
        <x:v>unchanged</x:v>
      </x:c>
      <x:c r="U60" s="2" t="str">
        <x:f>IF(R60&gt;0.00000001,"QAOA lower",IF(R60&lt; -0.00000001,"BPSO lower","tie"))</x:f>
        <x:v>tie</x:v>
      </x:c>
      <x:c r="V60" s="7" t="n">
        <x:v>60</x:v>
      </x:c>
      <x:c r="W60" s="7" t="n">
        <x:v>60</x:v>
      </x:c>
      <x:c r="X60" s="8" t="n">
        <x:v>0</x:v>
      </x:c>
      <x:c r="Y60" s="2" t="n">
        <x:v>5</x:v>
      </x:c>
    </x:row>
    <x:row r="61" ht="18" customHeight="1">
      <x:c r="A61" s="2" t="str">
        <x:v>controlled</x:v>
      </x:c>
      <x:c r="B61" s="2" t="n">
        <x:v>5</x:v>
      </x:c>
      <x:c r="C61" s="2" t="str">
        <x:v>controlled_n5_threshold_3</x:v>
      </x:c>
      <x:c r="D61" s="2" t="str">
        <x:v>threshold</x:v>
      </x:c>
      <x:c r="E61" s="2" t="n">
        <x:v>0.61</x:v>
      </x:c>
      <x:c r="F61" s="2" t="str">
        <x:v>ready</x:v>
      </x:c>
      <x:c r="G61" s="2" t="n">
        <x:v>2</x:v>
      </x:c>
      <x:c r="H61" s="2" t="n">
        <x:v>2</x:v>
      </x:c>
      <x:c r="I61" s="2" t="n">
        <x:v>0</x:v>
      </x:c>
      <x:c r="J61" s="7" t="n">
        <x:v>61</x:v>
      </x:c>
      <x:c r="K61" s="7" t="n">
        <x:v>48.5</x:v>
      </x:c>
      <x:c r="L61" s="7" t="n">
        <x:v>0</x:v>
      </x:c>
      <x:c r="M61" s="7" t="n">
        <x:v>48.5</x:v>
      </x:c>
      <x:c r="N61" s="7" t="n">
        <x:v>0</x:v>
      </x:c>
      <x:c r="O61" s="7" t="n">
        <x:f>IF(J61=0,"n.a.",100*(J61-K61)/J61)</x:f>
        <x:v>20.491803278688526</x:v>
      </x:c>
      <x:c r="P61" s="7" t="n">
        <x:f>IF(J61=0,"n.a.",100*(J61-M61)/J61)</x:f>
        <x:v>20.491803278688526</x:v>
      </x:c>
      <x:c r="Q61" s="7" t="n">
        <x:f>J61-K61</x:f>
        <x:v>12.5</x:v>
      </x:c>
      <x:c r="R61" s="7" t="n">
        <x:f>M61-K61</x:f>
        <x:v>0</x:v>
      </x:c>
      <x:c r="S61" s="2" t="str">
        <x:f>IF(J61-K61&gt;0.00000001,"improved",IF(K61-J61&gt;0.00000001,"worsened","unchanged"))</x:f>
        <x:v>improved</x:v>
      </x:c>
      <x:c r="T61" s="2" t="str">
        <x:f>IF(J61-M61&gt;0.00000001,"improved",IF(M61-J61&gt;0.00000001,"worsened","unchanged"))</x:f>
        <x:v>improved</x:v>
      </x:c>
      <x:c r="U61" s="2" t="str">
        <x:f>IF(R61&gt;0.00000001,"QAOA lower",IF(R61&lt; -0.00000001,"BPSO lower","tie"))</x:f>
        <x:v>tie</x:v>
      </x:c>
      <x:c r="V61" s="7" t="n">
        <x:v>48.5</x:v>
      </x:c>
      <x:c r="W61" s="7" t="n">
        <x:v>48.5</x:v>
      </x:c>
      <x:c r="X61" s="8" t="n">
        <x:v>0</x:v>
      </x:c>
      <x:c r="Y61" s="2" t="n">
        <x:v>5</x:v>
      </x:c>
    </x:row>
    <x:row r="62" ht="18" customHeight="1">
      <x:c r="A62" s="2" t="str">
        <x:v>controlled</x:v>
      </x:c>
      <x:c r="B62" s="2" t="n">
        <x:v>5</x:v>
      </x:c>
      <x:c r="C62" s="2" t="str">
        <x:v>controlled_n5_single_bottleneck_1</x:v>
      </x:c>
      <x:c r="D62" s="2" t="str">
        <x:v>single_bottleneck</x:v>
      </x:c>
      <x:c r="E62" s="2" t="n">
        <x:v>0.65</x:v>
      </x:c>
      <x:c r="F62" s="2" t="str">
        <x:v>ready</x:v>
      </x:c>
      <x:c r="G62" s="2" t="n">
        <x:v>3</x:v>
      </x:c>
      <x:c r="H62" s="2" t="n">
        <x:v>3</x:v>
      </x:c>
      <x:c r="I62" s="2" t="n">
        <x:v>0</x:v>
      </x:c>
      <x:c r="J62" s="7" t="n">
        <x:v>65</x:v>
      </x:c>
      <x:c r="K62" s="7" t="n">
        <x:v>46.666666666666664</x:v>
      </x:c>
      <x:c r="L62" s="7" t="n">
        <x:v>0</x:v>
      </x:c>
      <x:c r="M62" s="7" t="n">
        <x:v>46.666666666666664</x:v>
      </x:c>
      <x:c r="N62" s="7" t="n">
        <x:v>0</x:v>
      </x:c>
      <x:c r="O62" s="7" t="n">
        <x:f>IF(J62=0,"n.a.",100*(J62-K62)/J62)</x:f>
        <x:v>28.205128205128208</x:v>
      </x:c>
      <x:c r="P62" s="7" t="n">
        <x:f>IF(J62=0,"n.a.",100*(J62-M62)/J62)</x:f>
        <x:v>28.205128205128208</x:v>
      </x:c>
      <x:c r="Q62" s="7" t="n">
        <x:f>J62-K62</x:f>
        <x:v>18.333333333333336</x:v>
      </x:c>
      <x:c r="R62" s="7" t="n">
        <x:f>M62-K62</x:f>
        <x:v>0</x:v>
      </x:c>
      <x:c r="S62" s="2" t="str">
        <x:f>IF(J62-K62&gt;0.00000001,"improved",IF(K62-J62&gt;0.00000001,"worsened","unchanged"))</x:f>
        <x:v>improved</x:v>
      </x:c>
      <x:c r="T62" s="2" t="str">
        <x:f>IF(J62-M62&gt;0.00000001,"improved",IF(M62-J62&gt;0.00000001,"worsened","unchanged"))</x:f>
        <x:v>improved</x:v>
      </x:c>
      <x:c r="U62" s="2" t="str">
        <x:f>IF(R62&gt;0.00000001,"QAOA lower",IF(R62&lt; -0.00000001,"BPSO lower","tie"))</x:f>
        <x:v>tie</x:v>
      </x:c>
      <x:c r="V62" s="7" t="n">
        <x:v>46.666666666666664</x:v>
      </x:c>
      <x:c r="W62" s="7" t="n">
        <x:v>46.25</x:v>
      </x:c>
      <x:c r="X62" s="8" t="n">
        <x:v>0</x:v>
      </x:c>
      <x:c r="Y62" s="2" t="n">
        <x:v>5</x:v>
      </x:c>
    </x:row>
    <x:row r="63" ht="18" customHeight="1">
      <x:c r="A63" s="2" t="str">
        <x:v>controlled</x:v>
      </x:c>
      <x:c r="B63" s="2" t="n">
        <x:v>5</x:v>
      </x:c>
      <x:c r="C63" s="2" t="str">
        <x:v>controlled_n5_single_bottleneck_2</x:v>
      </x:c>
      <x:c r="D63" s="2" t="str">
        <x:v>single_bottleneck</x:v>
      </x:c>
      <x:c r="E63" s="2" t="n">
        <x:v>0.8</x:v>
      </x:c>
      <x:c r="F63" s="2" t="str">
        <x:v>ready</x:v>
      </x:c>
      <x:c r="G63" s="2" t="n">
        <x:v>5</x:v>
      </x:c>
      <x:c r="H63" s="2" t="n">
        <x:v>5</x:v>
      </x:c>
      <x:c r="I63" s="2" t="n">
        <x:v>0</x:v>
      </x:c>
      <x:c r="J63" s="7" t="n">
        <x:v>80</x:v>
      </x:c>
      <x:c r="K63" s="7" t="n">
        <x:v>52.5</x:v>
      </x:c>
      <x:c r="L63" s="7" t="n">
        <x:v>0</x:v>
      </x:c>
      <x:c r="M63" s="7" t="n">
        <x:v>52.5</x:v>
      </x:c>
      <x:c r="N63" s="7" t="n">
        <x:v>0</x:v>
      </x:c>
      <x:c r="O63" s="7" t="n">
        <x:f>IF(J63=0,"n.a.",100*(J63-K63)/J63)</x:f>
        <x:v>34.375</x:v>
      </x:c>
      <x:c r="P63" s="7" t="n">
        <x:f>IF(J63=0,"n.a.",100*(J63-M63)/J63)</x:f>
        <x:v>34.375</x:v>
      </x:c>
      <x:c r="Q63" s="7" t="n">
        <x:f>J63-K63</x:f>
        <x:v>27.5</x:v>
      </x:c>
      <x:c r="R63" s="7" t="n">
        <x:f>M63-K63</x:f>
        <x:v>0</x:v>
      </x:c>
      <x:c r="S63" s="2" t="str">
        <x:f>IF(J63-K63&gt;0.00000001,"improved",IF(K63-J63&gt;0.00000001,"worsened","unchanged"))</x:f>
        <x:v>improved</x:v>
      </x:c>
      <x:c r="T63" s="2" t="str">
        <x:f>IF(J63-M63&gt;0.00000001,"improved",IF(M63-J63&gt;0.00000001,"worsened","unchanged"))</x:f>
        <x:v>improved</x:v>
      </x:c>
      <x:c r="U63" s="2" t="str">
        <x:f>IF(R63&gt;0.00000001,"QAOA lower",IF(R63&lt; -0.00000001,"BPSO lower","tie"))</x:f>
        <x:v>tie</x:v>
      </x:c>
      <x:c r="V63" s="7" t="n">
        <x:v>52.5</x:v>
      </x:c>
      <x:c r="W63" s="7" t="n">
        <x:v>52.5</x:v>
      </x:c>
      <x:c r="X63" s="8" t="n">
        <x:v>0</x:v>
      </x:c>
      <x:c r="Y63" s="2" t="n">
        <x:v>5</x:v>
      </x:c>
    </x:row>
    <x:row r="64" ht="18" customHeight="1">
      <x:c r="A64" s="2" t="str">
        <x:v>controlled</x:v>
      </x:c>
      <x:c r="B64" s="2" t="n">
        <x:v>5</x:v>
      </x:c>
      <x:c r="C64" s="2" t="str">
        <x:v>controlled_n5_single_bottleneck_3</x:v>
      </x:c>
      <x:c r="D64" s="2" t="str">
        <x:v>single_bottleneck</x:v>
      </x:c>
      <x:c r="E64" s="2" t="n">
        <x:v>0.95</x:v>
      </x:c>
      <x:c r="F64" s="2" t="str">
        <x:v>ready</x:v>
      </x:c>
      <x:c r="G64" s="2" t="n">
        <x:v>8</x:v>
      </x:c>
      <x:c r="H64" s="2" t="n">
        <x:v>8</x:v>
      </x:c>
      <x:c r="I64" s="2" t="n">
        <x:v>0</x:v>
      </x:c>
      <x:c r="J64" s="7" t="n">
        <x:v>95</x:v>
      </x:c>
      <x:c r="K64" s="7" t="n">
        <x:v>63.33333333333333</x:v>
      </x:c>
      <x:c r="L64" s="7" t="n">
        <x:v>0</x:v>
      </x:c>
      <x:c r="M64" s="7" t="n">
        <x:v>63.33333333333333</x:v>
      </x:c>
      <x:c r="N64" s="7" t="n">
        <x:v>0</x:v>
      </x:c>
      <x:c r="O64" s="7" t="n">
        <x:f>IF(J64=0,"n.a.",100*(J64-K64)/J64)</x:f>
        <x:v>33.333333333333336</x:v>
      </x:c>
      <x:c r="P64" s="7" t="n">
        <x:f>IF(J64=0,"n.a.",100*(J64-M64)/J64)</x:f>
        <x:v>33.333333333333336</x:v>
      </x:c>
      <x:c r="Q64" s="7" t="n">
        <x:f>J64-K64</x:f>
        <x:v>31.66666666666667</x:v>
      </x:c>
      <x:c r="R64" s="7" t="n">
        <x:f>M64-K64</x:f>
        <x:v>0</x:v>
      </x:c>
      <x:c r="S64" s="2" t="str">
        <x:f>IF(J64-K64&gt;0.00000001,"improved",IF(K64-J64&gt;0.00000001,"worsened","unchanged"))</x:f>
        <x:v>improved</x:v>
      </x:c>
      <x:c r="T64" s="2" t="str">
        <x:f>IF(J64-M64&gt;0.00000001,"improved",IF(M64-J64&gt;0.00000001,"worsened","unchanged"))</x:f>
        <x:v>improved</x:v>
      </x:c>
      <x:c r="U64" s="2" t="str">
        <x:f>IF(R64&gt;0.00000001,"QAOA lower",IF(R64&lt; -0.00000001,"BPSO lower","tie"))</x:f>
        <x:v>tie</x:v>
      </x:c>
      <x:c r="V64" s="7" t="n">
        <x:v>63.33333333333333</x:v>
      </x:c>
      <x:c r="W64" s="7" t="n">
        <x:v>63.33333333333333</x:v>
      </x:c>
      <x:c r="X64" s="8" t="n">
        <x:v>0</x:v>
      </x:c>
      <x:c r="Y64" s="2" t="n">
        <x:v>5</x:v>
      </x:c>
    </x:row>
    <x:row r="65" ht="18" customHeight="1">
      <x:c r="A65" s="2" t="str">
        <x:v>controlled</x:v>
      </x:c>
      <x:c r="B65" s="2" t="n">
        <x:v>5</x:v>
      </x:c>
      <x:c r="C65" s="2" t="str">
        <x:v>controlled_n5_adjacent_bottlenecks_1</x:v>
      </x:c>
      <x:c r="D65" s="2" t="str">
        <x:v>adjacent_bottlenecks</x:v>
      </x:c>
      <x:c r="E65" s="2" t="n">
        <x:v>0.65</x:v>
      </x:c>
      <x:c r="F65" s="2" t="str">
        <x:v>ready</x:v>
      </x:c>
      <x:c r="G65" s="2" t="n">
        <x:v>5</x:v>
      </x:c>
      <x:c r="H65" s="2" t="n">
        <x:v>5</x:v>
      </x:c>
      <x:c r="I65" s="2" t="n">
        <x:v>0</x:v>
      </x:c>
      <x:c r="J65" s="7" t="n">
        <x:v>65</x:v>
      </x:c>
      <x:c r="K65" s="7" t="n">
        <x:v>55.000000000000014</x:v>
      </x:c>
      <x:c r="L65" s="7" t="n">
        <x:v>7.944109290391274e-15</x:v>
      </x:c>
      <x:c r="M65" s="7" t="n">
        <x:v>55.000000000000014</x:v>
      </x:c>
      <x:c r="N65" s="7" t="n">
        <x:v>7.944109290391274e-15</x:v>
      </x:c>
      <x:c r="O65" s="7" t="n">
        <x:f>IF(J65=0,"n.a.",100*(J65-K65)/J65)</x:f>
        <x:v>15.384615384615364</x:v>
      </x:c>
      <x:c r="P65" s="7" t="n">
        <x:f>IF(J65=0,"n.a.",100*(J65-M65)/J65)</x:f>
        <x:v>15.384615384615364</x:v>
      </x:c>
      <x:c r="Q65" s="7" t="n">
        <x:f>J65-K65</x:f>
        <x:v>9.999999999999986</x:v>
      </x:c>
      <x:c r="R65" s="7" t="n">
        <x:f>M65-K65</x:f>
        <x:v>0</x:v>
      </x:c>
      <x:c r="S65" s="2" t="str">
        <x:f>IF(J65-K65&gt;0.00000001,"improved",IF(K65-J65&gt;0.00000001,"worsened","unchanged"))</x:f>
        <x:v>improved</x:v>
      </x:c>
      <x:c r="T65" s="2" t="str">
        <x:f>IF(J65-M65&gt;0.00000001,"improved",IF(M65-J65&gt;0.00000001,"worsened","unchanged"))</x:f>
        <x:v>improved</x:v>
      </x:c>
      <x:c r="U65" s="2" t="str">
        <x:f>IF(R65&gt;0.00000001,"QAOA lower",IF(R65&lt; -0.00000001,"BPSO lower","tie"))</x:f>
        <x:v>tie</x:v>
      </x:c>
      <x:c r="V65" s="7" t="n">
        <x:v>55.00000000000001</x:v>
      </x:c>
      <x:c r="W65" s="7" t="n">
        <x:v>55.00000000000001</x:v>
      </x:c>
      <x:c r="X65" s="8" t="n">
        <x:v>0</x:v>
      </x:c>
      <x:c r="Y65" s="2" t="n">
        <x:v>5</x:v>
      </x:c>
    </x:row>
    <x:row r="66" ht="18" customHeight="1">
      <x:c r="A66" s="2" t="str">
        <x:v>controlled</x:v>
      </x:c>
      <x:c r="B66" s="2" t="n">
        <x:v>5</x:v>
      </x:c>
      <x:c r="C66" s="2" t="str">
        <x:v>controlled_n5_adjacent_bottlenecks_2</x:v>
      </x:c>
      <x:c r="D66" s="2" t="str">
        <x:v>adjacent_bottlenecks</x:v>
      </x:c>
      <x:c r="E66" s="2" t="n">
        <x:v>0.8</x:v>
      </x:c>
      <x:c r="F66" s="2" t="str">
        <x:v>ready</x:v>
      </x:c>
      <x:c r="G66" s="2" t="n">
        <x:v>9</x:v>
      </x:c>
      <x:c r="H66" s="2" t="n">
        <x:v>9</x:v>
      </x:c>
      <x:c r="I66" s="2" t="n">
        <x:v>0</x:v>
      </x:c>
      <x:c r="J66" s="7" t="n">
        <x:v>80</x:v>
      </x:c>
      <x:c r="K66" s="7" t="n">
        <x:v>71.66666666666667</x:v>
      </x:c>
      <x:c r="L66" s="7" t="n">
        <x:v>0</x:v>
      </x:c>
      <x:c r="M66" s="7" t="n">
        <x:v>71.66666666666667</x:v>
      </x:c>
      <x:c r="N66" s="7" t="n">
        <x:v>0</x:v>
      </x:c>
      <x:c r="O66" s="7" t="n">
        <x:f>IF(J66=0,"n.a.",100*(J66-K66)/J66)</x:f>
        <x:v>10.41666666666666</x:v>
      </x:c>
      <x:c r="P66" s="7" t="n">
        <x:f>IF(J66=0,"n.a.",100*(J66-M66)/J66)</x:f>
        <x:v>10.41666666666666</x:v>
      </x:c>
      <x:c r="Q66" s="7" t="n">
        <x:f>J66-K66</x:f>
        <x:v>8.333333333333329</x:v>
      </x:c>
      <x:c r="R66" s="7" t="n">
        <x:f>M66-K66</x:f>
        <x:v>0</x:v>
      </x:c>
      <x:c r="S66" s="2" t="str">
        <x:f>IF(J66-K66&gt;0.00000001,"improved",IF(K66-J66&gt;0.00000001,"worsened","unchanged"))</x:f>
        <x:v>improved</x:v>
      </x:c>
      <x:c r="T66" s="2" t="str">
        <x:f>IF(J66-M66&gt;0.00000001,"improved",IF(M66-J66&gt;0.00000001,"worsened","unchanged"))</x:f>
        <x:v>improved</x:v>
      </x:c>
      <x:c r="U66" s="2" t="str">
        <x:f>IF(R66&gt;0.00000001,"QAOA lower",IF(R66&lt; -0.00000001,"BPSO lower","tie"))</x:f>
        <x:v>tie</x:v>
      </x:c>
      <x:c r="V66" s="7" t="n">
        <x:v>71.66666666666667</x:v>
      </x:c>
      <x:c r="W66" s="7" t="n">
        <x:v>71.66666666666667</x:v>
      </x:c>
      <x:c r="X66" s="8" t="n">
        <x:v>3.3306690738754696e-16</x:v>
      </x:c>
      <x:c r="Y66" s="2" t="n">
        <x:v>5</x:v>
      </x:c>
    </x:row>
    <x:row r="67" ht="18" customHeight="1">
      <x:c r="A67" s="2" t="str">
        <x:v>controlled</x:v>
      </x:c>
      <x:c r="B67" s="2" t="n">
        <x:v>5</x:v>
      </x:c>
      <x:c r="C67" s="2" t="str">
        <x:v>controlled_n5_adjacent_bottlenecks_3</x:v>
      </x:c>
      <x:c r="D67" s="2" t="str">
        <x:v>adjacent_bottlenecks</x:v>
      </x:c>
      <x:c r="E67" s="2" t="n">
        <x:v>0.95</x:v>
      </x:c>
      <x:c r="F67" s="2" t="str">
        <x:v>ready</x:v>
      </x:c>
      <x:c r="G67" s="2" t="n">
        <x:v>10</x:v>
      </x:c>
      <x:c r="H67" s="2" t="n">
        <x:v>14</x:v>
      </x:c>
      <x:c r="I67" s="2" t="n">
        <x:v>4</x:v>
      </x:c>
      <x:c r="J67" s="7" t="n">
        <x:v>95</x:v>
      </x:c>
      <x:c r="K67" s="7" t="n">
        <x:v>80</x:v>
      </x:c>
      <x:c r="L67" s="7" t="n">
        <x:v>0</x:v>
      </x:c>
      <x:c r="M67" s="7" t="n">
        <x:v>80</x:v>
      </x:c>
      <x:c r="N67" s="7" t="n">
        <x:v>0</x:v>
      </x:c>
      <x:c r="O67" s="7" t="n">
        <x:f>IF(J67=0,"n.a.",100*(J67-K67)/J67)</x:f>
        <x:v>15.789473684210526</x:v>
      </x:c>
      <x:c r="P67" s="7" t="n">
        <x:f>IF(J67=0,"n.a.",100*(J67-M67)/J67)</x:f>
        <x:v>15.789473684210526</x:v>
      </x:c>
      <x:c r="Q67" s="7" t="n">
        <x:f>J67-K67</x:f>
        <x:v>15</x:v>
      </x:c>
      <x:c r="R67" s="7" t="n">
        <x:f>M67-K67</x:f>
        <x:v>0</x:v>
      </x:c>
      <x:c r="S67" s="2" t="str">
        <x:f>IF(J67-K67&gt;0.00000001,"improved",IF(K67-J67&gt;0.00000001,"worsened","unchanged"))</x:f>
        <x:v>improved</x:v>
      </x:c>
      <x:c r="T67" s="2" t="str">
        <x:f>IF(J67-M67&gt;0.00000001,"improved",IF(M67-J67&gt;0.00000001,"worsened","unchanged"))</x:f>
        <x:v>improved</x:v>
      </x:c>
      <x:c r="U67" s="2" t="str">
        <x:f>IF(R67&gt;0.00000001,"QAOA lower",IF(R67&lt; -0.00000001,"BPSO lower","tie"))</x:f>
        <x:v>tie</x:v>
      </x:c>
      <x:c r="V67" s="7" t="n">
        <x:v>80</x:v>
      </x:c>
      <x:c r="W67" s="7" t="n">
        <x:v>80</x:v>
      </x:c>
      <x:c r="X67" s="8" t="n">
        <x:v>0</x:v>
      </x:c>
      <x:c r="Y67" s="2" t="n">
        <x:v>5</x:v>
      </x:c>
    </x:row>
    <x:row r="68" ht="18" customHeight="1">
      <x:c r="A68" s="2" t="str">
        <x:v>controlled</x:v>
      </x:c>
      <x:c r="B68" s="2" t="n">
        <x:v>5</x:v>
      </x:c>
      <x:c r="C68" s="2" t="str">
        <x:v>controlled_n5_separated_bottlenecks_1</x:v>
      </x:c>
      <x:c r="D68" s="2" t="str">
        <x:v>separated_bottlenecks</x:v>
      </x:c>
      <x:c r="E68" s="2" t="n">
        <x:v>0.65</x:v>
      </x:c>
      <x:c r="F68" s="2" t="str">
        <x:v>ready</x:v>
      </x:c>
      <x:c r="G68" s="2" t="n">
        <x:v>5</x:v>
      </x:c>
      <x:c r="H68" s="2" t="n">
        <x:v>5</x:v>
      </x:c>
      <x:c r="I68" s="2" t="n">
        <x:v>0</x:v>
      </x:c>
      <x:c r="J68" s="7" t="n">
        <x:v>65</x:v>
      </x:c>
      <x:c r="K68" s="7" t="n">
        <x:v>52.5</x:v>
      </x:c>
      <x:c r="L68" s="7" t="n">
        <x:v>0</x:v>
      </x:c>
      <x:c r="M68" s="7" t="n">
        <x:v>52.5</x:v>
      </x:c>
      <x:c r="N68" s="7" t="n">
        <x:v>0</x:v>
      </x:c>
      <x:c r="O68" s="7" t="n">
        <x:f>IF(J68=0,"n.a.",100*(J68-K68)/J68)</x:f>
        <x:v>19.23076923076923</x:v>
      </x:c>
      <x:c r="P68" s="7" t="n">
        <x:f>IF(J68=0,"n.a.",100*(J68-M68)/J68)</x:f>
        <x:v>19.23076923076923</x:v>
      </x:c>
      <x:c r="Q68" s="7" t="n">
        <x:f>J68-K68</x:f>
        <x:v>12.5</x:v>
      </x:c>
      <x:c r="R68" s="7" t="n">
        <x:f>M68-K68</x:f>
        <x:v>0</x:v>
      </x:c>
      <x:c r="S68" s="2" t="str">
        <x:f>IF(J68-K68&gt;0.00000001,"improved",IF(K68-J68&gt;0.00000001,"worsened","unchanged"))</x:f>
        <x:v>improved</x:v>
      </x:c>
      <x:c r="T68" s="2" t="str">
        <x:f>IF(J68-M68&gt;0.00000001,"improved",IF(M68-J68&gt;0.00000001,"worsened","unchanged"))</x:f>
        <x:v>improved</x:v>
      </x:c>
      <x:c r="U68" s="2" t="str">
        <x:f>IF(R68&gt;0.00000001,"QAOA lower",IF(R68&lt; -0.00000001,"BPSO lower","tie"))</x:f>
        <x:v>tie</x:v>
      </x:c>
      <x:c r="V68" s="7" t="n">
        <x:v>52.5</x:v>
      </x:c>
      <x:c r="W68" s="7" t="n">
        <x:v>52.5</x:v>
      </x:c>
      <x:c r="X68" s="8" t="n">
        <x:v>0</x:v>
      </x:c>
      <x:c r="Y68" s="2" t="n">
        <x:v>5</x:v>
      </x:c>
    </x:row>
    <x:row r="69" ht="18" customHeight="1">
      <x:c r="A69" s="2" t="str">
        <x:v>controlled</x:v>
      </x:c>
      <x:c r="B69" s="2" t="n">
        <x:v>5</x:v>
      </x:c>
      <x:c r="C69" s="2" t="str">
        <x:v>controlled_n5_separated_bottlenecks_2</x:v>
      </x:c>
      <x:c r="D69" s="2" t="str">
        <x:v>separated_bottlenecks</x:v>
      </x:c>
      <x:c r="E69" s="2" t="n">
        <x:v>0.8</x:v>
      </x:c>
      <x:c r="F69" s="2" t="str">
        <x:v>ready</x:v>
      </x:c>
      <x:c r="G69" s="2" t="n">
        <x:v>9</x:v>
      </x:c>
      <x:c r="H69" s="2" t="n">
        <x:v>9</x:v>
      </x:c>
      <x:c r="I69" s="2" t="n">
        <x:v>0</x:v>
      </x:c>
      <x:c r="J69" s="7" t="n">
        <x:v>80</x:v>
      </x:c>
      <x:c r="K69" s="7" t="n">
        <x:v>67.5</x:v>
      </x:c>
      <x:c r="L69" s="7" t="n">
        <x:v>0</x:v>
      </x:c>
      <x:c r="M69" s="7" t="n">
        <x:v>67.5</x:v>
      </x:c>
      <x:c r="N69" s="7" t="n">
        <x:v>0</x:v>
      </x:c>
      <x:c r="O69" s="7" t="n">
        <x:f>IF(J69=0,"n.a.",100*(J69-K69)/J69)</x:f>
        <x:v>15.625</x:v>
      </x:c>
      <x:c r="P69" s="7" t="n">
        <x:f>IF(J69=0,"n.a.",100*(J69-M69)/J69)</x:f>
        <x:v>15.625</x:v>
      </x:c>
      <x:c r="Q69" s="7" t="n">
        <x:f>J69-K69</x:f>
        <x:v>12.5</x:v>
      </x:c>
      <x:c r="R69" s="7" t="n">
        <x:f>M69-K69</x:f>
        <x:v>0</x:v>
      </x:c>
      <x:c r="S69" s="2" t="str">
        <x:f>IF(J69-K69&gt;0.00000001,"improved",IF(K69-J69&gt;0.00000001,"worsened","unchanged"))</x:f>
        <x:v>improved</x:v>
      </x:c>
      <x:c r="T69" s="2" t="str">
        <x:f>IF(J69-M69&gt;0.00000001,"improved",IF(M69-J69&gt;0.00000001,"worsened","unchanged"))</x:f>
        <x:v>improved</x:v>
      </x:c>
      <x:c r="U69" s="2" t="str">
        <x:f>IF(R69&gt;0.00000001,"QAOA lower",IF(R69&lt; -0.00000001,"BPSO lower","tie"))</x:f>
        <x:v>tie</x:v>
      </x:c>
      <x:c r="V69" s="7" t="n">
        <x:v>67.5</x:v>
      </x:c>
      <x:c r="W69" s="7" t="n">
        <x:v>67.5</x:v>
      </x:c>
      <x:c r="X69" s="8" t="n">
        <x:v>0</x:v>
      </x:c>
      <x:c r="Y69" s="2" t="n">
        <x:v>5</x:v>
      </x:c>
    </x:row>
    <x:row r="70" ht="18" customHeight="1">
      <x:c r="A70" s="2" t="str">
        <x:v>controlled</x:v>
      </x:c>
      <x:c r="B70" s="2" t="n">
        <x:v>5</x:v>
      </x:c>
      <x:c r="C70" s="2" t="str">
        <x:v>controlled_n5_separated_bottlenecks_3</x:v>
      </x:c>
      <x:c r="D70" s="2" t="str">
        <x:v>separated_bottlenecks</x:v>
      </x:c>
      <x:c r="E70" s="2" t="n">
        <x:v>0.95</x:v>
      </x:c>
      <x:c r="F70" s="2" t="str">
        <x:v>ready</x:v>
      </x:c>
      <x:c r="G70" s="2" t="n">
        <x:v>10</x:v>
      </x:c>
      <x:c r="H70" s="2" t="n">
        <x:v>13</x:v>
      </x:c>
      <x:c r="I70" s="2" t="n">
        <x:v>3</x:v>
      </x:c>
      <x:c r="J70" s="7" t="n">
        <x:v>95</x:v>
      </x:c>
      <x:c r="K70" s="7" t="n">
        <x:v>76.25</x:v>
      </x:c>
      <x:c r="L70" s="7" t="n">
        <x:v>0</x:v>
      </x:c>
      <x:c r="M70" s="7" t="n">
        <x:v>76.25</x:v>
      </x:c>
      <x:c r="N70" s="7" t="n">
        <x:v>0</x:v>
      </x:c>
      <x:c r="O70" s="7" t="n">
        <x:f>IF(J70=0,"n.a.",100*(J70-K70)/J70)</x:f>
        <x:v>19.736842105263158</x:v>
      </x:c>
      <x:c r="P70" s="7" t="n">
        <x:f>IF(J70=0,"n.a.",100*(J70-M70)/J70)</x:f>
        <x:v>19.736842105263158</x:v>
      </x:c>
      <x:c r="Q70" s="7" t="n">
        <x:f>J70-K70</x:f>
        <x:v>18.75</x:v>
      </x:c>
      <x:c r="R70" s="7" t="n">
        <x:f>M70-K70</x:f>
        <x:v>0</x:v>
      </x:c>
      <x:c r="S70" s="2" t="str">
        <x:f>IF(J70-K70&gt;0.00000001,"improved",IF(K70-J70&gt;0.00000001,"worsened","unchanged"))</x:f>
        <x:v>improved</x:v>
      </x:c>
      <x:c r="T70" s="2" t="str">
        <x:f>IF(J70-M70&gt;0.00000001,"improved",IF(M70-J70&gt;0.00000001,"worsened","unchanged"))</x:f>
        <x:v>improved</x:v>
      </x:c>
      <x:c r="U70" s="2" t="str">
        <x:f>IF(R70&gt;0.00000001,"QAOA lower",IF(R70&lt; -0.00000001,"BPSO lower","tie"))</x:f>
        <x:v>tie</x:v>
      </x:c>
      <x:c r="V70" s="7" t="n">
        <x:v>76.25</x:v>
      </x:c>
      <x:c r="W70" s="7" t="n">
        <x:v>76.25</x:v>
      </x:c>
      <x:c r="X70" s="8" t="n">
        <x:v>0.0015870756172839506</x:v>
      </x:c>
      <x:c r="Y70" s="2" t="n">
        <x:v>5</x:v>
      </x:c>
    </x:row>
    <x:row r="71" ht="18" customHeight="1">
      <x:c r="A71" s="2" t="str">
        <x:v>controlled</x:v>
      </x:c>
      <x:c r="B71" s="2" t="n">
        <x:v>5</x:v>
      </x:c>
      <x:c r="C71" s="2" t="str">
        <x:v>controlled_n5_distributed_peak_1</x:v>
      </x:c>
      <x:c r="D71" s="2" t="str">
        <x:v>distributed_peak</x:v>
      </x:c>
      <x:c r="E71" s="2" t="n">
        <x:v>0.3</x:v>
      </x:c>
      <x:c r="F71" s="2" t="str">
        <x:v>ready</x:v>
      </x:c>
      <x:c r="G71" s="2" t="n">
        <x:v>10</x:v>
      </x:c>
      <x:c r="H71" s="2" t="n">
        <x:v>16</x:v>
      </x:c>
      <x:c r="I71" s="2" t="n">
        <x:v>6</x:v>
      </x:c>
      <x:c r="J71" s="7" t="n">
        <x:v>85</x:v>
      </x:c>
      <x:c r="K71" s="7" t="n">
        <x:v>85</x:v>
      </x:c>
      <x:c r="L71" s="7" t="n">
        <x:v>0</x:v>
      </x:c>
      <x:c r="M71" s="7" t="n">
        <x:v>85</x:v>
      </x:c>
      <x:c r="N71" s="7" t="n">
        <x:v>0</x:v>
      </x:c>
      <x:c r="O71" s="7" t="n">
        <x:f>IF(J71=0,"n.a.",100*(J71-K71)/J71)</x:f>
        <x:v>0</x:v>
      </x:c>
      <x:c r="P71" s="7" t="n">
        <x:f>IF(J71=0,"n.a.",100*(J71-M71)/J71)</x:f>
        <x:v>0</x:v>
      </x:c>
      <x:c r="Q71" s="7" t="n">
        <x:f>J71-K71</x:f>
        <x:v>0</x:v>
      </x:c>
      <x:c r="R71" s="7" t="n">
        <x:f>M71-K71</x:f>
        <x:v>0</x:v>
      </x:c>
      <x:c r="S71" s="2" t="str">
        <x:f>IF(J71-K71&gt;0.00000001,"improved",IF(K71-J71&gt;0.00000001,"worsened","unchanged"))</x:f>
        <x:v>unchanged</x:v>
      </x:c>
      <x:c r="T71" s="2" t="str">
        <x:f>IF(J71-M71&gt;0.00000001,"improved",IF(M71-J71&gt;0.00000001,"worsened","unchanged"))</x:f>
        <x:v>unchanged</x:v>
      </x:c>
      <x:c r="U71" s="2" t="str">
        <x:f>IF(R71&gt;0.00000001,"QAOA lower",IF(R71&lt; -0.00000001,"BPSO lower","tie"))</x:f>
        <x:v>tie</x:v>
      </x:c>
      <x:c r="V71" s="7" t="n">
        <x:v>85</x:v>
      </x:c>
      <x:c r="W71" s="7" t="n">
        <x:v>85</x:v>
      </x:c>
      <x:c r="X71" s="8" t="n">
        <x:v>0</x:v>
      </x:c>
      <x:c r="Y71" s="2" t="n">
        <x:v>5</x:v>
      </x:c>
    </x:row>
    <x:row r="72" ht="18" customHeight="1">
      <x:c r="A72" s="2" t="str">
        <x:v>controlled</x:v>
      </x:c>
      <x:c r="B72" s="2" t="n">
        <x:v>5</x:v>
      </x:c>
      <x:c r="C72" s="2" t="str">
        <x:v>controlled_n5_distributed_peak_2</x:v>
      </x:c>
      <x:c r="D72" s="2" t="str">
        <x:v>distributed_peak</x:v>
      </x:c>
      <x:c r="E72" s="2" t="n">
        <x:v>0.5</x:v>
      </x:c>
      <x:c r="F72" s="2" t="str">
        <x:v>ready</x:v>
      </x:c>
      <x:c r="G72" s="2" t="n">
        <x:v>10</x:v>
      </x:c>
      <x:c r="H72" s="2" t="n">
        <x:v>16</x:v>
      </x:c>
      <x:c r="I72" s="2" t="n">
        <x:v>6</x:v>
      </x:c>
      <x:c r="J72" s="7" t="n">
        <x:v>85</x:v>
      </x:c>
      <x:c r="K72" s="7" t="n">
        <x:v>87.5</x:v>
      </x:c>
      <x:c r="L72" s="7" t="n">
        <x:v>0</x:v>
      </x:c>
      <x:c r="M72" s="7" t="n">
        <x:v>87.5</x:v>
      </x:c>
      <x:c r="N72" s="7" t="n">
        <x:v>0</x:v>
      </x:c>
      <x:c r="O72" s="7" t="n">
        <x:f>IF(J72=0,"n.a.",100*(J72-K72)/J72)</x:f>
        <x:v>-2.9411764705882355</x:v>
      </x:c>
      <x:c r="P72" s="7" t="n">
        <x:f>IF(J72=0,"n.a.",100*(J72-M72)/J72)</x:f>
        <x:v>-2.9411764705882355</x:v>
      </x:c>
      <x:c r="Q72" s="7" t="n">
        <x:f>J72-K72</x:f>
        <x:v>-2.5</x:v>
      </x:c>
      <x:c r="R72" s="7" t="n">
        <x:f>M72-K72</x:f>
        <x:v>0</x:v>
      </x:c>
      <x:c r="S72" s="2" t="str">
        <x:f>IF(J72-K72&gt;0.00000001,"improved",IF(K72-J72&gt;0.00000001,"worsened","unchanged"))</x:f>
        <x:v>worsened</x:v>
      </x:c>
      <x:c r="T72" s="2" t="str">
        <x:f>IF(J72-M72&gt;0.00000001,"improved",IF(M72-J72&gt;0.00000001,"worsened","unchanged"))</x:f>
        <x:v>worsened</x:v>
      </x:c>
      <x:c r="U72" s="2" t="str">
        <x:f>IF(R72&gt;0.00000001,"QAOA lower",IF(R72&lt; -0.00000001,"BPSO lower","tie"))</x:f>
        <x:v>tie</x:v>
      </x:c>
      <x:c r="V72" s="7" t="n">
        <x:v>87.5</x:v>
      </x:c>
      <x:c r="W72" s="7" t="n">
        <x:v>87.5</x:v>
      </x:c>
      <x:c r="X72" s="8" t="n">
        <x:v>2.220446049250313e-16</x:v>
      </x:c>
      <x:c r="Y72" s="2" t="n">
        <x:v>5</x:v>
      </x:c>
    </x:row>
    <x:row r="73" ht="18" customHeight="1">
      <x:c r="A73" s="2" t="str">
        <x:v>controlled</x:v>
      </x:c>
      <x:c r="B73" s="2" t="n">
        <x:v>5</x:v>
      </x:c>
      <x:c r="C73" s="2" t="str">
        <x:v>controlled_n5_distributed_peak_3</x:v>
      </x:c>
      <x:c r="D73" s="2" t="str">
        <x:v>distributed_peak</x:v>
      </x:c>
      <x:c r="E73" s="2" t="n">
        <x:v>0.7</x:v>
      </x:c>
      <x:c r="F73" s="2" t="str">
        <x:v>ready</x:v>
      </x:c>
      <x:c r="G73" s="2" t="n">
        <x:v>10</x:v>
      </x:c>
      <x:c r="H73" s="2" t="n">
        <x:v>39</x:v>
      </x:c>
      <x:c r="I73" s="2" t="n">
        <x:v>29</x:v>
      </x:c>
      <x:c r="J73" s="7" t="n">
        <x:v>85</x:v>
      </x:c>
      <x:c r="K73" s="7" t="n">
        <x:v>120</x:v>
      </x:c>
      <x:c r="L73" s="7" t="n">
        <x:v>0</x:v>
      </x:c>
      <x:c r="M73" s="7" t="n">
        <x:v>120</x:v>
      </x:c>
      <x:c r="N73" s="7" t="n">
        <x:v>0</x:v>
      </x:c>
      <x:c r="O73" s="7" t="n">
        <x:f>IF(J73=0,"n.a.",100*(J73-K73)/J73)</x:f>
        <x:v>-41.1764705882353</x:v>
      </x:c>
      <x:c r="P73" s="7" t="n">
        <x:f>IF(J73=0,"n.a.",100*(J73-M73)/J73)</x:f>
        <x:v>-41.1764705882353</x:v>
      </x:c>
      <x:c r="Q73" s="7" t="n">
        <x:f>J73-K73</x:f>
        <x:v>-35</x:v>
      </x:c>
      <x:c r="R73" s="7" t="n">
        <x:f>M73-K73</x:f>
        <x:v>0</x:v>
      </x:c>
      <x:c r="S73" s="2" t="str">
        <x:f>IF(J73-K73&gt;0.00000001,"improved",IF(K73-J73&gt;0.00000001,"worsened","unchanged"))</x:f>
        <x:v>worsened</x:v>
      </x:c>
      <x:c r="T73" s="2" t="str">
        <x:f>IF(J73-M73&gt;0.00000001,"improved",IF(M73-J73&gt;0.00000001,"worsened","unchanged"))</x:f>
        <x:v>worsened</x:v>
      </x:c>
      <x:c r="U73" s="2" t="str">
        <x:f>IF(R73&gt;0.00000001,"QAOA lower",IF(R73&lt; -0.00000001,"BPSO lower","tie"))</x:f>
        <x:v>tie</x:v>
      </x:c>
      <x:c r="V73" s="7" t="n">
        <x:v>120</x:v>
      </x:c>
      <x:c r="W73" s="7" t="n">
        <x:v>107.5</x:v>
      </x:c>
      <x:c r="X73" s="8" t="n">
        <x:v>0</x:v>
      </x:c>
      <x:c r="Y73" s="2" t="n">
        <x:v>5</x:v>
      </x:c>
    </x:row>
    <x:row r="74" ht="18" customHeight="1">
      <x:c r="A74" s="2" t="str">
        <x:v>controlled</x:v>
      </x:c>
      <x:c r="B74" s="2" t="n">
        <x:v>5</x:v>
      </x:c>
      <x:c r="C74" s="2" t="str">
        <x:v>controlled_n5_lane_closure_1</x:v>
      </x:c>
      <x:c r="D74" s="2" t="str">
        <x:v>lane_closure</x:v>
      </x:c>
      <x:c r="E74" s="2" t="n">
        <x:v>1</x:v>
      </x:c>
      <x:c r="F74" s="2" t="str">
        <x:v>no_congestion</x:v>
      </x:c>
      <x:c r="G74" s="2" t="n">
        <x:v>0</x:v>
      </x:c>
      <x:c r="H74" s="2" t="n">
        <x:v>0</x:v>
      </x:c>
      <x:c r="I74" s="2" t="n">
        <x:v>0</x:v>
      </x:c>
      <x:c r="J74" s="7" t="n">
        <x:v>55.00000000000001</x:v>
      </x:c>
      <x:c r="K74" s="7" t="n">
        <x:v>55.000000000000014</x:v>
      </x:c>
      <x:c r="L74" s="7" t="n">
        <x:v>7.944109290391274e-15</x:v>
      </x:c>
      <x:c r="M74" s="7" t="n">
        <x:v>55.000000000000014</x:v>
      </x:c>
      <x:c r="N74" s="7" t="n">
        <x:v>7.944109290391274e-15</x:v>
      </x:c>
      <x:c r="O74" s="7" t="n">
        <x:f>IF(J74=0,"n.a.",100*(J74-K74)/J74)</x:f>
        <x:v>-1.291895883200182e-14</x:v>
      </x:c>
      <x:c r="P74" s="7" t="n">
        <x:f>IF(J74=0,"n.a.",100*(J74-M74)/J74)</x:f>
        <x:v>-1.291895883200182e-14</x:v>
      </x:c>
      <x:c r="Q74" s="7" t="n">
        <x:f>J74-K74</x:f>
        <x:v>-7.105427357601002e-15</x:v>
      </x:c>
      <x:c r="R74" s="7" t="n">
        <x:f>M74-K74</x:f>
        <x:v>0</x:v>
      </x:c>
      <x:c r="S74" s="2" t="str">
        <x:f>IF(J74-K74&gt;0.00000001,"improved",IF(K74-J74&gt;0.00000001,"worsened","unchanged"))</x:f>
        <x:v>unchanged</x:v>
      </x:c>
      <x:c r="T74" s="2" t="str">
        <x:f>IF(J74-M74&gt;0.00000001,"improved",IF(M74-J74&gt;0.00000001,"worsened","unchanged"))</x:f>
        <x:v>unchanged</x:v>
      </x:c>
      <x:c r="U74" s="2" t="str">
        <x:f>IF(R74&gt;0.00000001,"QAOA lower",IF(R74&lt; -0.00000001,"BPSO lower","tie"))</x:f>
        <x:v>tie</x:v>
      </x:c>
      <x:c r="V74" s="7" t="n">
        <x:v>55.00000000000001</x:v>
      </x:c>
      <x:c r="W74" s="7" t="n">
        <x:v>55.00000000000001</x:v>
      </x:c>
      <x:c r="X74" s="8" t="n">
        <x:v>0</x:v>
      </x:c>
      <x:c r="Y74" s="2" t="n">
        <x:v>5</x:v>
      </x:c>
    </x:row>
    <x:row r="75" ht="18" customHeight="1">
      <x:c r="A75" s="2" t="str">
        <x:v>controlled</x:v>
      </x:c>
      <x:c r="B75" s="2" t="n">
        <x:v>5</x:v>
      </x:c>
      <x:c r="C75" s="2" t="str">
        <x:v>controlled_n5_lane_closure_2</x:v>
      </x:c>
      <x:c r="D75" s="2" t="str">
        <x:v>lane_closure</x:v>
      </x:c>
      <x:c r="E75" s="2" t="n">
        <x:v>0.75</x:v>
      </x:c>
      <x:c r="F75" s="2" t="str">
        <x:v>ready</x:v>
      </x:c>
      <x:c r="G75" s="2" t="n">
        <x:v>3</x:v>
      </x:c>
      <x:c r="H75" s="2" t="n">
        <x:v>3</x:v>
      </x:c>
      <x:c r="I75" s="2" t="n">
        <x:v>0</x:v>
      </x:c>
      <x:c r="J75" s="7" t="n">
        <x:v>73.33333333333333</x:v>
      </x:c>
      <x:c r="K75" s="7" t="n">
        <x:v>70</x:v>
      </x:c>
      <x:c r="L75" s="7" t="n">
        <x:v>0</x:v>
      </x:c>
      <x:c r="M75" s="7" t="n">
        <x:v>70</x:v>
      </x:c>
      <x:c r="N75" s="7" t="n">
        <x:v>0</x:v>
      </x:c>
      <x:c r="O75" s="7" t="n">
        <x:f>IF(J75=0,"n.a.",100*(J75-K75)/J75)</x:f>
        <x:v>4.54545454545454</x:v>
      </x:c>
      <x:c r="P75" s="7" t="n">
        <x:f>IF(J75=0,"n.a.",100*(J75-M75)/J75)</x:f>
        <x:v>4.54545454545454</x:v>
      </x:c>
      <x:c r="Q75" s="7" t="n">
        <x:f>J75-K75</x:f>
        <x:v>3.3333333333333286</x:v>
      </x:c>
      <x:c r="R75" s="7" t="n">
        <x:f>M75-K75</x:f>
        <x:v>0</x:v>
      </x:c>
      <x:c r="S75" s="2" t="str">
        <x:f>IF(J75-K75&gt;0.00000001,"improved",IF(K75-J75&gt;0.00000001,"worsened","unchanged"))</x:f>
        <x:v>improved</x:v>
      </x:c>
      <x:c r="T75" s="2" t="str">
        <x:f>IF(J75-M75&gt;0.00000001,"improved",IF(M75-J75&gt;0.00000001,"worsened","unchanged"))</x:f>
        <x:v>improved</x:v>
      </x:c>
      <x:c r="U75" s="2" t="str">
        <x:f>IF(R75&gt;0.00000001,"QAOA lower",IF(R75&lt; -0.00000001,"BPSO lower","tie"))</x:f>
        <x:v>tie</x:v>
      </x:c>
      <x:c r="V75" s="7" t="n">
        <x:v>70</x:v>
      </x:c>
      <x:c r="W75" s="7" t="n">
        <x:v>70</x:v>
      </x:c>
      <x:c r="X75" s="8" t="n">
        <x:v>0</x:v>
      </x:c>
      <x:c r="Y75" s="2" t="n">
        <x:v>5</x:v>
      </x:c>
    </x:row>
    <x:row r="76" ht="18" customHeight="1">
      <x:c r="A76" s="2" t="str">
        <x:v>controlled</x:v>
      </x:c>
      <x:c r="B76" s="2" t="n">
        <x:v>5</x:v>
      </x:c>
      <x:c r="C76" s="2" t="str">
        <x:v>controlled_n5_lane_closure_3</x:v>
      </x:c>
      <x:c r="D76" s="2" t="str">
        <x:v>lane_closure</x:v>
      </x:c>
      <x:c r="E76" s="2" t="n">
        <x:v>0.5</x:v>
      </x:c>
      <x:c r="F76" s="2" t="str">
        <x:v>ready</x:v>
      </x:c>
      <x:c r="G76" s="2" t="n">
        <x:v>5</x:v>
      </x:c>
      <x:c r="H76" s="2" t="n">
        <x:v>5</x:v>
      </x:c>
      <x:c r="I76" s="2" t="n">
        <x:v>0</x:v>
      </x:c>
      <x:c r="J76" s="7" t="n">
        <x:v>110.00000000000001</x:v>
      </x:c>
      <x:c r="K76" s="7" t="n">
        <x:v>77.5</x:v>
      </x:c>
      <x:c r="L76" s="7" t="n">
        <x:v>0</x:v>
      </x:c>
      <x:c r="M76" s="7" t="n">
        <x:v>77.5</x:v>
      </x:c>
      <x:c r="N76" s="7" t="n">
        <x:v>0</x:v>
      </x:c>
      <x:c r="O76" s="7" t="n">
        <x:f>IF(J76=0,"n.a.",100*(J76-K76)/J76)</x:f>
        <x:v>29.545454545454554</x:v>
      </x:c>
      <x:c r="P76" s="7" t="n">
        <x:f>IF(J76=0,"n.a.",100*(J76-M76)/J76)</x:f>
        <x:v>29.545454545454554</x:v>
      </x:c>
      <x:c r="Q76" s="7" t="n">
        <x:f>J76-K76</x:f>
        <x:v>32.500000000000014</x:v>
      </x:c>
      <x:c r="R76" s="7" t="n">
        <x:f>M76-K76</x:f>
        <x:v>0</x:v>
      </x:c>
      <x:c r="S76" s="2" t="str">
        <x:f>IF(J76-K76&gt;0.00000001,"improved",IF(K76-J76&gt;0.00000001,"worsened","unchanged"))</x:f>
        <x:v>improved</x:v>
      </x:c>
      <x:c r="T76" s="2" t="str">
        <x:f>IF(J76-M76&gt;0.00000001,"improved",IF(M76-J76&gt;0.00000001,"worsened","unchanged"))</x:f>
        <x:v>improved</x:v>
      </x:c>
      <x:c r="U76" s="2" t="str">
        <x:f>IF(R76&gt;0.00000001,"QAOA lower",IF(R76&lt; -0.00000001,"BPSO lower","tie"))</x:f>
        <x:v>tie</x:v>
      </x:c>
      <x:c r="V76" s="7" t="n">
        <x:v>77.5</x:v>
      </x:c>
      <x:c r="W76" s="7" t="n">
        <x:v>77.5</x:v>
      </x:c>
      <x:c r="X76" s="8" t="n">
        <x:v>0</x:v>
      </x:c>
      <x:c r="Y76" s="2" t="n">
        <x:v>5</x:v>
      </x:c>
    </x:row>
    <x:row r="77" ht="18" customHeight="1">
      <x:c r="A77" s="2" t="str">
        <x:v>controlled</x:v>
      </x:c>
      <x:c r="B77" s="2" t="n">
        <x:v>5</x:v>
      </x:c>
      <x:c r="C77" s="2" t="str">
        <x:v>controlled_n5_weather_capacity_loss_1</x:v>
      </x:c>
      <x:c r="D77" s="2" t="str">
        <x:v>weather_capacity_loss</x:v>
      </x:c>
      <x:c r="E77" s="2" t="n">
        <x:v>1</x:v>
      </x:c>
      <x:c r="F77" s="2" t="str">
        <x:v>no_congestion</x:v>
      </x:c>
      <x:c r="G77" s="2" t="n">
        <x:v>0</x:v>
      </x:c>
      <x:c r="H77" s="2" t="n">
        <x:v>0</x:v>
      </x:c>
      <x:c r="I77" s="2" t="n">
        <x:v>0</x:v>
      </x:c>
      <x:c r="J77" s="7" t="n">
        <x:v>55.00000000000001</x:v>
      </x:c>
      <x:c r="K77" s="7" t="n">
        <x:v>55.000000000000014</x:v>
      </x:c>
      <x:c r="L77" s="7" t="n">
        <x:v>7.944109290391274e-15</x:v>
      </x:c>
      <x:c r="M77" s="7" t="n">
        <x:v>55.000000000000014</x:v>
      </x:c>
      <x:c r="N77" s="7" t="n">
        <x:v>7.944109290391274e-15</x:v>
      </x:c>
      <x:c r="O77" s="7" t="n">
        <x:f>IF(J77=0,"n.a.",100*(J77-K77)/J77)</x:f>
        <x:v>-1.291895883200182e-14</x:v>
      </x:c>
      <x:c r="P77" s="7" t="n">
        <x:f>IF(J77=0,"n.a.",100*(J77-M77)/J77)</x:f>
        <x:v>-1.291895883200182e-14</x:v>
      </x:c>
      <x:c r="Q77" s="7" t="n">
        <x:f>J77-K77</x:f>
        <x:v>-7.105427357601002e-15</x:v>
      </x:c>
      <x:c r="R77" s="7" t="n">
        <x:f>M77-K77</x:f>
        <x:v>0</x:v>
      </x:c>
      <x:c r="S77" s="2" t="str">
        <x:f>IF(J77-K77&gt;0.00000001,"improved",IF(K77-J77&gt;0.00000001,"worsened","unchanged"))</x:f>
        <x:v>unchanged</x:v>
      </x:c>
      <x:c r="T77" s="2" t="str">
        <x:f>IF(J77-M77&gt;0.00000001,"improved",IF(M77-J77&gt;0.00000001,"worsened","unchanged"))</x:f>
        <x:v>unchanged</x:v>
      </x:c>
      <x:c r="U77" s="2" t="str">
        <x:f>IF(R77&gt;0.00000001,"QAOA lower",IF(R77&lt; -0.00000001,"BPSO lower","tie"))</x:f>
        <x:v>tie</x:v>
      </x:c>
      <x:c r="V77" s="7" t="n">
        <x:v>55.00000000000001</x:v>
      </x:c>
      <x:c r="W77" s="7" t="n">
        <x:v>55.00000000000001</x:v>
      </x:c>
      <x:c r="X77" s="8" t="n">
        <x:v>0</x:v>
      </x:c>
      <x:c r="Y77" s="2" t="n">
        <x:v>5</x:v>
      </x:c>
    </x:row>
    <x:row r="78" ht="18" customHeight="1">
      <x:c r="A78" s="2" t="str">
        <x:v>controlled</x:v>
      </x:c>
      <x:c r="B78" s="2" t="n">
        <x:v>5</x:v>
      </x:c>
      <x:c r="C78" s="2" t="str">
        <x:v>controlled_n5_weather_capacity_loss_2</x:v>
      </x:c>
      <x:c r="D78" s="2" t="str">
        <x:v>weather_capacity_loss</x:v>
      </x:c>
      <x:c r="E78" s="2" t="n">
        <x:v>0.8</x:v>
      </x:c>
      <x:c r="F78" s="2" t="str">
        <x:v>ready</x:v>
      </x:c>
      <x:c r="G78" s="2" t="n">
        <x:v>10</x:v>
      </x:c>
      <x:c r="H78" s="2" t="n">
        <x:v>23</x:v>
      </x:c>
      <x:c r="I78" s="2" t="n">
        <x:v>13</x:v>
      </x:c>
      <x:c r="J78" s="7" t="n">
        <x:v>68.75000000000001</x:v>
      </x:c>
      <x:c r="K78" s="7" t="n">
        <x:v>96.875</x:v>
      </x:c>
      <x:c r="L78" s="7" t="n">
        <x:v>0</x:v>
      </x:c>
      <x:c r="M78" s="7" t="n">
        <x:v>96.875</x:v>
      </x:c>
      <x:c r="N78" s="7" t="n">
        <x:v>0</x:v>
      </x:c>
      <x:c r="O78" s="7" t="n">
        <x:f>IF(J78=0,"n.a.",100*(J78-K78)/J78)</x:f>
        <x:v>-40.90909090909088</x:v>
      </x:c>
      <x:c r="P78" s="7" t="n">
        <x:f>IF(J78=0,"n.a.",100*(J78-M78)/J78)</x:f>
        <x:v>-40.90909090909088</x:v>
      </x:c>
      <x:c r="Q78" s="7" t="n">
        <x:f>J78-K78</x:f>
        <x:v>-28.124999999999986</x:v>
      </x:c>
      <x:c r="R78" s="7" t="n">
        <x:f>M78-K78</x:f>
        <x:v>0</x:v>
      </x:c>
      <x:c r="S78" s="2" t="str">
        <x:f>IF(J78-K78&gt;0.00000001,"improved",IF(K78-J78&gt;0.00000001,"worsened","unchanged"))</x:f>
        <x:v>worsened</x:v>
      </x:c>
      <x:c r="T78" s="2" t="str">
        <x:f>IF(J78-M78&gt;0.00000001,"improved",IF(M78-J78&gt;0.00000001,"worsened","unchanged"))</x:f>
        <x:v>worsened</x:v>
      </x:c>
      <x:c r="U78" s="2" t="str">
        <x:f>IF(R78&gt;0.00000001,"QAOA lower",IF(R78&lt; -0.00000001,"BPSO lower","tie"))</x:f>
        <x:v>tie</x:v>
      </x:c>
      <x:c r="V78" s="7" t="n">
        <x:v>96.875</x:v>
      </x:c>
      <x:c r="W78" s="7" t="n">
        <x:v>92.1875</x:v>
      </x:c>
      <x:c r="X78" s="8" t="n">
        <x:v>0</x:v>
      </x:c>
      <x:c r="Y78" s="2" t="n">
        <x:v>5</x:v>
      </x:c>
    </x:row>
    <x:row r="79" ht="18" customHeight="1">
      <x:c r="A79" s="2" t="str">
        <x:v>controlled</x:v>
      </x:c>
      <x:c r="B79" s="2" t="n">
        <x:v>5</x:v>
      </x:c>
      <x:c r="C79" s="2" t="str">
        <x:v>controlled_n5_weather_capacity_loss_3</x:v>
      </x:c>
      <x:c r="D79" s="2" t="str">
        <x:v>weather_capacity_loss</x:v>
      </x:c>
      <x:c r="E79" s="2" t="n">
        <x:v>0.6</x:v>
      </x:c>
      <x:c r="F79" s="2" t="str">
        <x:v>ready</x:v>
      </x:c>
      <x:c r="G79" s="2" t="n">
        <x:v>10</x:v>
      </x:c>
      <x:c r="H79" s="2" t="n">
        <x:v>38</x:v>
      </x:c>
      <x:c r="I79" s="2" t="n">
        <x:v>28</x:v>
      </x:c>
      <x:c r="J79" s="7" t="n">
        <x:v>91.66666666666667</x:v>
      </x:c>
      <x:c r="K79" s="7" t="n">
        <x:v>154.16666666666669</x:v>
      </x:c>
      <x:c r="L79" s="7" t="n">
        <x:v>0</x:v>
      </x:c>
      <x:c r="M79" s="7" t="n">
        <x:v>154.16666666666669</x:v>
      </x:c>
      <x:c r="N79" s="7" t="n">
        <x:v>0</x:v>
      </x:c>
      <x:c r="O79" s="7" t="n">
        <x:f>IF(J79=0,"n.a.",100*(J79-K79)/J79)</x:f>
        <x:v>-68.1818181818182</x:v>
      </x:c>
      <x:c r="P79" s="7" t="n">
        <x:f>IF(J79=0,"n.a.",100*(J79-M79)/J79)</x:f>
        <x:v>-68.1818181818182</x:v>
      </x:c>
      <x:c r="Q79" s="7" t="n">
        <x:f>J79-K79</x:f>
        <x:v>-62.500000000000014</x:v>
      </x:c>
      <x:c r="R79" s="7" t="n">
        <x:f>M79-K79</x:f>
        <x:v>0</x:v>
      </x:c>
      <x:c r="S79" s="2" t="str">
        <x:f>IF(J79-K79&gt;0.00000001,"improved",IF(K79-J79&gt;0.00000001,"worsened","unchanged"))</x:f>
        <x:v>worsened</x:v>
      </x:c>
      <x:c r="T79" s="2" t="str">
        <x:f>IF(J79-M79&gt;0.00000001,"improved",IF(M79-J79&gt;0.00000001,"worsened","unchanged"))</x:f>
        <x:v>worsened</x:v>
      </x:c>
      <x:c r="U79" s="2" t="str">
        <x:f>IF(R79&gt;0.00000001,"QAOA lower",IF(R79&lt; -0.00000001,"BPSO lower","tie"))</x:f>
        <x:v>tie</x:v>
      </x:c>
      <x:c r="V79" s="7" t="n">
        <x:v>154.16666666666669</x:v>
      </x:c>
      <x:c r="W79" s="7" t="n">
        <x:v>138.54166666666669</x:v>
      </x:c>
      <x:c r="X79" s="8" t="n">
        <x:v>0</x:v>
      </x:c>
      <x:c r="Y79" s="2" t="n">
        <x:v>5</x:v>
      </x:c>
    </x:row>
    <x:row r="80" ht="18" customHeight="1">
      <x:c r="A80" s="2" t="str">
        <x:v>legacy</x:v>
      </x:c>
      <x:c r="B80" s="2" t="n">
        <x:v>6</x:v>
      </x:c>
      <x:c r="C80" s="2" t="str">
        <x:v>legacy_n6_01</x:v>
      </x:c>
      <x:c r="D80" s="2" t="str">
        <x:v>Single Bottleneck</x:v>
      </x:c>
      <x:c r="E80" s="2" t="str">
        <x:v>1</x:v>
      </x:c>
      <x:c r="F80" s="2" t="str">
        <x:v>ready</x:v>
      </x:c>
      <x:c r="G80" s="2" t="n">
        <x:v>5</x:v>
      </x:c>
      <x:c r="H80" s="2" t="n">
        <x:v>5</x:v>
      </x:c>
      <x:c r="I80" s="2" t="n">
        <x:v>0</x:v>
      </x:c>
      <x:c r="J80" s="7" t="n">
        <x:v>81.13749999999999</x:v>
      </x:c>
      <x:c r="K80" s="7" t="n">
        <x:v>58.4695652173913</x:v>
      </x:c>
      <x:c r="L80" s="7" t="n">
        <x:v>7.944109290391274e-15</x:v>
      </x:c>
      <x:c r="M80" s="7" t="n">
        <x:v>58.4695652173913</x:v>
      </x:c>
      <x:c r="N80" s="7" t="n">
        <x:v>7.944109290391274e-15</x:v>
      </x:c>
      <x:c r="O80" s="7" t="n">
        <x:f>IF(J80=0,"n.a.",100*(J80-K80)/J80)</x:f>
        <x:v>27.93767959649816</x:v>
      </x:c>
      <x:c r="P80" s="7" t="n">
        <x:f>IF(J80=0,"n.a.",100*(J80-M80)/J80)</x:f>
        <x:v>27.93767959649816</x:v>
      </x:c>
      <x:c r="Q80" s="7" t="n">
        <x:f>J80-K80</x:f>
        <x:v>22.66793478260869</x:v>
      </x:c>
      <x:c r="R80" s="7" t="n">
        <x:f>M80-K80</x:f>
        <x:v>0</x:v>
      </x:c>
      <x:c r="S80" s="2" t="str">
        <x:f>IF(J80-K80&gt;0.00000001,"improved",IF(K80-J80&gt;0.00000001,"worsened","unchanged"))</x:f>
        <x:v>improved</x:v>
      </x:c>
      <x:c r="T80" s="2" t="str">
        <x:f>IF(J80-M80&gt;0.00000001,"improved",IF(M80-J80&gt;0.00000001,"worsened","unchanged"))</x:f>
        <x:v>improved</x:v>
      </x:c>
      <x:c r="U80" s="2" t="str">
        <x:f>IF(R80&gt;0.00000001,"QAOA lower",IF(R80&lt; -0.00000001,"BPSO lower","tie"))</x:f>
        <x:v>tie</x:v>
      </x:c>
      <x:c r="V80" s="7" t="n">
        <x:v>58.469565217391306</x:v>
      </x:c>
      <x:c r="W80" s="7" t="n">
        <x:v>58.469565217391306</x:v>
      </x:c>
      <x:c r="X80" s="8" t="n">
        <x:v>0</x:v>
      </x:c>
      <x:c r="Y80" s="2" t="n">
        <x:v>5</x:v>
      </x:c>
    </x:row>
    <x:row r="81" ht="18" customHeight="1">
      <x:c r="A81" s="2" t="str">
        <x:v>legacy</x:v>
      </x:c>
      <x:c r="B81" s="2" t="n">
        <x:v>6</x:v>
      </x:c>
      <x:c r="C81" s="2" t="str">
        <x:v>legacy_n6_02</x:v>
      </x:c>
      <x:c r="D81" s="2" t="str">
        <x:v>Adjacent Bottlenecks</x:v>
      </x:c>
      <x:c r="E81" s="2" t="str">
        <x:v>2</x:v>
      </x:c>
      <x:c r="F81" s="2" t="str">
        <x:v>ready</x:v>
      </x:c>
      <x:c r="G81" s="2" t="n">
        <x:v>9</x:v>
      </x:c>
      <x:c r="H81" s="2" t="n">
        <x:v>9</x:v>
      </x:c>
      <x:c r="I81" s="2" t="n">
        <x:v>0</x:v>
      </x:c>
      <x:c r="J81" s="7" t="n">
        <x:v>84.245</x:v>
      </x:c>
      <x:c r="K81" s="7" t="n">
        <x:v>68.49333333333334</x:v>
      </x:c>
      <x:c r="L81" s="7" t="n">
        <x:v>0</x:v>
      </x:c>
      <x:c r="M81" s="7" t="n">
        <x:v>68.49333333333334</x:v>
      </x:c>
      <x:c r="N81" s="7" t="n">
        <x:v>0</x:v>
      </x:c>
      <x:c r="O81" s="7" t="n">
        <x:f>IF(J81=0,"n.a.",100*(J81-K81)/J81)</x:f>
        <x:v>18.697449898114623</x:v>
      </x:c>
      <x:c r="P81" s="7" t="n">
        <x:f>IF(J81=0,"n.a.",100*(J81-M81)/J81)</x:f>
        <x:v>18.697449898114623</x:v>
      </x:c>
      <x:c r="Q81" s="7" t="n">
        <x:f>J81-K81</x:f>
        <x:v>15.751666666666665</x:v>
      </x:c>
      <x:c r="R81" s="7" t="n">
        <x:f>M81-K81</x:f>
        <x:v>0</x:v>
      </x:c>
      <x:c r="S81" s="2" t="str">
        <x:f>IF(J81-K81&gt;0.00000001,"improved",IF(K81-J81&gt;0.00000001,"worsened","unchanged"))</x:f>
        <x:v>improved</x:v>
      </x:c>
      <x:c r="T81" s="2" t="str">
        <x:f>IF(J81-M81&gt;0.00000001,"improved",IF(M81-J81&gt;0.00000001,"worsened","unchanged"))</x:f>
        <x:v>improved</x:v>
      </x:c>
      <x:c r="U81" s="2" t="str">
        <x:f>IF(R81&gt;0.00000001,"QAOA lower",IF(R81&lt; -0.00000001,"BPSO lower","tie"))</x:f>
        <x:v>tie</x:v>
      </x:c>
      <x:c r="V81" s="7" t="n">
        <x:v>68.49333333333334</x:v>
      </x:c>
      <x:c r="W81" s="7" t="n">
        <x:v>68.49333333333334</x:v>
      </x:c>
      <x:c r="X81" s="8" t="n">
        <x:v>0</x:v>
      </x:c>
      <x:c r="Y81" s="2" t="n">
        <x:v>5</x:v>
      </x:c>
    </x:row>
    <x:row r="82" ht="18" customHeight="1">
      <x:c r="A82" s="2" t="str">
        <x:v>legacy</x:v>
      </x:c>
      <x:c r="B82" s="2" t="n">
        <x:v>6</x:v>
      </x:c>
      <x:c r="C82" s="2" t="str">
        <x:v>legacy_n6_03</x:v>
      </x:c>
      <x:c r="D82" s="2" t="str">
        <x:v>Non-Adjacent Bottlenecks</x:v>
      </x:c>
      <x:c r="E82" s="2" t="str">
        <x:v>3</x:v>
      </x:c>
      <x:c r="F82" s="2" t="str">
        <x:v>ready</x:v>
      </x:c>
      <x:c r="G82" s="2" t="n">
        <x:v>9</x:v>
      </x:c>
      <x:c r="H82" s="2" t="n">
        <x:v>9</x:v>
      </x:c>
      <x:c r="I82" s="2" t="n">
        <x:v>0</x:v>
      </x:c>
      <x:c r="J82" s="7" t="n">
        <x:v>81.45714285714286</x:v>
      </x:c>
      <x:c r="K82" s="7" t="n">
        <x:v>68.43478260869566</x:v>
      </x:c>
      <x:c r="L82" s="7" t="n">
        <x:v>0</x:v>
      </x:c>
      <x:c r="M82" s="7" t="n">
        <x:v>68.43478260869566</x:v>
      </x:c>
      <x:c r="N82" s="7" t="n">
        <x:v>0</x:v>
      </x:c>
      <x:c r="O82" s="7" t="n">
        <x:f>IF(J82=0,"n.a.",100*(J82-K82)/J82)</x:f>
        <x:v>15.986762844463415</x:v>
      </x:c>
      <x:c r="P82" s="7" t="n">
        <x:f>IF(J82=0,"n.a.",100*(J82-M82)/J82)</x:f>
        <x:v>15.986762844463415</x:v>
      </x:c>
      <x:c r="Q82" s="7" t="n">
        <x:f>J82-K82</x:f>
        <x:v>13.0223602484472</x:v>
      </x:c>
      <x:c r="R82" s="7" t="n">
        <x:f>M82-K82</x:f>
        <x:v>0</x:v>
      </x:c>
      <x:c r="S82" s="2" t="str">
        <x:f>IF(J82-K82&gt;0.00000001,"improved",IF(K82-J82&gt;0.00000001,"worsened","unchanged"))</x:f>
        <x:v>improved</x:v>
      </x:c>
      <x:c r="T82" s="2" t="str">
        <x:f>IF(J82-M82&gt;0.00000001,"improved",IF(M82-J82&gt;0.00000001,"worsened","unchanged"))</x:f>
        <x:v>improved</x:v>
      </x:c>
      <x:c r="U82" s="2" t="str">
        <x:f>IF(R82&gt;0.00000001,"QAOA lower",IF(R82&lt; -0.00000001,"BPSO lower","tie"))</x:f>
        <x:v>tie</x:v>
      </x:c>
      <x:c r="V82" s="7" t="n">
        <x:v>68.43478260869566</x:v>
      </x:c>
      <x:c r="W82" s="7" t="n">
        <x:v>61.91304347826087</x:v>
      </x:c>
      <x:c r="X82" s="8" t="n">
        <x:v>0</x:v>
      </x:c>
      <x:c r="Y82" s="2" t="n">
        <x:v>5</x:v>
      </x:c>
    </x:row>
    <x:row r="83" ht="18" customHeight="1">
      <x:c r="A83" s="2" t="str">
        <x:v>legacy</x:v>
      </x:c>
      <x:c r="B83" s="2" t="n">
        <x:v>6</x:v>
      </x:c>
      <x:c r="C83" s="2" t="str">
        <x:v>legacy_n6_04</x:v>
      </x:c>
      <x:c r="D83" s="2" t="str">
        <x:v>Inbound Corridor</x:v>
      </x:c>
      <x:c r="E83" s="2" t="str">
        <x:v>4</x:v>
      </x:c>
      <x:c r="F83" s="2" t="str">
        <x:v>ready</x:v>
      </x:c>
      <x:c r="G83" s="2" t="n">
        <x:v>7</x:v>
      </x:c>
      <x:c r="H83" s="2" t="n">
        <x:v>7</x:v>
      </x:c>
      <x:c r="I83" s="2" t="n">
        <x:v>0</x:v>
      </x:c>
      <x:c r="J83" s="7" t="n">
        <x:v>75.9421052631579</x:v>
      </x:c>
      <x:c r="K83" s="7" t="n">
        <x:v>66.88000000000001</x:v>
      </x:c>
      <x:c r="L83" s="7" t="n">
        <x:v>0</x:v>
      </x:c>
      <x:c r="M83" s="7" t="n">
        <x:v>66.88000000000001</x:v>
      </x:c>
      <x:c r="N83" s="7" t="n">
        <x:v>0</x:v>
      </x:c>
      <x:c r="O83" s="7" t="n">
        <x:f>IF(J83=0,"n.a.",100*(J83-K83)/J83)</x:f>
        <x:v>11.932912883775721</x:v>
      </x:c>
      <x:c r="P83" s="7" t="n">
        <x:f>IF(J83=0,"n.a.",100*(J83-M83)/J83)</x:f>
        <x:v>11.932912883775721</x:v>
      </x:c>
      <x:c r="Q83" s="7" t="n">
        <x:f>J83-K83</x:f>
        <x:v>9.06210526315789</x:v>
      </x:c>
      <x:c r="R83" s="7" t="n">
        <x:f>M83-K83</x:f>
        <x:v>0</x:v>
      </x:c>
      <x:c r="S83" s="2" t="str">
        <x:f>IF(J83-K83&gt;0.00000001,"improved",IF(K83-J83&gt;0.00000001,"worsened","unchanged"))</x:f>
        <x:v>improved</x:v>
      </x:c>
      <x:c r="T83" s="2" t="str">
        <x:f>IF(J83-M83&gt;0.00000001,"improved",IF(M83-J83&gt;0.00000001,"worsened","unchanged"))</x:f>
        <x:v>improved</x:v>
      </x:c>
      <x:c r="U83" s="2" t="str">
        <x:f>IF(R83&gt;0.00000001,"QAOA lower",IF(R83&lt; -0.00000001,"BPSO lower","tie"))</x:f>
        <x:v>tie</x:v>
      </x:c>
      <x:c r="V83" s="7" t="n">
        <x:v>66.88000000000001</x:v>
      </x:c>
      <x:c r="W83" s="7" t="n">
        <x:v>66.88000000000001</x:v>
      </x:c>
      <x:c r="X83" s="8" t="n">
        <x:v>0</x:v>
      </x:c>
      <x:c r="Y83" s="2" t="n">
        <x:v>5</x:v>
      </x:c>
    </x:row>
    <x:row r="84" ht="18" customHeight="1">
      <x:c r="A84" s="2" t="str">
        <x:v>legacy</x:v>
      </x:c>
      <x:c r="B84" s="2" t="n">
        <x:v>6</x:v>
      </x:c>
      <x:c r="C84" s="2" t="str">
        <x:v>legacy_n6_05</x:v>
      </x:c>
      <x:c r="D84" s="2" t="str">
        <x:v>Outbound Corridor</x:v>
      </x:c>
      <x:c r="E84" s="2" t="str">
        <x:v>5</x:v>
      </x:c>
      <x:c r="F84" s="2" t="str">
        <x:v>ready</x:v>
      </x:c>
      <x:c r="G84" s="2" t="n">
        <x:v>9</x:v>
      </x:c>
      <x:c r="H84" s="2" t="n">
        <x:v>9</x:v>
      </x:c>
      <x:c r="I84" s="2" t="n">
        <x:v>0</x:v>
      </x:c>
      <x:c r="J84" s="7" t="n">
        <x:v>82.7235294117647</x:v>
      </x:c>
      <x:c r="K84" s="7" t="n">
        <x:v>64.58260869565218</x:v>
      </x:c>
      <x:c r="L84" s="7" t="n">
        <x:v>0</x:v>
      </x:c>
      <x:c r="M84" s="7" t="n">
        <x:v>64.58260869565218</x:v>
      </x:c>
      <x:c r="N84" s="7" t="n">
        <x:v>0</x:v>
      </x:c>
      <x:c r="O84" s="7" t="n">
        <x:f>IF(J84=0,"n.a.",100*(J84-K84)/J84)</x:f>
        <x:v>21.929577769601995</x:v>
      </x:c>
      <x:c r="P84" s="7" t="n">
        <x:f>IF(J84=0,"n.a.",100*(J84-M84)/J84)</x:f>
        <x:v>21.929577769601995</x:v>
      </x:c>
      <x:c r="Q84" s="7" t="n">
        <x:f>J84-K84</x:f>
        <x:v>18.140920716112518</x:v>
      </x:c>
      <x:c r="R84" s="7" t="n">
        <x:f>M84-K84</x:f>
        <x:v>0</x:v>
      </x:c>
      <x:c r="S84" s="2" t="str">
        <x:f>IF(J84-K84&gt;0.00000001,"improved",IF(K84-J84&gt;0.00000001,"worsened","unchanged"))</x:f>
        <x:v>improved</x:v>
      </x:c>
      <x:c r="T84" s="2" t="str">
        <x:f>IF(J84-M84&gt;0.00000001,"improved",IF(M84-J84&gt;0.00000001,"worsened","unchanged"))</x:f>
        <x:v>improved</x:v>
      </x:c>
      <x:c r="U84" s="2" t="str">
        <x:f>IF(R84&gt;0.00000001,"QAOA lower",IF(R84&lt; -0.00000001,"BPSO lower","tie"))</x:f>
        <x:v>tie</x:v>
      </x:c>
      <x:c r="V84" s="7" t="n">
        <x:v>64.58260869565218</x:v>
      </x:c>
      <x:c r="W84" s="7" t="n">
        <x:v>64.5</x:v>
      </x:c>
      <x:c r="X84" s="8" t="n">
        <x:v>0</x:v>
      </x:c>
      <x:c r="Y84" s="2" t="n">
        <x:v>5</x:v>
      </x:c>
    </x:row>
    <x:row r="85" ht="18" customHeight="1">
      <x:c r="A85" s="2" t="str">
        <x:v>legacy</x:v>
      </x:c>
      <x:c r="B85" s="2" t="n">
        <x:v>6</x:v>
      </x:c>
      <x:c r="C85" s="2" t="str">
        <x:v>legacy_n6_06</x:v>
      </x:c>
      <x:c r="D85" s="2" t="str">
        <x:v>Localized Congestion</x:v>
      </x:c>
      <x:c r="E85" s="2" t="str">
        <x:v>6</x:v>
      </x:c>
      <x:c r="F85" s="2" t="str">
        <x:v>ready</x:v>
      </x:c>
      <x:c r="G85" s="2" t="n">
        <x:v>10</x:v>
      </x:c>
      <x:c r="H85" s="2" t="n">
        <x:v>11</x:v>
      </x:c>
      <x:c r="I85" s="2" t="n">
        <x:v>1</x:v>
      </x:c>
      <x:c r="J85" s="7" t="n">
        <x:v>83.47333333333333</x:v>
      </x:c>
      <x:c r="K85" s="7" t="n">
        <x:v>72.33500000000001</x:v>
      </x:c>
      <x:c r="L85" s="7" t="n">
        <x:v>0</x:v>
      </x:c>
      <x:c r="M85" s="7" t="n">
        <x:v>72.33500000000001</x:v>
      </x:c>
      <x:c r="N85" s="7" t="n">
        <x:v>0</x:v>
      </x:c>
      <x:c r="O85" s="7" t="n">
        <x:f>IF(J85=0,"n.a.",100*(J85-K85)/J85)</x:f>
        <x:v>13.343582780928028</x:v>
      </x:c>
      <x:c r="P85" s="7" t="n">
        <x:f>IF(J85=0,"n.a.",100*(J85-M85)/J85)</x:f>
        <x:v>13.343582780928028</x:v>
      </x:c>
      <x:c r="Q85" s="7" t="n">
        <x:f>J85-K85</x:f>
        <x:v>11.138333333333321</x:v>
      </x:c>
      <x:c r="R85" s="7" t="n">
        <x:f>M85-K85</x:f>
        <x:v>0</x:v>
      </x:c>
      <x:c r="S85" s="2" t="str">
        <x:f>IF(J85-K85&gt;0.00000001,"improved",IF(K85-J85&gt;0.00000001,"worsened","unchanged"))</x:f>
        <x:v>improved</x:v>
      </x:c>
      <x:c r="T85" s="2" t="str">
        <x:f>IF(J85-M85&gt;0.00000001,"improved",IF(M85-J85&gt;0.00000001,"worsened","unchanged"))</x:f>
        <x:v>improved</x:v>
      </x:c>
      <x:c r="U85" s="2" t="str">
        <x:f>IF(R85&gt;0.00000001,"QAOA lower",IF(R85&lt; -0.00000001,"BPSO lower","tie"))</x:f>
        <x:v>tie</x:v>
      </x:c>
      <x:c r="V85" s="7" t="n">
        <x:v>72.33500000000001</x:v>
      </x:c>
      <x:c r="W85" s="7" t="n">
        <x:v>69.78666666666666</x:v>
      </x:c>
      <x:c r="X85" s="8" t="n">
        <x:v>0</x:v>
      </x:c>
      <x:c r="Y85" s="2" t="n">
        <x:v>5</x:v>
      </x:c>
    </x:row>
    <x:row r="86" ht="18" customHeight="1">
      <x:c r="A86" s="2" t="str">
        <x:v>legacy</x:v>
      </x:c>
      <x:c r="B86" s="2" t="n">
        <x:v>6</x:v>
      </x:c>
      <x:c r="C86" s="2" t="str">
        <x:v>legacy_n6_07</x:v>
      </x:c>
      <x:c r="D86" s="2" t="str">
        <x:v>Lane Closure Incident</x:v>
      </x:c>
      <x:c r="E86" s="2" t="str">
        <x:v>7</x:v>
      </x:c>
      <x:c r="F86" s="2" t="str">
        <x:v>ready</x:v>
      </x:c>
      <x:c r="G86" s="2" t="n">
        <x:v>3</x:v>
      </x:c>
      <x:c r="H86" s="2" t="n">
        <x:v>3</x:v>
      </x:c>
      <x:c r="I86" s="2" t="n">
        <x:v>0</x:v>
      </x:c>
      <x:c r="J86" s="7" t="n">
        <x:v>75.74166666666666</x:v>
      </x:c>
      <x:c r="K86" s="7" t="n">
        <x:v>49.7</x:v>
      </x:c>
      <x:c r="L86" s="7" t="n">
        <x:v>0</x:v>
      </x:c>
      <x:c r="M86" s="7" t="n">
        <x:v>49.7</x:v>
      </x:c>
      <x:c r="N86" s="7" t="n">
        <x:v>0</x:v>
      </x:c>
      <x:c r="O86" s="7" t="n">
        <x:f>IF(J86=0,"n.a.",100*(J86-K86)/J86)</x:f>
        <x:v>34.3822202662559</x:v>
      </x:c>
      <x:c r="P86" s="7" t="n">
        <x:f>IF(J86=0,"n.a.",100*(J86-M86)/J86)</x:f>
        <x:v>34.3822202662559</x:v>
      </x:c>
      <x:c r="Q86" s="7" t="n">
        <x:f>J86-K86</x:f>
        <x:v>26.041666666666657</x:v>
      </x:c>
      <x:c r="R86" s="7" t="n">
        <x:f>M86-K86</x:f>
        <x:v>0</x:v>
      </x:c>
      <x:c r="S86" s="2" t="str">
        <x:f>IF(J86-K86&gt;0.00000001,"improved",IF(K86-J86&gt;0.00000001,"worsened","unchanged"))</x:f>
        <x:v>improved</x:v>
      </x:c>
      <x:c r="T86" s="2" t="str">
        <x:f>IF(J86-M86&gt;0.00000001,"improved",IF(M86-J86&gt;0.00000001,"worsened","unchanged"))</x:f>
        <x:v>improved</x:v>
      </x:c>
      <x:c r="U86" s="2" t="str">
        <x:f>IF(R86&gt;0.00000001,"QAOA lower",IF(R86&lt; -0.00000001,"BPSO lower","tie"))</x:f>
        <x:v>tie</x:v>
      </x:c>
      <x:c r="V86" s="7" t="n">
        <x:v>49.7</x:v>
      </x:c>
      <x:c r="W86" s="7" t="n">
        <x:v>49.7</x:v>
      </x:c>
      <x:c r="X86" s="8" t="n">
        <x:v>0</x:v>
      </x:c>
      <x:c r="Y86" s="2" t="n">
        <x:v>5</x:v>
      </x:c>
    </x:row>
    <x:row r="87" ht="18" customHeight="1">
      <x:c r="A87" s="2" t="str">
        <x:v>legacy</x:v>
      </x:c>
      <x:c r="B87" s="2" t="n">
        <x:v>6</x:v>
      </x:c>
      <x:c r="C87" s="2" t="str">
        <x:v>legacy_n6_08</x:v>
      </x:c>
      <x:c r="D87" s="2" t="str">
        <x:v>Event Outflow</x:v>
      </x:c>
      <x:c r="E87" s="2" t="str">
        <x:v>8</x:v>
      </x:c>
      <x:c r="F87" s="2" t="str">
        <x:v>ready</x:v>
      </x:c>
      <x:c r="G87" s="2" t="n">
        <x:v>8</x:v>
      </x:c>
      <x:c r="H87" s="2" t="n">
        <x:v>8</x:v>
      </x:c>
      <x:c r="I87" s="2" t="n">
        <x:v>0</x:v>
      </x:c>
      <x:c r="J87" s="7" t="n">
        <x:v>85.11111111111111</x:v>
      </x:c>
      <x:c r="K87" s="7" t="n">
        <x:v>61.68666666666667</x:v>
      </x:c>
      <x:c r="L87" s="7" t="n">
        <x:v>0</x:v>
      </x:c>
      <x:c r="M87" s="7" t="n">
        <x:v>61.68666666666667</x:v>
      </x:c>
      <x:c r="N87" s="7" t="n">
        <x:v>0</x:v>
      </x:c>
      <x:c r="O87" s="7" t="n">
        <x:f>IF(J87=0,"n.a.",100*(J87-K87)/J87)</x:f>
        <x:v>27.522193211488254</x:v>
      </x:c>
      <x:c r="P87" s="7" t="n">
        <x:f>IF(J87=0,"n.a.",100*(J87-M87)/J87)</x:f>
        <x:v>27.522193211488254</x:v>
      </x:c>
      <x:c r="Q87" s="7" t="n">
        <x:f>J87-K87</x:f>
        <x:v>23.424444444444447</x:v>
      </x:c>
      <x:c r="R87" s="7" t="n">
        <x:f>M87-K87</x:f>
        <x:v>0</x:v>
      </x:c>
      <x:c r="S87" s="2" t="str">
        <x:f>IF(J87-K87&gt;0.00000001,"improved",IF(K87-J87&gt;0.00000001,"worsened","unchanged"))</x:f>
        <x:v>improved</x:v>
      </x:c>
      <x:c r="T87" s="2" t="str">
        <x:f>IF(J87-M87&gt;0.00000001,"improved",IF(M87-J87&gt;0.00000001,"worsened","unchanged"))</x:f>
        <x:v>improved</x:v>
      </x:c>
      <x:c r="U87" s="2" t="str">
        <x:f>IF(R87&gt;0.00000001,"QAOA lower",IF(R87&lt; -0.00000001,"BPSO lower","tie"))</x:f>
        <x:v>tie</x:v>
      </x:c>
      <x:c r="V87" s="7" t="n">
        <x:v>61.68666666666667</x:v>
      </x:c>
      <x:c r="W87" s="7" t="n">
        <x:v>61.68666666666667</x:v>
      </x:c>
      <x:c r="X87" s="8" t="n">
        <x:v>0</x:v>
      </x:c>
      <x:c r="Y87" s="2" t="n">
        <x:v>5</x:v>
      </x:c>
    </x:row>
    <x:row r="88" ht="18" customHeight="1">
      <x:c r="A88" s="2" t="str">
        <x:v>legacy</x:v>
      </x:c>
      <x:c r="B88" s="2" t="n">
        <x:v>6</x:v>
      </x:c>
      <x:c r="C88" s="2" t="str">
        <x:v>legacy_n6_09</x:v>
      </x:c>
      <x:c r="D88" s="2" t="str">
        <x:v>Localized Dropoff</x:v>
      </x:c>
      <x:c r="E88" s="2" t="str">
        <x:v>9</x:v>
      </x:c>
      <x:c r="F88" s="2" t="str">
        <x:v>ready</x:v>
      </x:c>
      <x:c r="G88" s="2" t="n">
        <x:v>10</x:v>
      </x:c>
      <x:c r="H88" s="2" t="n">
        <x:v>10</x:v>
      </x:c>
      <x:c r="I88" s="2" t="n">
        <x:v>0</x:v>
      </x:c>
      <x:c r="J88" s="7" t="n">
        <x:v>84.67083333333333</x:v>
      </x:c>
      <x:c r="K88" s="7" t="n">
        <x:v>75.19375</x:v>
      </x:c>
      <x:c r="L88" s="7" t="n">
        <x:v>0</x:v>
      </x:c>
      <x:c r="M88" s="7" t="n">
        <x:v>75.19375</x:v>
      </x:c>
      <x:c r="N88" s="7" t="n">
        <x:v>0</x:v>
      </x:c>
      <x:c r="O88" s="7" t="n">
        <x:f>IF(J88=0,"n.a.",100*(J88-K88)/J88)</x:f>
        <x:v>11.192854682348317</x:v>
      </x:c>
      <x:c r="P88" s="7" t="n">
        <x:f>IF(J88=0,"n.a.",100*(J88-M88)/J88)</x:f>
        <x:v>11.192854682348317</x:v>
      </x:c>
      <x:c r="Q88" s="7" t="n">
        <x:f>J88-K88</x:f>
        <x:v>9.47708333333334</x:v>
      </x:c>
      <x:c r="R88" s="7" t="n">
        <x:f>M88-K88</x:f>
        <x:v>0</x:v>
      </x:c>
      <x:c r="S88" s="2" t="str">
        <x:f>IF(J88-K88&gt;0.00000001,"improved",IF(K88-J88&gt;0.00000001,"worsened","unchanged"))</x:f>
        <x:v>improved</x:v>
      </x:c>
      <x:c r="T88" s="2" t="str">
        <x:f>IF(J88-M88&gt;0.00000001,"improved",IF(M88-J88&gt;0.00000001,"worsened","unchanged"))</x:f>
        <x:v>improved</x:v>
      </x:c>
      <x:c r="U88" s="2" t="str">
        <x:f>IF(R88&gt;0.00000001,"QAOA lower",IF(R88&lt; -0.00000001,"BPSO lower","tie"))</x:f>
        <x:v>tie</x:v>
      </x:c>
      <x:c r="V88" s="7" t="n">
        <x:v>75.19375</x:v>
      </x:c>
      <x:c r="W88" s="7" t="n">
        <x:v>74.55555555555556</x:v>
      </x:c>
      <x:c r="X88" s="8" t="n">
        <x:v>0</x:v>
      </x:c>
      <x:c r="Y88" s="2" t="n">
        <x:v>5</x:v>
      </x:c>
    </x:row>
    <x:row r="89" ht="18" customHeight="1">
      <x:c r="A89" s="2" t="str">
        <x:v>legacy</x:v>
      </x:c>
      <x:c r="B89" s="2" t="n">
        <x:v>6</x:v>
      </x:c>
      <x:c r="C89" s="2" t="str">
        <x:v>legacy_n6_10</x:v>
      </x:c>
      <x:c r="D89" s="2" t="str">
        <x:v>Asymmetric Demand</x:v>
      </x:c>
      <x:c r="E89" s="2" t="str">
        <x:v>10</x:v>
      </x:c>
      <x:c r="F89" s="2" t="str">
        <x:v>ready</x:v>
      </x:c>
      <x:c r="G89" s="2" t="n">
        <x:v>8</x:v>
      </x:c>
      <x:c r="H89" s="2" t="n">
        <x:v>8</x:v>
      </x:c>
      <x:c r="I89" s="2" t="n">
        <x:v>0</x:v>
      </x:c>
      <x:c r="J89" s="7" t="n">
        <x:v>78.9</x:v>
      </x:c>
      <x:c r="K89" s="7" t="n">
        <x:v>60.220000000000006</x:v>
      </x:c>
      <x:c r="L89" s="7" t="n">
        <x:v>0</x:v>
      </x:c>
      <x:c r="M89" s="7" t="n">
        <x:v>60.220000000000006</x:v>
      </x:c>
      <x:c r="N89" s="7" t="n">
        <x:v>0</x:v>
      </x:c>
      <x:c r="O89" s="7" t="n">
        <x:f>IF(J89=0,"n.a.",100*(J89-K89)/J89)</x:f>
        <x:v>23.675538656527248</x:v>
      </x:c>
      <x:c r="P89" s="7" t="n">
        <x:f>IF(J89=0,"n.a.",100*(J89-M89)/J89)</x:f>
        <x:v>23.675538656527248</x:v>
      </x:c>
      <x:c r="Q89" s="7" t="n">
        <x:f>J89-K89</x:f>
        <x:v>18.68</x:v>
      </x:c>
      <x:c r="R89" s="7" t="n">
        <x:f>M89-K89</x:f>
        <x:v>0</x:v>
      </x:c>
      <x:c r="S89" s="2" t="str">
        <x:f>IF(J89-K89&gt;0.00000001,"improved",IF(K89-J89&gt;0.00000001,"worsened","unchanged"))</x:f>
        <x:v>improved</x:v>
      </x:c>
      <x:c r="T89" s="2" t="str">
        <x:f>IF(J89-M89&gt;0.00000001,"improved",IF(M89-J89&gt;0.00000001,"worsened","unchanged"))</x:f>
        <x:v>improved</x:v>
      </x:c>
      <x:c r="U89" s="2" t="str">
        <x:f>IF(R89&gt;0.00000001,"QAOA lower",IF(R89&lt; -0.00000001,"BPSO lower","tie"))</x:f>
        <x:v>tie</x:v>
      </x:c>
      <x:c r="V89" s="7" t="n">
        <x:v>60.220000000000006</x:v>
      </x:c>
      <x:c r="W89" s="7" t="n">
        <x:v>60.220000000000006</x:v>
      </x:c>
      <x:c r="X89" s="8" t="n">
        <x:v>0</x:v>
      </x:c>
      <x:c r="Y89" s="2" t="n">
        <x:v>5</x:v>
      </x:c>
    </x:row>
    <x:row r="90" ht="18" customHeight="1">
      <x:c r="A90" s="2" t="str">
        <x:v>legacy</x:v>
      </x:c>
      <x:c r="B90" s="2" t="n">
        <x:v>6</x:v>
      </x:c>
      <x:c r="C90" s="2" t="str">
        <x:v>legacy_n6_11</x:v>
      </x:c>
      <x:c r="D90" s="2" t="str">
        <x:v>Weather Slowdown</x:v>
      </x:c>
      <x:c r="E90" s="2" t="str">
        <x:v>11</x:v>
      </x:c>
      <x:c r="F90" s="2" t="str">
        <x:v>ready</x:v>
      </x:c>
      <x:c r="G90" s="2" t="n">
        <x:v>10</x:v>
      </x:c>
      <x:c r="H90" s="2" t="n">
        <x:v>11</x:v>
      </x:c>
      <x:c r="I90" s="2" t="n">
        <x:v>1</x:v>
      </x:c>
      <x:c r="J90" s="7" t="n">
        <x:v>78.78857142857143</x:v>
      </x:c>
      <x:c r="K90" s="7" t="n">
        <x:v>90.87333333333333</x:v>
      </x:c>
      <x:c r="L90" s="7" t="n">
        <x:v>0</x:v>
      </x:c>
      <x:c r="M90" s="7" t="n">
        <x:v>90.87333333333333</x:v>
      </x:c>
      <x:c r="N90" s="7" t="n">
        <x:v>0</x:v>
      </x:c>
      <x:c r="O90" s="7" t="n">
        <x:f>IF(J90=0,"n.a.",100*(J90-K90)/J90)</x:f>
        <x:v>-15.338216806885212</x:v>
      </x:c>
      <x:c r="P90" s="7" t="n">
        <x:f>IF(J90=0,"n.a.",100*(J90-M90)/J90)</x:f>
        <x:v>-15.338216806885212</x:v>
      </x:c>
      <x:c r="Q90" s="7" t="n">
        <x:f>J90-K90</x:f>
        <x:v>-12.084761904761905</x:v>
      </x:c>
      <x:c r="R90" s="7" t="n">
        <x:f>M90-K90</x:f>
        <x:v>0</x:v>
      </x:c>
      <x:c r="S90" s="2" t="str">
        <x:f>IF(J90-K90&gt;0.00000001,"improved",IF(K90-J90&gt;0.00000001,"worsened","unchanged"))</x:f>
        <x:v>worsened</x:v>
      </x:c>
      <x:c r="T90" s="2" t="str">
        <x:f>IF(J90-M90&gt;0.00000001,"improved",IF(M90-J90&gt;0.00000001,"worsened","unchanged"))</x:f>
        <x:v>worsened</x:v>
      </x:c>
      <x:c r="U90" s="2" t="str">
        <x:f>IF(R90&gt;0.00000001,"QAOA lower",IF(R90&lt; -0.00000001,"BPSO lower","tie"))</x:f>
        <x:v>tie</x:v>
      </x:c>
      <x:c r="V90" s="7" t="n">
        <x:v>90.87333333333333</x:v>
      </x:c>
      <x:c r="W90" s="7" t="n">
        <x:v>90.87333333333333</x:v>
      </x:c>
      <x:c r="X90" s="8" t="n">
        <x:v>4.440892098500626e-16</x:v>
      </x:c>
      <x:c r="Y90" s="2" t="n">
        <x:v>5</x:v>
      </x:c>
    </x:row>
    <x:row r="91" ht="18" customHeight="1">
      <x:c r="A91" s="2" t="str">
        <x:v>legacy</x:v>
      </x:c>
      <x:c r="B91" s="2" t="n">
        <x:v>6</x:v>
      </x:c>
      <x:c r="C91" s="2" t="str">
        <x:v>legacy_n6_12</x:v>
      </x:c>
      <x:c r="D91" s="2" t="str">
        <x:v>Corridor Congestion</x:v>
      </x:c>
      <x:c r="E91" s="2" t="str">
        <x:v>12</x:v>
      </x:c>
      <x:c r="F91" s="2" t="str">
        <x:v>ready</x:v>
      </x:c>
      <x:c r="G91" s="2" t="n">
        <x:v>8</x:v>
      </x:c>
      <x:c r="H91" s="2" t="n">
        <x:v>8</x:v>
      </x:c>
      <x:c r="I91" s="2" t="n">
        <x:v>0</x:v>
      </x:c>
      <x:c r="J91" s="7" t="n">
        <x:v>84.2611111111111</x:v>
      </x:c>
      <x:c r="K91" s="7" t="n">
        <x:v>63.308571428571426</x:v>
      </x:c>
      <x:c r="L91" s="7" t="n">
        <x:v>7.944109290391274e-15</x:v>
      </x:c>
      <x:c r="M91" s="7" t="n">
        <x:v>63.308571428571426</x:v>
      </x:c>
      <x:c r="N91" s="7" t="n">
        <x:v>7.944109290391274e-15</x:v>
      </x:c>
      <x:c r="O91" s="7" t="n">
        <x:f>IF(J91=0,"n.a.",100*(J91-K91)/J91)</x:f>
        <x:v>24.86620388248924</x:v>
      </x:c>
      <x:c r="P91" s="7" t="n">
        <x:f>IF(J91=0,"n.a.",100*(J91-M91)/J91)</x:f>
        <x:v>24.86620388248924</x:v>
      </x:c>
      <x:c r="Q91" s="7" t="n">
        <x:f>J91-K91</x:f>
        <x:v>20.95253968253968</x:v>
      </x:c>
      <x:c r="R91" s="7" t="n">
        <x:f>M91-K91</x:f>
        <x:v>0</x:v>
      </x:c>
      <x:c r="S91" s="2" t="str">
        <x:f>IF(J91-K91&gt;0.00000001,"improved",IF(K91-J91&gt;0.00000001,"worsened","unchanged"))</x:f>
        <x:v>improved</x:v>
      </x:c>
      <x:c r="T91" s="2" t="str">
        <x:f>IF(J91-M91&gt;0.00000001,"improved",IF(M91-J91&gt;0.00000001,"worsened","unchanged"))</x:f>
        <x:v>improved</x:v>
      </x:c>
      <x:c r="U91" s="2" t="str">
        <x:f>IF(R91&gt;0.00000001,"QAOA lower",IF(R91&lt; -0.00000001,"BPSO lower","tie"))</x:f>
        <x:v>tie</x:v>
      </x:c>
      <x:c r="V91" s="7" t="n">
        <x:v>63.30857142857143</x:v>
      </x:c>
      <x:c r="W91" s="7" t="n">
        <x:v>62.083333333333336</x:v>
      </x:c>
      <x:c r="X91" s="8" t="n">
        <x:v>0</x:v>
      </x:c>
      <x:c r="Y91" s="2" t="n">
        <x:v>5</x:v>
      </x:c>
    </x:row>
    <x:row r="92" ht="18" customHeight="1">
      <x:c r="A92" s="2" t="str">
        <x:v>legacy</x:v>
      </x:c>
      <x:c r="B92" s="2" t="n">
        <x:v>6</x:v>
      </x:c>
      <x:c r="C92" s="2" t="str">
        <x:v>legacy_n6_13</x:v>
      </x:c>
      <x:c r="D92" s="2" t="str">
        <x:v>Freight Corridor</x:v>
      </x:c>
      <x:c r="E92" s="2" t="str">
        <x:v>13</x:v>
      </x:c>
      <x:c r="F92" s="2" t="str">
        <x:v>ready</x:v>
      </x:c>
      <x:c r="G92" s="2" t="n">
        <x:v>5</x:v>
      </x:c>
      <x:c r="H92" s="2" t="n">
        <x:v>5</x:v>
      </x:c>
      <x:c r="I92" s="2" t="n">
        <x:v>0</x:v>
      </x:c>
      <x:c r="J92" s="7" t="n">
        <x:v>77.8409090909091</x:v>
      </x:c>
      <x:c r="K92" s="7" t="n">
        <x:v>67.0529411764706</x:v>
      </x:c>
      <x:c r="L92" s="7" t="n">
        <x:v>0</x:v>
      </x:c>
      <x:c r="M92" s="7" t="n">
        <x:v>67.0529411764706</x:v>
      </x:c>
      <x:c r="N92" s="7" t="n">
        <x:v>0</x:v>
      </x:c>
      <x:c r="O92" s="7" t="n">
        <x:f>IF(J92=0,"n.a.",100*(J92-K92)/J92)</x:f>
        <x:v>13.858995276942885</x:v>
      </x:c>
      <x:c r="P92" s="7" t="n">
        <x:f>IF(J92=0,"n.a.",100*(J92-M92)/J92)</x:f>
        <x:v>13.858995276942885</x:v>
      </x:c>
      <x:c r="Q92" s="7" t="n">
        <x:f>J92-K92</x:f>
        <x:v>10.787967914438497</x:v>
      </x:c>
      <x:c r="R92" s="7" t="n">
        <x:f>M92-K92</x:f>
        <x:v>0</x:v>
      </x:c>
      <x:c r="S92" s="2" t="str">
        <x:f>IF(J92-K92&gt;0.00000001,"improved",IF(K92-J92&gt;0.00000001,"worsened","unchanged"))</x:f>
        <x:v>improved</x:v>
      </x:c>
      <x:c r="T92" s="2" t="str">
        <x:f>IF(J92-M92&gt;0.00000001,"improved",IF(M92-J92&gt;0.00000001,"worsened","unchanged"))</x:f>
        <x:v>improved</x:v>
      </x:c>
      <x:c r="U92" s="2" t="str">
        <x:f>IF(R92&gt;0.00000001,"QAOA lower",IF(R92&lt; -0.00000001,"BPSO lower","tie"))</x:f>
        <x:v>tie</x:v>
      </x:c>
      <x:c r="V92" s="7" t="n">
        <x:v>67.0529411764706</x:v>
      </x:c>
      <x:c r="W92" s="7" t="n">
        <x:v>67.0529411764706</x:v>
      </x:c>
      <x:c r="X92" s="8" t="n">
        <x:v>0</x:v>
      </x:c>
      <x:c r="Y92" s="2" t="n">
        <x:v>5</x:v>
      </x:c>
    </x:row>
    <x:row r="93" ht="18" customHeight="1">
      <x:c r="A93" s="2" t="str">
        <x:v>legacy</x:v>
      </x:c>
      <x:c r="B93" s="2" t="n">
        <x:v>6</x:v>
      </x:c>
      <x:c r="C93" s="2" t="str">
        <x:v>legacy_n6_14</x:v>
      </x:c>
      <x:c r="D93" s="2" t="str">
        <x:v>Multiple Bottlenecks</x:v>
      </x:c>
      <x:c r="E93" s="2" t="str">
        <x:v>14</x:v>
      </x:c>
      <x:c r="F93" s="2" t="str">
        <x:v>ready</x:v>
      </x:c>
      <x:c r="G93" s="2" t="n">
        <x:v>10</x:v>
      </x:c>
      <x:c r="H93" s="2" t="n">
        <x:v>13</x:v>
      </x:c>
      <x:c r="I93" s="2" t="n">
        <x:v>3</x:v>
      </x:c>
      <x:c r="J93" s="7" t="n">
        <x:v>84.38947368421054</x:v>
      </x:c>
      <x:c r="K93" s="7" t="n">
        <x:v>68.60000000000001</x:v>
      </x:c>
      <x:c r="L93" s="7" t="n">
        <x:v>0</x:v>
      </x:c>
      <x:c r="M93" s="7" t="n">
        <x:v>68.60000000000001</x:v>
      </x:c>
      <x:c r="N93" s="7" t="n">
        <x:v>0</x:v>
      </x:c>
      <x:c r="O93" s="7" t="n">
        <x:f>IF(J93=0,"n.a.",100*(J93-K93)/J93)</x:f>
        <x:v>18.71024073843084</x:v>
      </x:c>
      <x:c r="P93" s="7" t="n">
        <x:f>IF(J93=0,"n.a.",100*(J93-M93)/J93)</x:f>
        <x:v>18.71024073843084</x:v>
      </x:c>
      <x:c r="Q93" s="7" t="n">
        <x:f>J93-K93</x:f>
        <x:v>15.789473684210535</x:v>
      </x:c>
      <x:c r="R93" s="7" t="n">
        <x:f>M93-K93</x:f>
        <x:v>0</x:v>
      </x:c>
      <x:c r="S93" s="2" t="str">
        <x:f>IF(J93-K93&gt;0.00000001,"improved",IF(K93-J93&gt;0.00000001,"worsened","unchanged"))</x:f>
        <x:v>improved</x:v>
      </x:c>
      <x:c r="T93" s="2" t="str">
        <x:f>IF(J93-M93&gt;0.00000001,"improved",IF(M93-J93&gt;0.00000001,"worsened","unchanged"))</x:f>
        <x:v>improved</x:v>
      </x:c>
      <x:c r="U93" s="2" t="str">
        <x:f>IF(R93&gt;0.00000001,"QAOA lower",IF(R93&lt; -0.00000001,"BPSO lower","tie"))</x:f>
        <x:v>tie</x:v>
      </x:c>
      <x:c r="V93" s="7" t="n">
        <x:v>68.60000000000001</x:v>
      </x:c>
      <x:c r="W93" s="7" t="n">
        <x:v>68.60000000000001</x:v>
      </x:c>
      <x:c r="X93" s="8" t="n">
        <x:v>3.3306690738754696e-16</x:v>
      </x:c>
      <x:c r="Y93" s="2" t="n">
        <x:v>5</x:v>
      </x:c>
    </x:row>
    <x:row r="94" ht="18" customHeight="1">
      <x:c r="A94" s="2" t="str">
        <x:v>legacy</x:v>
      </x:c>
      <x:c r="B94" s="2" t="n">
        <x:v>6</x:v>
      </x:c>
      <x:c r="C94" s="2" t="str">
        <x:v>legacy_n6_15</x:v>
      </x:c>
      <x:c r="D94" s="2" t="str">
        <x:v>Off-Peak Baseline</x:v>
      </x:c>
      <x:c r="E94" s="2" t="str">
        <x:v>15</x:v>
      </x:c>
      <x:c r="F94" s="2" t="str">
        <x:v>ready</x:v>
      </x:c>
      <x:c r="G94" s="2" t="n">
        <x:v>4</x:v>
      </x:c>
      <x:c r="H94" s="2" t="n">
        <x:v>4</x:v>
      </x:c>
      <x:c r="I94" s="2" t="n">
        <x:v>0</x:v>
      </x:c>
      <x:c r="J94" s="7" t="n">
        <x:v>78.51764705882353</x:v>
      </x:c>
      <x:c r="K94" s="7" t="n">
        <x:v>58.7125</x:v>
      </x:c>
      <x:c r="L94" s="7" t="n">
        <x:v>0</x:v>
      </x:c>
      <x:c r="M94" s="7" t="n">
        <x:v>58.7125</x:v>
      </x:c>
      <x:c r="N94" s="7" t="n">
        <x:v>0</x:v>
      </x:c>
      <x:c r="O94" s="7" t="n">
        <x:f>IF(J94=0,"n.a.",100*(J94-K94)/J94)</x:f>
        <x:v>25.223816302067725</x:v>
      </x:c>
      <x:c r="P94" s="7" t="n">
        <x:f>IF(J94=0,"n.a.",100*(J94-M94)/J94)</x:f>
        <x:v>25.223816302067725</x:v>
      </x:c>
      <x:c r="Q94" s="7" t="n">
        <x:f>J94-K94</x:f>
        <x:v>19.80514705882353</x:v>
      </x:c>
      <x:c r="R94" s="7" t="n">
        <x:f>M94-K94</x:f>
        <x:v>0</x:v>
      </x:c>
      <x:c r="S94" s="2" t="str">
        <x:f>IF(J94-K94&gt;0.00000001,"improved",IF(K94-J94&gt;0.00000001,"worsened","unchanged"))</x:f>
        <x:v>improved</x:v>
      </x:c>
      <x:c r="T94" s="2" t="str">
        <x:f>IF(J94-M94&gt;0.00000001,"improved",IF(M94-J94&gt;0.00000001,"worsened","unchanged"))</x:f>
        <x:v>improved</x:v>
      </x:c>
      <x:c r="U94" s="2" t="str">
        <x:f>IF(R94&gt;0.00000001,"QAOA lower",IF(R94&lt; -0.00000001,"BPSO lower","tie"))</x:f>
        <x:v>tie</x:v>
      </x:c>
      <x:c r="V94" s="7" t="n">
        <x:v>58.7125</x:v>
      </x:c>
      <x:c r="W94" s="7" t="n">
        <x:v>58.7125</x:v>
      </x:c>
      <x:c r="X94" s="8" t="n">
        <x:v>0</x:v>
      </x:c>
      <x:c r="Y94" s="2" t="n">
        <x:v>5</x:v>
      </x:c>
    </x:row>
    <x:row r="95" ht="18" customHeight="1">
      <x:c r="A95" s="2" t="str">
        <x:v>controlled</x:v>
      </x:c>
      <x:c r="B95" s="2" t="n">
        <x:v>6</x:v>
      </x:c>
      <x:c r="C95" s="2" t="str">
        <x:v>controlled_n6_off_peak_1</x:v>
      </x:c>
      <x:c r="D95" s="2" t="str">
        <x:v>off_peak</x:v>
      </x:c>
      <x:c r="E95" s="2" t="n">
        <x:v>0.2</x:v>
      </x:c>
      <x:c r="F95" s="2" t="str">
        <x:v>no_congestion</x:v>
      </x:c>
      <x:c r="G95" s="2" t="n">
        <x:v>0</x:v>
      </x:c>
      <x:c r="H95" s="2" t="n">
        <x:v>0</x:v>
      </x:c>
      <x:c r="I95" s="2" t="n">
        <x:v>0</x:v>
      </x:c>
      <x:c r="J95" s="7" t="n">
        <x:v>20</x:v>
      </x:c>
      <x:c r="K95" s="7" t="n">
        <x:v>20</x:v>
      </x:c>
      <x:c r="L95" s="7" t="n">
        <x:v>0</x:v>
      </x:c>
      <x:c r="M95" s="7" t="n">
        <x:v>20</x:v>
      </x:c>
      <x:c r="N95" s="7" t="n">
        <x:v>0</x:v>
      </x:c>
      <x:c r="O95" s="7" t="n">
        <x:f>IF(J95=0,"n.a.",100*(J95-K95)/J95)</x:f>
        <x:v>0</x:v>
      </x:c>
      <x:c r="P95" s="7" t="n">
        <x:f>IF(J95=0,"n.a.",100*(J95-M95)/J95)</x:f>
        <x:v>0</x:v>
      </x:c>
      <x:c r="Q95" s="7" t="n">
        <x:f>J95-K95</x:f>
        <x:v>0</x:v>
      </x:c>
      <x:c r="R95" s="7" t="n">
        <x:f>M95-K95</x:f>
        <x:v>0</x:v>
      </x:c>
      <x:c r="S95" s="2" t="str">
        <x:f>IF(J95-K95&gt;0.00000001,"improved",IF(K95-J95&gt;0.00000001,"worsened","unchanged"))</x:f>
        <x:v>unchanged</x:v>
      </x:c>
      <x:c r="T95" s="2" t="str">
        <x:f>IF(J95-M95&gt;0.00000001,"improved",IF(M95-J95&gt;0.00000001,"worsened","unchanged"))</x:f>
        <x:v>unchanged</x:v>
      </x:c>
      <x:c r="U95" s="2" t="str">
        <x:f>IF(R95&gt;0.00000001,"QAOA lower",IF(R95&lt; -0.00000001,"BPSO lower","tie"))</x:f>
        <x:v>tie</x:v>
      </x:c>
      <x:c r="V95" s="7" t="n">
        <x:v>20</x:v>
      </x:c>
      <x:c r="W95" s="7" t="n">
        <x:v>20</x:v>
      </x:c>
      <x:c r="X95" s="8" t="n">
        <x:v>0</x:v>
      </x:c>
      <x:c r="Y95" s="2" t="n">
        <x:v>5</x:v>
      </x:c>
    </x:row>
    <x:row r="96" ht="18" customHeight="1">
      <x:c r="A96" s="2" t="str">
        <x:v>controlled</x:v>
      </x:c>
      <x:c r="B96" s="2" t="n">
        <x:v>6</x:v>
      </x:c>
      <x:c r="C96" s="2" t="str">
        <x:v>controlled_n6_off_peak_2</x:v>
      </x:c>
      <x:c r="D96" s="2" t="str">
        <x:v>off_peak</x:v>
      </x:c>
      <x:c r="E96" s="2" t="n">
        <x:v>0.3</x:v>
      </x:c>
      <x:c r="F96" s="2" t="str">
        <x:v>no_congestion</x:v>
      </x:c>
      <x:c r="G96" s="2" t="n">
        <x:v>0</x:v>
      </x:c>
      <x:c r="H96" s="2" t="n">
        <x:v>0</x:v>
      </x:c>
      <x:c r="I96" s="2" t="n">
        <x:v>0</x:v>
      </x:c>
      <x:c r="J96" s="7" t="n">
        <x:v>30</x:v>
      </x:c>
      <x:c r="K96" s="7" t="n">
        <x:v>30</x:v>
      </x:c>
      <x:c r="L96" s="7" t="n">
        <x:v>0</x:v>
      </x:c>
      <x:c r="M96" s="7" t="n">
        <x:v>30</x:v>
      </x:c>
      <x:c r="N96" s="7" t="n">
        <x:v>0</x:v>
      </x:c>
      <x:c r="O96" s="7" t="n">
        <x:f>IF(J96=0,"n.a.",100*(J96-K96)/J96)</x:f>
        <x:v>0</x:v>
      </x:c>
      <x:c r="P96" s="7" t="n">
        <x:f>IF(J96=0,"n.a.",100*(J96-M96)/J96)</x:f>
        <x:v>0</x:v>
      </x:c>
      <x:c r="Q96" s="7" t="n">
        <x:f>J96-K96</x:f>
        <x:v>0</x:v>
      </x:c>
      <x:c r="R96" s="7" t="n">
        <x:f>M96-K96</x:f>
        <x:v>0</x:v>
      </x:c>
      <x:c r="S96" s="2" t="str">
        <x:f>IF(J96-K96&gt;0.00000001,"improved",IF(K96-J96&gt;0.00000001,"worsened","unchanged"))</x:f>
        <x:v>unchanged</x:v>
      </x:c>
      <x:c r="T96" s="2" t="str">
        <x:f>IF(J96-M96&gt;0.00000001,"improved",IF(M96-J96&gt;0.00000001,"worsened","unchanged"))</x:f>
        <x:v>unchanged</x:v>
      </x:c>
      <x:c r="U96" s="2" t="str">
        <x:f>IF(R96&gt;0.00000001,"QAOA lower",IF(R96&lt; -0.00000001,"BPSO lower","tie"))</x:f>
        <x:v>tie</x:v>
      </x:c>
      <x:c r="V96" s="7" t="n">
        <x:v>30</x:v>
      </x:c>
      <x:c r="W96" s="7" t="n">
        <x:v>30</x:v>
      </x:c>
      <x:c r="X96" s="8" t="n">
        <x:v>0</x:v>
      </x:c>
      <x:c r="Y96" s="2" t="n">
        <x:v>5</x:v>
      </x:c>
    </x:row>
    <x:row r="97" ht="18" customHeight="1">
      <x:c r="A97" s="2" t="str">
        <x:v>controlled</x:v>
      </x:c>
      <x:c r="B97" s="2" t="n">
        <x:v>6</x:v>
      </x:c>
      <x:c r="C97" s="2" t="str">
        <x:v>controlled_n6_off_peak_3</x:v>
      </x:c>
      <x:c r="D97" s="2" t="str">
        <x:v>off_peak</x:v>
      </x:c>
      <x:c r="E97" s="2" t="n">
        <x:v>0.4</x:v>
      </x:c>
      <x:c r="F97" s="2" t="str">
        <x:v>no_congestion</x:v>
      </x:c>
      <x:c r="G97" s="2" t="n">
        <x:v>0</x:v>
      </x:c>
      <x:c r="H97" s="2" t="n">
        <x:v>0</x:v>
      </x:c>
      <x:c r="I97" s="2" t="n">
        <x:v>0</x:v>
      </x:c>
      <x:c r="J97" s="7" t="n">
        <x:v>40</x:v>
      </x:c>
      <x:c r="K97" s="7" t="n">
        <x:v>40</x:v>
      </x:c>
      <x:c r="L97" s="7" t="n">
        <x:v>0</x:v>
      </x:c>
      <x:c r="M97" s="7" t="n">
        <x:v>40</x:v>
      </x:c>
      <x:c r="N97" s="7" t="n">
        <x:v>0</x:v>
      </x:c>
      <x:c r="O97" s="7" t="n">
        <x:f>IF(J97=0,"n.a.",100*(J97-K97)/J97)</x:f>
        <x:v>0</x:v>
      </x:c>
      <x:c r="P97" s="7" t="n">
        <x:f>IF(J97=0,"n.a.",100*(J97-M97)/J97)</x:f>
        <x:v>0</x:v>
      </x:c>
      <x:c r="Q97" s="7" t="n">
        <x:f>J97-K97</x:f>
        <x:v>0</x:v>
      </x:c>
      <x:c r="R97" s="7" t="n">
        <x:f>M97-K97</x:f>
        <x:v>0</x:v>
      </x:c>
      <x:c r="S97" s="2" t="str">
        <x:f>IF(J97-K97&gt;0.00000001,"improved",IF(K97-J97&gt;0.00000001,"worsened","unchanged"))</x:f>
        <x:v>unchanged</x:v>
      </x:c>
      <x:c r="T97" s="2" t="str">
        <x:f>IF(J97-M97&gt;0.00000001,"improved",IF(M97-J97&gt;0.00000001,"worsened","unchanged"))</x:f>
        <x:v>unchanged</x:v>
      </x:c>
      <x:c r="U97" s="2" t="str">
        <x:f>IF(R97&gt;0.00000001,"QAOA lower",IF(R97&lt; -0.00000001,"BPSO lower","tie"))</x:f>
        <x:v>tie</x:v>
      </x:c>
      <x:c r="V97" s="7" t="n">
        <x:v>40</x:v>
      </x:c>
      <x:c r="W97" s="7" t="n">
        <x:v>40</x:v>
      </x:c>
      <x:c r="X97" s="8" t="n">
        <x:v>0</x:v>
      </x:c>
      <x:c r="Y97" s="2" t="n">
        <x:v>5</x:v>
      </x:c>
    </x:row>
    <x:row r="98" ht="18" customHeight="1">
      <x:c r="A98" s="2" t="str">
        <x:v>controlled</x:v>
      </x:c>
      <x:c r="B98" s="2" t="n">
        <x:v>6</x:v>
      </x:c>
      <x:c r="C98" s="2" t="str">
        <x:v>controlled_n6_threshold_1</x:v>
      </x:c>
      <x:c r="D98" s="2" t="str">
        <x:v>threshold</x:v>
      </x:c>
      <x:c r="E98" s="2" t="n">
        <x:v>0.59</x:v>
      </x:c>
      <x:c r="F98" s="2" t="str">
        <x:v>no_congestion</x:v>
      </x:c>
      <x:c r="G98" s="2" t="n">
        <x:v>0</x:v>
      </x:c>
      <x:c r="H98" s="2" t="n">
        <x:v>0</x:v>
      </x:c>
      <x:c r="I98" s="2" t="n">
        <x:v>0</x:v>
      </x:c>
      <x:c r="J98" s="7" t="n">
        <x:v>59</x:v>
      </x:c>
      <x:c r="K98" s="7" t="n">
        <x:v>59</x:v>
      </x:c>
      <x:c r="L98" s="7" t="n">
        <x:v>0</x:v>
      </x:c>
      <x:c r="M98" s="7" t="n">
        <x:v>59</x:v>
      </x:c>
      <x:c r="N98" s="7" t="n">
        <x:v>0</x:v>
      </x:c>
      <x:c r="O98" s="7" t="n">
        <x:f>IF(J98=0,"n.a.",100*(J98-K98)/J98)</x:f>
        <x:v>0</x:v>
      </x:c>
      <x:c r="P98" s="7" t="n">
        <x:f>IF(J98=0,"n.a.",100*(J98-M98)/J98)</x:f>
        <x:v>0</x:v>
      </x:c>
      <x:c r="Q98" s="7" t="n">
        <x:f>J98-K98</x:f>
        <x:v>0</x:v>
      </x:c>
      <x:c r="R98" s="7" t="n">
        <x:f>M98-K98</x:f>
        <x:v>0</x:v>
      </x:c>
      <x:c r="S98" s="2" t="str">
        <x:f>IF(J98-K98&gt;0.00000001,"improved",IF(K98-J98&gt;0.00000001,"worsened","unchanged"))</x:f>
        <x:v>unchanged</x:v>
      </x:c>
      <x:c r="T98" s="2" t="str">
        <x:f>IF(J98-M98&gt;0.00000001,"improved",IF(M98-J98&gt;0.00000001,"worsened","unchanged"))</x:f>
        <x:v>unchanged</x:v>
      </x:c>
      <x:c r="U98" s="2" t="str">
        <x:f>IF(R98&gt;0.00000001,"QAOA lower",IF(R98&lt; -0.00000001,"BPSO lower","tie"))</x:f>
        <x:v>tie</x:v>
      </x:c>
      <x:c r="V98" s="7" t="n">
        <x:v>59</x:v>
      </x:c>
      <x:c r="W98" s="7" t="n">
        <x:v>59</x:v>
      </x:c>
      <x:c r="X98" s="8" t="n">
        <x:v>0</x:v>
      </x:c>
      <x:c r="Y98" s="2" t="n">
        <x:v>5</x:v>
      </x:c>
    </x:row>
    <x:row r="99" ht="18" customHeight="1">
      <x:c r="A99" s="2" t="str">
        <x:v>controlled</x:v>
      </x:c>
      <x:c r="B99" s="2" t="n">
        <x:v>6</x:v>
      </x:c>
      <x:c r="C99" s="2" t="str">
        <x:v>controlled_n6_threshold_2</x:v>
      </x:c>
      <x:c r="D99" s="2" t="str">
        <x:v>threshold</x:v>
      </x:c>
      <x:c r="E99" s="2" t="n">
        <x:v>0.6</x:v>
      </x:c>
      <x:c r="F99" s="2" t="str">
        <x:v>no_congestion</x:v>
      </x:c>
      <x:c r="G99" s="2" t="n">
        <x:v>0</x:v>
      </x:c>
      <x:c r="H99" s="2" t="n">
        <x:v>0</x:v>
      </x:c>
      <x:c r="I99" s="2" t="n">
        <x:v>0</x:v>
      </x:c>
      <x:c r="J99" s="7" t="n">
        <x:v>60</x:v>
      </x:c>
      <x:c r="K99" s="7" t="n">
        <x:v>60</x:v>
      </x:c>
      <x:c r="L99" s="7" t="n">
        <x:v>0</x:v>
      </x:c>
      <x:c r="M99" s="7" t="n">
        <x:v>60</x:v>
      </x:c>
      <x:c r="N99" s="7" t="n">
        <x:v>0</x:v>
      </x:c>
      <x:c r="O99" s="7" t="n">
        <x:f>IF(J99=0,"n.a.",100*(J99-K99)/J99)</x:f>
        <x:v>0</x:v>
      </x:c>
      <x:c r="P99" s="7" t="n">
        <x:f>IF(J99=0,"n.a.",100*(J99-M99)/J99)</x:f>
        <x:v>0</x:v>
      </x:c>
      <x:c r="Q99" s="7" t="n">
        <x:f>J99-K99</x:f>
        <x:v>0</x:v>
      </x:c>
      <x:c r="R99" s="7" t="n">
        <x:f>M99-K99</x:f>
        <x:v>0</x:v>
      </x:c>
      <x:c r="S99" s="2" t="str">
        <x:f>IF(J99-K99&gt;0.00000001,"improved",IF(K99-J99&gt;0.00000001,"worsened","unchanged"))</x:f>
        <x:v>unchanged</x:v>
      </x:c>
      <x:c r="T99" s="2" t="str">
        <x:f>IF(J99-M99&gt;0.00000001,"improved",IF(M99-J99&gt;0.00000001,"worsened","unchanged"))</x:f>
        <x:v>unchanged</x:v>
      </x:c>
      <x:c r="U99" s="2" t="str">
        <x:f>IF(R99&gt;0.00000001,"QAOA lower",IF(R99&lt; -0.00000001,"BPSO lower","tie"))</x:f>
        <x:v>tie</x:v>
      </x:c>
      <x:c r="V99" s="7" t="n">
        <x:v>60</x:v>
      </x:c>
      <x:c r="W99" s="7" t="n">
        <x:v>60</x:v>
      </x:c>
      <x:c r="X99" s="8" t="n">
        <x:v>0</x:v>
      </x:c>
      <x:c r="Y99" s="2" t="n">
        <x:v>5</x:v>
      </x:c>
    </x:row>
    <x:row r="100" ht="18" customHeight="1">
      <x:c r="A100" s="2" t="str">
        <x:v>controlled</x:v>
      </x:c>
      <x:c r="B100" s="2" t="n">
        <x:v>6</x:v>
      </x:c>
      <x:c r="C100" s="2" t="str">
        <x:v>controlled_n6_threshold_3</x:v>
      </x:c>
      <x:c r="D100" s="2" t="str">
        <x:v>threshold</x:v>
      </x:c>
      <x:c r="E100" s="2" t="n">
        <x:v>0.61</x:v>
      </x:c>
      <x:c r="F100" s="2" t="str">
        <x:v>ready</x:v>
      </x:c>
      <x:c r="G100" s="2" t="n">
        <x:v>2</x:v>
      </x:c>
      <x:c r="H100" s="2" t="n">
        <x:v>2</x:v>
      </x:c>
      <x:c r="I100" s="2" t="n">
        <x:v>0</x:v>
      </x:c>
      <x:c r="J100" s="7" t="n">
        <x:v>61</x:v>
      </x:c>
      <x:c r="K100" s="7" t="n">
        <x:v>48.5</x:v>
      </x:c>
      <x:c r="L100" s="7" t="n">
        <x:v>0</x:v>
      </x:c>
      <x:c r="M100" s="7" t="n">
        <x:v>48.5</x:v>
      </x:c>
      <x:c r="N100" s="7" t="n">
        <x:v>0</x:v>
      </x:c>
      <x:c r="O100" s="7" t="n">
        <x:f>IF(J100=0,"n.a.",100*(J100-K100)/J100)</x:f>
        <x:v>20.491803278688526</x:v>
      </x:c>
      <x:c r="P100" s="7" t="n">
        <x:f>IF(J100=0,"n.a.",100*(J100-M100)/J100)</x:f>
        <x:v>20.491803278688526</x:v>
      </x:c>
      <x:c r="Q100" s="7" t="n">
        <x:f>J100-K100</x:f>
        <x:v>12.5</x:v>
      </x:c>
      <x:c r="R100" s="7" t="n">
        <x:f>M100-K100</x:f>
        <x:v>0</x:v>
      </x:c>
      <x:c r="S100" s="2" t="str">
        <x:f>IF(J100-K100&gt;0.00000001,"improved",IF(K100-J100&gt;0.00000001,"worsened","unchanged"))</x:f>
        <x:v>improved</x:v>
      </x:c>
      <x:c r="T100" s="2" t="str">
        <x:f>IF(J100-M100&gt;0.00000001,"improved",IF(M100-J100&gt;0.00000001,"worsened","unchanged"))</x:f>
        <x:v>improved</x:v>
      </x:c>
      <x:c r="U100" s="2" t="str">
        <x:f>IF(R100&gt;0.00000001,"QAOA lower",IF(R100&lt; -0.00000001,"BPSO lower","tie"))</x:f>
        <x:v>tie</x:v>
      </x:c>
      <x:c r="V100" s="7" t="n">
        <x:v>48.5</x:v>
      </x:c>
      <x:c r="W100" s="7" t="n">
        <x:v>48.5</x:v>
      </x:c>
      <x:c r="X100" s="8" t="n">
        <x:v>0</x:v>
      </x:c>
      <x:c r="Y100" s="2" t="n">
        <x:v>5</x:v>
      </x:c>
    </x:row>
    <x:row r="101" ht="18" customHeight="1">
      <x:c r="A101" s="2" t="str">
        <x:v>controlled</x:v>
      </x:c>
      <x:c r="B101" s="2" t="n">
        <x:v>6</x:v>
      </x:c>
      <x:c r="C101" s="2" t="str">
        <x:v>controlled_n6_single_bottleneck_1</x:v>
      </x:c>
      <x:c r="D101" s="2" t="str">
        <x:v>single_bottleneck</x:v>
      </x:c>
      <x:c r="E101" s="2" t="n">
        <x:v>0.65</x:v>
      </x:c>
      <x:c r="F101" s="2" t="str">
        <x:v>ready</x:v>
      </x:c>
      <x:c r="G101" s="2" t="n">
        <x:v>3</x:v>
      </x:c>
      <x:c r="H101" s="2" t="n">
        <x:v>3</x:v>
      </x:c>
      <x:c r="I101" s="2" t="n">
        <x:v>0</x:v>
      </x:c>
      <x:c r="J101" s="7" t="n">
        <x:v>65</x:v>
      </x:c>
      <x:c r="K101" s="7" t="n">
        <x:v>46.25</x:v>
      </x:c>
      <x:c r="L101" s="7" t="n">
        <x:v>0</x:v>
      </x:c>
      <x:c r="M101" s="7" t="n">
        <x:v>46.25</x:v>
      </x:c>
      <x:c r="N101" s="7" t="n">
        <x:v>0</x:v>
      </x:c>
      <x:c r="O101" s="7" t="n">
        <x:f>IF(J101=0,"n.a.",100*(J101-K101)/J101)</x:f>
        <x:v>28.846153846153847</x:v>
      </x:c>
      <x:c r="P101" s="7" t="n">
        <x:f>IF(J101=0,"n.a.",100*(J101-M101)/J101)</x:f>
        <x:v>28.846153846153847</x:v>
      </x:c>
      <x:c r="Q101" s="7" t="n">
        <x:f>J101-K101</x:f>
        <x:v>18.75</x:v>
      </x:c>
      <x:c r="R101" s="7" t="n">
        <x:f>M101-K101</x:f>
        <x:v>0</x:v>
      </x:c>
      <x:c r="S101" s="2" t="str">
        <x:f>IF(J101-K101&gt;0.00000001,"improved",IF(K101-J101&gt;0.00000001,"worsened","unchanged"))</x:f>
        <x:v>improved</x:v>
      </x:c>
      <x:c r="T101" s="2" t="str">
        <x:f>IF(J101-M101&gt;0.00000001,"improved",IF(M101-J101&gt;0.00000001,"worsened","unchanged"))</x:f>
        <x:v>improved</x:v>
      </x:c>
      <x:c r="U101" s="2" t="str">
        <x:f>IF(R101&gt;0.00000001,"QAOA lower",IF(R101&lt; -0.00000001,"BPSO lower","tie"))</x:f>
        <x:v>tie</x:v>
      </x:c>
      <x:c r="V101" s="7" t="n">
        <x:v>46.25</x:v>
      </x:c>
      <x:c r="W101" s="7" t="n">
        <x:v>46.25</x:v>
      </x:c>
      <x:c r="X101" s="8" t="n">
        <x:v>0</x:v>
      </x:c>
      <x:c r="Y101" s="2" t="n">
        <x:v>5</x:v>
      </x:c>
    </x:row>
    <x:row r="102" ht="18" customHeight="1">
      <x:c r="A102" s="2" t="str">
        <x:v>controlled</x:v>
      </x:c>
      <x:c r="B102" s="2" t="n">
        <x:v>6</x:v>
      </x:c>
      <x:c r="C102" s="2" t="str">
        <x:v>controlled_n6_single_bottleneck_2</x:v>
      </x:c>
      <x:c r="D102" s="2" t="str">
        <x:v>single_bottleneck</x:v>
      </x:c>
      <x:c r="E102" s="2" t="n">
        <x:v>0.8</x:v>
      </x:c>
      <x:c r="F102" s="2" t="str">
        <x:v>ready</x:v>
      </x:c>
      <x:c r="G102" s="2" t="n">
        <x:v>5</x:v>
      </x:c>
      <x:c r="H102" s="2" t="n">
        <x:v>5</x:v>
      </x:c>
      <x:c r="I102" s="2" t="n">
        <x:v>0</x:v>
      </x:c>
      <x:c r="J102" s="7" t="n">
        <x:v>80</x:v>
      </x:c>
      <x:c r="K102" s="7" t="n">
        <x:v>52.5</x:v>
      </x:c>
      <x:c r="L102" s="7" t="n">
        <x:v>0</x:v>
      </x:c>
      <x:c r="M102" s="7" t="n">
        <x:v>52.5</x:v>
      </x:c>
      <x:c r="N102" s="7" t="n">
        <x:v>0</x:v>
      </x:c>
      <x:c r="O102" s="7" t="n">
        <x:f>IF(J102=0,"n.a.",100*(J102-K102)/J102)</x:f>
        <x:v>34.375</x:v>
      </x:c>
      <x:c r="P102" s="7" t="n">
        <x:f>IF(J102=0,"n.a.",100*(J102-M102)/J102)</x:f>
        <x:v>34.375</x:v>
      </x:c>
      <x:c r="Q102" s="7" t="n">
        <x:f>J102-K102</x:f>
        <x:v>27.5</x:v>
      </x:c>
      <x:c r="R102" s="7" t="n">
        <x:f>M102-K102</x:f>
        <x:v>0</x:v>
      </x:c>
      <x:c r="S102" s="2" t="str">
        <x:f>IF(J102-K102&gt;0.00000001,"improved",IF(K102-J102&gt;0.00000001,"worsened","unchanged"))</x:f>
        <x:v>improved</x:v>
      </x:c>
      <x:c r="T102" s="2" t="str">
        <x:f>IF(J102-M102&gt;0.00000001,"improved",IF(M102-J102&gt;0.00000001,"worsened","unchanged"))</x:f>
        <x:v>improved</x:v>
      </x:c>
      <x:c r="U102" s="2" t="str">
        <x:f>IF(R102&gt;0.00000001,"QAOA lower",IF(R102&lt; -0.00000001,"BPSO lower","tie"))</x:f>
        <x:v>tie</x:v>
      </x:c>
      <x:c r="V102" s="7" t="n">
        <x:v>52.5</x:v>
      </x:c>
      <x:c r="W102" s="7" t="n">
        <x:v>52.5</x:v>
      </x:c>
      <x:c r="X102" s="8" t="n">
        <x:v>0</x:v>
      </x:c>
      <x:c r="Y102" s="2" t="n">
        <x:v>5</x:v>
      </x:c>
    </x:row>
    <x:row r="103" ht="18" customHeight="1">
      <x:c r="A103" s="2" t="str">
        <x:v>controlled</x:v>
      </x:c>
      <x:c r="B103" s="2" t="n">
        <x:v>6</x:v>
      </x:c>
      <x:c r="C103" s="2" t="str">
        <x:v>controlled_n6_single_bottleneck_3</x:v>
      </x:c>
      <x:c r="D103" s="2" t="str">
        <x:v>single_bottleneck</x:v>
      </x:c>
      <x:c r="E103" s="2" t="n">
        <x:v>0.95</x:v>
      </x:c>
      <x:c r="F103" s="2" t="str">
        <x:v>ready</x:v>
      </x:c>
      <x:c r="G103" s="2" t="n">
        <x:v>8</x:v>
      </x:c>
      <x:c r="H103" s="2" t="n">
        <x:v>8</x:v>
      </x:c>
      <x:c r="I103" s="2" t="n">
        <x:v>0</x:v>
      </x:c>
      <x:c r="J103" s="7" t="n">
        <x:v>95</x:v>
      </x:c>
      <x:c r="K103" s="7" t="n">
        <x:v>63.33333333333333</x:v>
      </x:c>
      <x:c r="L103" s="7" t="n">
        <x:v>0</x:v>
      </x:c>
      <x:c r="M103" s="7" t="n">
        <x:v>63.33333333333333</x:v>
      </x:c>
      <x:c r="N103" s="7" t="n">
        <x:v>0</x:v>
      </x:c>
      <x:c r="O103" s="7" t="n">
        <x:f>IF(J103=0,"n.a.",100*(J103-K103)/J103)</x:f>
        <x:v>33.333333333333336</x:v>
      </x:c>
      <x:c r="P103" s="7" t="n">
        <x:f>IF(J103=0,"n.a.",100*(J103-M103)/J103)</x:f>
        <x:v>33.333333333333336</x:v>
      </x:c>
      <x:c r="Q103" s="7" t="n">
        <x:f>J103-K103</x:f>
        <x:v>31.66666666666667</x:v>
      </x:c>
      <x:c r="R103" s="7" t="n">
        <x:f>M103-K103</x:f>
        <x:v>0</x:v>
      </x:c>
      <x:c r="S103" s="2" t="str">
        <x:f>IF(J103-K103&gt;0.00000001,"improved",IF(K103-J103&gt;0.00000001,"worsened","unchanged"))</x:f>
        <x:v>improved</x:v>
      </x:c>
      <x:c r="T103" s="2" t="str">
        <x:f>IF(J103-M103&gt;0.00000001,"improved",IF(M103-J103&gt;0.00000001,"worsened","unchanged"))</x:f>
        <x:v>improved</x:v>
      </x:c>
      <x:c r="U103" s="2" t="str">
        <x:f>IF(R103&gt;0.00000001,"QAOA lower",IF(R103&lt; -0.00000001,"BPSO lower","tie"))</x:f>
        <x:v>tie</x:v>
      </x:c>
      <x:c r="V103" s="7" t="n">
        <x:v>63.33333333333333</x:v>
      </x:c>
      <x:c r="W103" s="7" t="n">
        <x:v>63.33333333333333</x:v>
      </x:c>
      <x:c r="X103" s="8" t="n">
        <x:v>0</x:v>
      </x:c>
      <x:c r="Y103" s="2" t="n">
        <x:v>5</x:v>
      </x:c>
    </x:row>
    <x:row r="104" ht="18" customHeight="1">
      <x:c r="A104" s="2" t="str">
        <x:v>controlled</x:v>
      </x:c>
      <x:c r="B104" s="2" t="n">
        <x:v>6</x:v>
      </x:c>
      <x:c r="C104" s="2" t="str">
        <x:v>controlled_n6_adjacent_bottlenecks_1</x:v>
      </x:c>
      <x:c r="D104" s="2" t="str">
        <x:v>adjacent_bottlenecks</x:v>
      </x:c>
      <x:c r="E104" s="2" t="n">
        <x:v>0.65</x:v>
      </x:c>
      <x:c r="F104" s="2" t="str">
        <x:v>ready</x:v>
      </x:c>
      <x:c r="G104" s="2" t="n">
        <x:v>5</x:v>
      </x:c>
      <x:c r="H104" s="2" t="n">
        <x:v>5</x:v>
      </x:c>
      <x:c r="I104" s="2" t="n">
        <x:v>0</x:v>
      </x:c>
      <x:c r="J104" s="7" t="n">
        <x:v>65</x:v>
      </x:c>
      <x:c r="K104" s="7" t="n">
        <x:v>55.000000000000014</x:v>
      </x:c>
      <x:c r="L104" s="7" t="n">
        <x:v>7.944109290391274e-15</x:v>
      </x:c>
      <x:c r="M104" s="7" t="n">
        <x:v>55.000000000000014</x:v>
      </x:c>
      <x:c r="N104" s="7" t="n">
        <x:v>7.944109290391274e-15</x:v>
      </x:c>
      <x:c r="O104" s="7" t="n">
        <x:f>IF(J104=0,"n.a.",100*(J104-K104)/J104)</x:f>
        <x:v>15.384615384615364</x:v>
      </x:c>
      <x:c r="P104" s="7" t="n">
        <x:f>IF(J104=0,"n.a.",100*(J104-M104)/J104)</x:f>
        <x:v>15.384615384615364</x:v>
      </x:c>
      <x:c r="Q104" s="7" t="n">
        <x:f>J104-K104</x:f>
        <x:v>9.999999999999986</x:v>
      </x:c>
      <x:c r="R104" s="7" t="n">
        <x:f>M104-K104</x:f>
        <x:v>0</x:v>
      </x:c>
      <x:c r="S104" s="2" t="str">
        <x:f>IF(J104-K104&gt;0.00000001,"improved",IF(K104-J104&gt;0.00000001,"worsened","unchanged"))</x:f>
        <x:v>improved</x:v>
      </x:c>
      <x:c r="T104" s="2" t="str">
        <x:f>IF(J104-M104&gt;0.00000001,"improved",IF(M104-J104&gt;0.00000001,"worsened","unchanged"))</x:f>
        <x:v>improved</x:v>
      </x:c>
      <x:c r="U104" s="2" t="str">
        <x:f>IF(R104&gt;0.00000001,"QAOA lower",IF(R104&lt; -0.00000001,"BPSO lower","tie"))</x:f>
        <x:v>tie</x:v>
      </x:c>
      <x:c r="V104" s="7" t="n">
        <x:v>55.00000000000001</x:v>
      </x:c>
      <x:c r="W104" s="7" t="n">
        <x:v>55.00000000000001</x:v>
      </x:c>
      <x:c r="X104" s="8" t="n">
        <x:v>0</x:v>
      </x:c>
      <x:c r="Y104" s="2" t="n">
        <x:v>5</x:v>
      </x:c>
    </x:row>
    <x:row r="105" ht="18" customHeight="1">
      <x:c r="A105" s="2" t="str">
        <x:v>controlled</x:v>
      </x:c>
      <x:c r="B105" s="2" t="n">
        <x:v>6</x:v>
      </x:c>
      <x:c r="C105" s="2" t="str">
        <x:v>controlled_n6_adjacent_bottlenecks_2</x:v>
      </x:c>
      <x:c r="D105" s="2" t="str">
        <x:v>adjacent_bottlenecks</x:v>
      </x:c>
      <x:c r="E105" s="2" t="n">
        <x:v>0.8</x:v>
      </x:c>
      <x:c r="F105" s="2" t="str">
        <x:v>ready</x:v>
      </x:c>
      <x:c r="G105" s="2" t="n">
        <x:v>9</x:v>
      </x:c>
      <x:c r="H105" s="2" t="n">
        <x:v>9</x:v>
      </x:c>
      <x:c r="I105" s="2" t="n">
        <x:v>0</x:v>
      </x:c>
      <x:c r="J105" s="7" t="n">
        <x:v>80</x:v>
      </x:c>
      <x:c r="K105" s="7" t="n">
        <x:v>71.66666666666667</x:v>
      </x:c>
      <x:c r="L105" s="7" t="n">
        <x:v>0</x:v>
      </x:c>
      <x:c r="M105" s="7" t="n">
        <x:v>71.66666666666667</x:v>
      </x:c>
      <x:c r="N105" s="7" t="n">
        <x:v>0</x:v>
      </x:c>
      <x:c r="O105" s="7" t="n">
        <x:f>IF(J105=0,"n.a.",100*(J105-K105)/J105)</x:f>
        <x:v>10.41666666666666</x:v>
      </x:c>
      <x:c r="P105" s="7" t="n">
        <x:f>IF(J105=0,"n.a.",100*(J105-M105)/J105)</x:f>
        <x:v>10.41666666666666</x:v>
      </x:c>
      <x:c r="Q105" s="7" t="n">
        <x:f>J105-K105</x:f>
        <x:v>8.333333333333329</x:v>
      </x:c>
      <x:c r="R105" s="7" t="n">
        <x:f>M105-K105</x:f>
        <x:v>0</x:v>
      </x:c>
      <x:c r="S105" s="2" t="str">
        <x:f>IF(J105-K105&gt;0.00000001,"improved",IF(K105-J105&gt;0.00000001,"worsened","unchanged"))</x:f>
        <x:v>improved</x:v>
      </x:c>
      <x:c r="T105" s="2" t="str">
        <x:f>IF(J105-M105&gt;0.00000001,"improved",IF(M105-J105&gt;0.00000001,"worsened","unchanged"))</x:f>
        <x:v>improved</x:v>
      </x:c>
      <x:c r="U105" s="2" t="str">
        <x:f>IF(R105&gt;0.00000001,"QAOA lower",IF(R105&lt; -0.00000001,"BPSO lower","tie"))</x:f>
        <x:v>tie</x:v>
      </x:c>
      <x:c r="V105" s="7" t="n">
        <x:v>71.66666666666667</x:v>
      </x:c>
      <x:c r="W105" s="7" t="n">
        <x:v>71.66666666666667</x:v>
      </x:c>
      <x:c r="X105" s="8" t="n">
        <x:v>0</x:v>
      </x:c>
      <x:c r="Y105" s="2" t="n">
        <x:v>5</x:v>
      </x:c>
    </x:row>
    <x:row r="106" ht="18" customHeight="1">
      <x:c r="A106" s="2" t="str">
        <x:v>controlled</x:v>
      </x:c>
      <x:c r="B106" s="2" t="n">
        <x:v>6</x:v>
      </x:c>
      <x:c r="C106" s="2" t="str">
        <x:v>controlled_n6_adjacent_bottlenecks_3</x:v>
      </x:c>
      <x:c r="D106" s="2" t="str">
        <x:v>adjacent_bottlenecks</x:v>
      </x:c>
      <x:c r="E106" s="2" t="n">
        <x:v>0.95</x:v>
      </x:c>
      <x:c r="F106" s="2" t="str">
        <x:v>ready</x:v>
      </x:c>
      <x:c r="G106" s="2" t="n">
        <x:v>10</x:v>
      </x:c>
      <x:c r="H106" s="2" t="n">
        <x:v>14</x:v>
      </x:c>
      <x:c r="I106" s="2" t="n">
        <x:v>4</x:v>
      </x:c>
      <x:c r="J106" s="7" t="n">
        <x:v>95</x:v>
      </x:c>
      <x:c r="K106" s="7" t="n">
        <x:v>80</x:v>
      </x:c>
      <x:c r="L106" s="7" t="n">
        <x:v>0</x:v>
      </x:c>
      <x:c r="M106" s="7" t="n">
        <x:v>80</x:v>
      </x:c>
      <x:c r="N106" s="7" t="n">
        <x:v>0</x:v>
      </x:c>
      <x:c r="O106" s="7" t="n">
        <x:f>IF(J106=0,"n.a.",100*(J106-K106)/J106)</x:f>
        <x:v>15.789473684210526</x:v>
      </x:c>
      <x:c r="P106" s="7" t="n">
        <x:f>IF(J106=0,"n.a.",100*(J106-M106)/J106)</x:f>
        <x:v>15.789473684210526</x:v>
      </x:c>
      <x:c r="Q106" s="7" t="n">
        <x:f>J106-K106</x:f>
        <x:v>15</x:v>
      </x:c>
      <x:c r="R106" s="7" t="n">
        <x:f>M106-K106</x:f>
        <x:v>0</x:v>
      </x:c>
      <x:c r="S106" s="2" t="str">
        <x:f>IF(J106-K106&gt;0.00000001,"improved",IF(K106-J106&gt;0.00000001,"worsened","unchanged"))</x:f>
        <x:v>improved</x:v>
      </x:c>
      <x:c r="T106" s="2" t="str">
        <x:f>IF(J106-M106&gt;0.00000001,"improved",IF(M106-J106&gt;0.00000001,"worsened","unchanged"))</x:f>
        <x:v>improved</x:v>
      </x:c>
      <x:c r="U106" s="2" t="str">
        <x:f>IF(R106&gt;0.00000001,"QAOA lower",IF(R106&lt; -0.00000001,"BPSO lower","tie"))</x:f>
        <x:v>tie</x:v>
      </x:c>
      <x:c r="V106" s="7" t="n">
        <x:v>80</x:v>
      </x:c>
      <x:c r="W106" s="7" t="n">
        <x:v>80</x:v>
      </x:c>
      <x:c r="X106" s="8" t="n">
        <x:v>0</x:v>
      </x:c>
      <x:c r="Y106" s="2" t="n">
        <x:v>5</x:v>
      </x:c>
    </x:row>
    <x:row r="107" ht="18" customHeight="1">
      <x:c r="A107" s="2" t="str">
        <x:v>controlled</x:v>
      </x:c>
      <x:c r="B107" s="2" t="n">
        <x:v>6</x:v>
      </x:c>
      <x:c r="C107" s="2" t="str">
        <x:v>controlled_n6_separated_bottlenecks_1</x:v>
      </x:c>
      <x:c r="D107" s="2" t="str">
        <x:v>separated_bottlenecks</x:v>
      </x:c>
      <x:c r="E107" s="2" t="n">
        <x:v>0.65</x:v>
      </x:c>
      <x:c r="F107" s="2" t="str">
        <x:v>ready</x:v>
      </x:c>
      <x:c r="G107" s="2" t="n">
        <x:v>5</x:v>
      </x:c>
      <x:c r="H107" s="2" t="n">
        <x:v>5</x:v>
      </x:c>
      <x:c r="I107" s="2" t="n">
        <x:v>0</x:v>
      </x:c>
      <x:c r="J107" s="7" t="n">
        <x:v>65</x:v>
      </x:c>
      <x:c r="K107" s="7" t="n">
        <x:v>52.5</x:v>
      </x:c>
      <x:c r="L107" s="7" t="n">
        <x:v>0</x:v>
      </x:c>
      <x:c r="M107" s="7" t="n">
        <x:v>52.5</x:v>
      </x:c>
      <x:c r="N107" s="7" t="n">
        <x:v>0</x:v>
      </x:c>
      <x:c r="O107" s="7" t="n">
        <x:f>IF(J107=0,"n.a.",100*(J107-K107)/J107)</x:f>
        <x:v>19.23076923076923</x:v>
      </x:c>
      <x:c r="P107" s="7" t="n">
        <x:f>IF(J107=0,"n.a.",100*(J107-M107)/J107)</x:f>
        <x:v>19.23076923076923</x:v>
      </x:c>
      <x:c r="Q107" s="7" t="n">
        <x:f>J107-K107</x:f>
        <x:v>12.5</x:v>
      </x:c>
      <x:c r="R107" s="7" t="n">
        <x:f>M107-K107</x:f>
        <x:v>0</x:v>
      </x:c>
      <x:c r="S107" s="2" t="str">
        <x:f>IF(J107-K107&gt;0.00000001,"improved",IF(K107-J107&gt;0.00000001,"worsened","unchanged"))</x:f>
        <x:v>improved</x:v>
      </x:c>
      <x:c r="T107" s="2" t="str">
        <x:f>IF(J107-M107&gt;0.00000001,"improved",IF(M107-J107&gt;0.00000001,"worsened","unchanged"))</x:f>
        <x:v>improved</x:v>
      </x:c>
      <x:c r="U107" s="2" t="str">
        <x:f>IF(R107&gt;0.00000001,"QAOA lower",IF(R107&lt; -0.00000001,"BPSO lower","tie"))</x:f>
        <x:v>tie</x:v>
      </x:c>
      <x:c r="V107" s="7" t="n">
        <x:v>52.5</x:v>
      </x:c>
      <x:c r="W107" s="7" t="n">
        <x:v>52.5</x:v>
      </x:c>
      <x:c r="X107" s="8" t="n">
        <x:v>0</x:v>
      </x:c>
      <x:c r="Y107" s="2" t="n">
        <x:v>5</x:v>
      </x:c>
    </x:row>
    <x:row r="108" ht="18" customHeight="1">
      <x:c r="A108" s="2" t="str">
        <x:v>controlled</x:v>
      </x:c>
      <x:c r="B108" s="2" t="n">
        <x:v>6</x:v>
      </x:c>
      <x:c r="C108" s="2" t="str">
        <x:v>controlled_n6_separated_bottlenecks_2</x:v>
      </x:c>
      <x:c r="D108" s="2" t="str">
        <x:v>separated_bottlenecks</x:v>
      </x:c>
      <x:c r="E108" s="2" t="n">
        <x:v>0.8</x:v>
      </x:c>
      <x:c r="F108" s="2" t="str">
        <x:v>ready</x:v>
      </x:c>
      <x:c r="G108" s="2" t="n">
        <x:v>9</x:v>
      </x:c>
      <x:c r="H108" s="2" t="n">
        <x:v>9</x:v>
      </x:c>
      <x:c r="I108" s="2" t="n">
        <x:v>0</x:v>
      </x:c>
      <x:c r="J108" s="7" t="n">
        <x:v>80</x:v>
      </x:c>
      <x:c r="K108" s="7" t="n">
        <x:v>67.5</x:v>
      </x:c>
      <x:c r="L108" s="7" t="n">
        <x:v>0</x:v>
      </x:c>
      <x:c r="M108" s="7" t="n">
        <x:v>67.5</x:v>
      </x:c>
      <x:c r="N108" s="7" t="n">
        <x:v>0</x:v>
      </x:c>
      <x:c r="O108" s="7" t="n">
        <x:f>IF(J108=0,"n.a.",100*(J108-K108)/J108)</x:f>
        <x:v>15.625</x:v>
      </x:c>
      <x:c r="P108" s="7" t="n">
        <x:f>IF(J108=0,"n.a.",100*(J108-M108)/J108)</x:f>
        <x:v>15.625</x:v>
      </x:c>
      <x:c r="Q108" s="7" t="n">
        <x:f>J108-K108</x:f>
        <x:v>12.5</x:v>
      </x:c>
      <x:c r="R108" s="7" t="n">
        <x:f>M108-K108</x:f>
        <x:v>0</x:v>
      </x:c>
      <x:c r="S108" s="2" t="str">
        <x:f>IF(J108-K108&gt;0.00000001,"improved",IF(K108-J108&gt;0.00000001,"worsened","unchanged"))</x:f>
        <x:v>improved</x:v>
      </x:c>
      <x:c r="T108" s="2" t="str">
        <x:f>IF(J108-M108&gt;0.00000001,"improved",IF(M108-J108&gt;0.00000001,"worsened","unchanged"))</x:f>
        <x:v>improved</x:v>
      </x:c>
      <x:c r="U108" s="2" t="str">
        <x:f>IF(R108&gt;0.00000001,"QAOA lower",IF(R108&lt; -0.00000001,"BPSO lower","tie"))</x:f>
        <x:v>tie</x:v>
      </x:c>
      <x:c r="V108" s="7" t="n">
        <x:v>67.5</x:v>
      </x:c>
      <x:c r="W108" s="7" t="n">
        <x:v>67.5</x:v>
      </x:c>
      <x:c r="X108" s="8" t="n">
        <x:v>0</x:v>
      </x:c>
      <x:c r="Y108" s="2" t="n">
        <x:v>5</x:v>
      </x:c>
    </x:row>
    <x:row r="109" ht="18" customHeight="1">
      <x:c r="A109" s="2" t="str">
        <x:v>controlled</x:v>
      </x:c>
      <x:c r="B109" s="2" t="n">
        <x:v>6</x:v>
      </x:c>
      <x:c r="C109" s="2" t="str">
        <x:v>controlled_n6_separated_bottlenecks_3</x:v>
      </x:c>
      <x:c r="D109" s="2" t="str">
        <x:v>separated_bottlenecks</x:v>
      </x:c>
      <x:c r="E109" s="2" t="n">
        <x:v>0.95</x:v>
      </x:c>
      <x:c r="F109" s="2" t="str">
        <x:v>ready</x:v>
      </x:c>
      <x:c r="G109" s="2" t="n">
        <x:v>10</x:v>
      </x:c>
      <x:c r="H109" s="2" t="n">
        <x:v>14</x:v>
      </x:c>
      <x:c r="I109" s="2" t="n">
        <x:v>4</x:v>
      </x:c>
      <x:c r="J109" s="7" t="n">
        <x:v>95</x:v>
      </x:c>
      <x:c r="K109" s="7" t="n">
        <x:v>80</x:v>
      </x:c>
      <x:c r="L109" s="7" t="n">
        <x:v>0</x:v>
      </x:c>
      <x:c r="M109" s="7" t="n">
        <x:v>80</x:v>
      </x:c>
      <x:c r="N109" s="7" t="n">
        <x:v>0</x:v>
      </x:c>
      <x:c r="O109" s="7" t="n">
        <x:f>IF(J109=0,"n.a.",100*(J109-K109)/J109)</x:f>
        <x:v>15.789473684210526</x:v>
      </x:c>
      <x:c r="P109" s="7" t="n">
        <x:f>IF(J109=0,"n.a.",100*(J109-M109)/J109)</x:f>
        <x:v>15.789473684210526</x:v>
      </x:c>
      <x:c r="Q109" s="7" t="n">
        <x:f>J109-K109</x:f>
        <x:v>15</x:v>
      </x:c>
      <x:c r="R109" s="7" t="n">
        <x:f>M109-K109</x:f>
        <x:v>0</x:v>
      </x:c>
      <x:c r="S109" s="2" t="str">
        <x:f>IF(J109-K109&gt;0.00000001,"improved",IF(K109-J109&gt;0.00000001,"worsened","unchanged"))</x:f>
        <x:v>improved</x:v>
      </x:c>
      <x:c r="T109" s="2" t="str">
        <x:f>IF(J109-M109&gt;0.00000001,"improved",IF(M109-J109&gt;0.00000001,"worsened","unchanged"))</x:f>
        <x:v>improved</x:v>
      </x:c>
      <x:c r="U109" s="2" t="str">
        <x:f>IF(R109&gt;0.00000001,"QAOA lower",IF(R109&lt; -0.00000001,"BPSO lower","tie"))</x:f>
        <x:v>tie</x:v>
      </x:c>
      <x:c r="V109" s="7" t="n">
        <x:v>80</x:v>
      </x:c>
      <x:c r="W109" s="7" t="n">
        <x:v>80</x:v>
      </x:c>
      <x:c r="X109" s="8" t="n">
        <x:v>0</x:v>
      </x:c>
      <x:c r="Y109" s="2" t="n">
        <x:v>5</x:v>
      </x:c>
    </x:row>
    <x:row r="110" ht="18" customHeight="1">
      <x:c r="A110" s="2" t="str">
        <x:v>controlled</x:v>
      </x:c>
      <x:c r="B110" s="2" t="n">
        <x:v>6</x:v>
      </x:c>
      <x:c r="C110" s="2" t="str">
        <x:v>controlled_n6_distributed_peak_1</x:v>
      </x:c>
      <x:c r="D110" s="2" t="str">
        <x:v>distributed_peak</x:v>
      </x:c>
      <x:c r="E110" s="2" t="n">
        <x:v>0.3</x:v>
      </x:c>
      <x:c r="F110" s="2" t="str">
        <x:v>ready</x:v>
      </x:c>
      <x:c r="G110" s="2" t="n">
        <x:v>10</x:v>
      </x:c>
      <x:c r="H110" s="2" t="n">
        <x:v>16</x:v>
      </x:c>
      <x:c r="I110" s="2" t="n">
        <x:v>6</x:v>
      </x:c>
      <x:c r="J110" s="7" t="n">
        <x:v>85</x:v>
      </x:c>
      <x:c r="K110" s="7" t="n">
        <x:v>85</x:v>
      </x:c>
      <x:c r="L110" s="7" t="n">
        <x:v>0</x:v>
      </x:c>
      <x:c r="M110" s="7" t="n">
        <x:v>85</x:v>
      </x:c>
      <x:c r="N110" s="7" t="n">
        <x:v>0</x:v>
      </x:c>
      <x:c r="O110" s="7" t="n">
        <x:f>IF(J110=0,"n.a.",100*(J110-K110)/J110)</x:f>
        <x:v>0</x:v>
      </x:c>
      <x:c r="P110" s="7" t="n">
        <x:f>IF(J110=0,"n.a.",100*(J110-M110)/J110)</x:f>
        <x:v>0</x:v>
      </x:c>
      <x:c r="Q110" s="7" t="n">
        <x:f>J110-K110</x:f>
        <x:v>0</x:v>
      </x:c>
      <x:c r="R110" s="7" t="n">
        <x:f>M110-K110</x:f>
        <x:v>0</x:v>
      </x:c>
      <x:c r="S110" s="2" t="str">
        <x:f>IF(J110-K110&gt;0.00000001,"improved",IF(K110-J110&gt;0.00000001,"worsened","unchanged"))</x:f>
        <x:v>unchanged</x:v>
      </x:c>
      <x:c r="T110" s="2" t="str">
        <x:f>IF(J110-M110&gt;0.00000001,"improved",IF(M110-J110&gt;0.00000001,"worsened","unchanged"))</x:f>
        <x:v>unchanged</x:v>
      </x:c>
      <x:c r="U110" s="2" t="str">
        <x:f>IF(R110&gt;0.00000001,"QAOA lower",IF(R110&lt; -0.00000001,"BPSO lower","tie"))</x:f>
        <x:v>tie</x:v>
      </x:c>
      <x:c r="V110" s="7" t="n">
        <x:v>85</x:v>
      </x:c>
      <x:c r="W110" s="7" t="n">
        <x:v>85</x:v>
      </x:c>
      <x:c r="X110" s="8" t="n">
        <x:v>4.440892098500626e-16</x:v>
      </x:c>
      <x:c r="Y110" s="2" t="n">
        <x:v>5</x:v>
      </x:c>
    </x:row>
    <x:row r="111" ht="18" customHeight="1">
      <x:c r="A111" s="2" t="str">
        <x:v>controlled</x:v>
      </x:c>
      <x:c r="B111" s="2" t="n">
        <x:v>6</x:v>
      </x:c>
      <x:c r="C111" s="2" t="str">
        <x:v>controlled_n6_distributed_peak_2</x:v>
      </x:c>
      <x:c r="D111" s="2" t="str">
        <x:v>distributed_peak</x:v>
      </x:c>
      <x:c r="E111" s="2" t="n">
        <x:v>0.5</x:v>
      </x:c>
      <x:c r="F111" s="2" t="str">
        <x:v>ready</x:v>
      </x:c>
      <x:c r="G111" s="2" t="n">
        <x:v>10</x:v>
      </x:c>
      <x:c r="H111" s="2" t="n">
        <x:v>16</x:v>
      </x:c>
      <x:c r="I111" s="2" t="n">
        <x:v>6</x:v>
      </x:c>
      <x:c r="J111" s="7" t="n">
        <x:v>85</x:v>
      </x:c>
      <x:c r="K111" s="7" t="n">
        <x:v>93.75</x:v>
      </x:c>
      <x:c r="L111" s="7" t="n">
        <x:v>0</x:v>
      </x:c>
      <x:c r="M111" s="7" t="n">
        <x:v>93.75</x:v>
      </x:c>
      <x:c r="N111" s="7" t="n">
        <x:v>0</x:v>
      </x:c>
      <x:c r="O111" s="7" t="n">
        <x:f>IF(J111=0,"n.a.",100*(J111-K111)/J111)</x:f>
        <x:v>-10.294117647058824</x:v>
      </x:c>
      <x:c r="P111" s="7" t="n">
        <x:f>IF(J111=0,"n.a.",100*(J111-M111)/J111)</x:f>
        <x:v>-10.294117647058824</x:v>
      </x:c>
      <x:c r="Q111" s="7" t="n">
        <x:f>J111-K111</x:f>
        <x:v>-8.75</x:v>
      </x:c>
      <x:c r="R111" s="7" t="n">
        <x:f>M111-K111</x:f>
        <x:v>0</x:v>
      </x:c>
      <x:c r="S111" s="2" t="str">
        <x:f>IF(J111-K111&gt;0.00000001,"improved",IF(K111-J111&gt;0.00000001,"worsened","unchanged"))</x:f>
        <x:v>worsened</x:v>
      </x:c>
      <x:c r="T111" s="2" t="str">
        <x:f>IF(J111-M111&gt;0.00000001,"improved",IF(M111-J111&gt;0.00000001,"worsened","unchanged"))</x:f>
        <x:v>worsened</x:v>
      </x:c>
      <x:c r="U111" s="2" t="str">
        <x:f>IF(R111&gt;0.00000001,"QAOA lower",IF(R111&lt; -0.00000001,"BPSO lower","tie"))</x:f>
        <x:v>tie</x:v>
      </x:c>
      <x:c r="V111" s="7" t="n">
        <x:v>93.75</x:v>
      </x:c>
      <x:c r="W111" s="7" t="n">
        <x:v>87.5</x:v>
      </x:c>
      <x:c r="X111" s="8" t="n">
        <x:v>0</x:v>
      </x:c>
      <x:c r="Y111" s="2" t="n">
        <x:v>5</x:v>
      </x:c>
    </x:row>
    <x:row r="112" ht="18" customHeight="1">
      <x:c r="A112" s="2" t="str">
        <x:v>controlled</x:v>
      </x:c>
      <x:c r="B112" s="2" t="n">
        <x:v>6</x:v>
      </x:c>
      <x:c r="C112" s="2" t="str">
        <x:v>controlled_n6_distributed_peak_3</x:v>
      </x:c>
      <x:c r="D112" s="2" t="str">
        <x:v>distributed_peak</x:v>
      </x:c>
      <x:c r="E112" s="2" t="n">
        <x:v>0.7</x:v>
      </x:c>
      <x:c r="F112" s="2" t="str">
        <x:v>ready</x:v>
      </x:c>
      <x:c r="G112" s="2" t="n">
        <x:v>10</x:v>
      </x:c>
      <x:c r="H112" s="2" t="n">
        <x:v>55</x:v>
      </x:c>
      <x:c r="I112" s="2" t="n">
        <x:v>45</x:v>
      </x:c>
      <x:c r="J112" s="7" t="n">
        <x:v>85</x:v>
      </x:c>
      <x:c r="K112" s="7" t="n">
        <x:v>113.75</x:v>
      </x:c>
      <x:c r="L112" s="7" t="n">
        <x:v>0</x:v>
      </x:c>
      <x:c r="M112" s="7" t="n">
        <x:v>113.75</x:v>
      </x:c>
      <x:c r="N112" s="7" t="n">
        <x:v>0</x:v>
      </x:c>
      <x:c r="O112" s="7" t="n">
        <x:f>IF(J112=0,"n.a.",100*(J112-K112)/J112)</x:f>
        <x:v>-33.8235294117647</x:v>
      </x:c>
      <x:c r="P112" s="7" t="n">
        <x:f>IF(J112=0,"n.a.",100*(J112-M112)/J112)</x:f>
        <x:v>-33.8235294117647</x:v>
      </x:c>
      <x:c r="Q112" s="7" t="n">
        <x:f>J112-K112</x:f>
        <x:v>-28.75</x:v>
      </x:c>
      <x:c r="R112" s="7" t="n">
        <x:f>M112-K112</x:f>
        <x:v>0</x:v>
      </x:c>
      <x:c r="S112" s="2" t="str">
        <x:f>IF(J112-K112&gt;0.00000001,"improved",IF(K112-J112&gt;0.00000001,"worsened","unchanged"))</x:f>
        <x:v>worsened</x:v>
      </x:c>
      <x:c r="T112" s="2" t="str">
        <x:f>IF(J112-M112&gt;0.00000001,"improved",IF(M112-J112&gt;0.00000001,"worsened","unchanged"))</x:f>
        <x:v>worsened</x:v>
      </x:c>
      <x:c r="U112" s="2" t="str">
        <x:f>IF(R112&gt;0.00000001,"QAOA lower",IF(R112&lt; -0.00000001,"BPSO lower","tie"))</x:f>
        <x:v>tie</x:v>
      </x:c>
      <x:c r="V112" s="7" t="n">
        <x:v>113.75</x:v>
      </x:c>
      <x:c r="W112" s="7" t="n">
        <x:v>107.5</x:v>
      </x:c>
      <x:c r="X112" s="8" t="n">
        <x:v>8.881784197001252e-16</x:v>
      </x:c>
      <x:c r="Y112" s="2" t="n">
        <x:v>5</x:v>
      </x:c>
    </x:row>
    <x:row r="113" ht="18" customHeight="1">
      <x:c r="A113" s="2" t="str">
        <x:v>controlled</x:v>
      </x:c>
      <x:c r="B113" s="2" t="n">
        <x:v>6</x:v>
      </x:c>
      <x:c r="C113" s="2" t="str">
        <x:v>controlled_n6_lane_closure_1</x:v>
      </x:c>
      <x:c r="D113" s="2" t="str">
        <x:v>lane_closure</x:v>
      </x:c>
      <x:c r="E113" s="2" t="n">
        <x:v>1</x:v>
      </x:c>
      <x:c r="F113" s="2" t="str">
        <x:v>no_congestion</x:v>
      </x:c>
      <x:c r="G113" s="2" t="n">
        <x:v>0</x:v>
      </x:c>
      <x:c r="H113" s="2" t="n">
        <x:v>0</x:v>
      </x:c>
      <x:c r="I113" s="2" t="n">
        <x:v>0</x:v>
      </x:c>
      <x:c r="J113" s="7" t="n">
        <x:v>55.00000000000001</x:v>
      </x:c>
      <x:c r="K113" s="7" t="n">
        <x:v>55.000000000000014</x:v>
      </x:c>
      <x:c r="L113" s="7" t="n">
        <x:v>7.944109290391274e-15</x:v>
      </x:c>
      <x:c r="M113" s="7" t="n">
        <x:v>55.000000000000014</x:v>
      </x:c>
      <x:c r="N113" s="7" t="n">
        <x:v>7.944109290391274e-15</x:v>
      </x:c>
      <x:c r="O113" s="7" t="n">
        <x:f>IF(J113=0,"n.a.",100*(J113-K113)/J113)</x:f>
        <x:v>-1.291895883200182e-14</x:v>
      </x:c>
      <x:c r="P113" s="7" t="n">
        <x:f>IF(J113=0,"n.a.",100*(J113-M113)/J113)</x:f>
        <x:v>-1.291895883200182e-14</x:v>
      </x:c>
      <x:c r="Q113" s="7" t="n">
        <x:f>J113-K113</x:f>
        <x:v>-7.105427357601002e-15</x:v>
      </x:c>
      <x:c r="R113" s="7" t="n">
        <x:f>M113-K113</x:f>
        <x:v>0</x:v>
      </x:c>
      <x:c r="S113" s="2" t="str">
        <x:f>IF(J113-K113&gt;0.00000001,"improved",IF(K113-J113&gt;0.00000001,"worsened","unchanged"))</x:f>
        <x:v>unchanged</x:v>
      </x:c>
      <x:c r="T113" s="2" t="str">
        <x:f>IF(J113-M113&gt;0.00000001,"improved",IF(M113-J113&gt;0.00000001,"worsened","unchanged"))</x:f>
        <x:v>unchanged</x:v>
      </x:c>
      <x:c r="U113" s="2" t="str">
        <x:f>IF(R113&gt;0.00000001,"QAOA lower",IF(R113&lt; -0.00000001,"BPSO lower","tie"))</x:f>
        <x:v>tie</x:v>
      </x:c>
      <x:c r="V113" s="7" t="n">
        <x:v>55.00000000000001</x:v>
      </x:c>
      <x:c r="W113" s="7" t="n">
        <x:v>55.00000000000001</x:v>
      </x:c>
      <x:c r="X113" s="8" t="n">
        <x:v>0</x:v>
      </x:c>
      <x:c r="Y113" s="2" t="n">
        <x:v>5</x:v>
      </x:c>
    </x:row>
    <x:row r="114" ht="18" customHeight="1">
      <x:c r="A114" s="2" t="str">
        <x:v>controlled</x:v>
      </x:c>
      <x:c r="B114" s="2" t="n">
        <x:v>6</x:v>
      </x:c>
      <x:c r="C114" s="2" t="str">
        <x:v>controlled_n6_lane_closure_2</x:v>
      </x:c>
      <x:c r="D114" s="2" t="str">
        <x:v>lane_closure</x:v>
      </x:c>
      <x:c r="E114" s="2" t="n">
        <x:v>0.75</x:v>
      </x:c>
      <x:c r="F114" s="2" t="str">
        <x:v>ready</x:v>
      </x:c>
      <x:c r="G114" s="2" t="n">
        <x:v>3</x:v>
      </x:c>
      <x:c r="H114" s="2" t="n">
        <x:v>3</x:v>
      </x:c>
      <x:c r="I114" s="2" t="n">
        <x:v>0</x:v>
      </x:c>
      <x:c r="J114" s="7" t="n">
        <x:v>73.33333333333333</x:v>
      </x:c>
      <x:c r="K114" s="7" t="n">
        <x:v>70</x:v>
      </x:c>
      <x:c r="L114" s="7" t="n">
        <x:v>0</x:v>
      </x:c>
      <x:c r="M114" s="7" t="n">
        <x:v>70</x:v>
      </x:c>
      <x:c r="N114" s="7" t="n">
        <x:v>0</x:v>
      </x:c>
      <x:c r="O114" s="7" t="n">
        <x:f>IF(J114=0,"n.a.",100*(J114-K114)/J114)</x:f>
        <x:v>4.54545454545454</x:v>
      </x:c>
      <x:c r="P114" s="7" t="n">
        <x:f>IF(J114=0,"n.a.",100*(J114-M114)/J114)</x:f>
        <x:v>4.54545454545454</x:v>
      </x:c>
      <x:c r="Q114" s="7" t="n">
        <x:f>J114-K114</x:f>
        <x:v>3.3333333333333286</x:v>
      </x:c>
      <x:c r="R114" s="7" t="n">
        <x:f>M114-K114</x:f>
        <x:v>0</x:v>
      </x:c>
      <x:c r="S114" s="2" t="str">
        <x:f>IF(J114-K114&gt;0.00000001,"improved",IF(K114-J114&gt;0.00000001,"worsened","unchanged"))</x:f>
        <x:v>improved</x:v>
      </x:c>
      <x:c r="T114" s="2" t="str">
        <x:f>IF(J114-M114&gt;0.00000001,"improved",IF(M114-J114&gt;0.00000001,"worsened","unchanged"))</x:f>
        <x:v>improved</x:v>
      </x:c>
      <x:c r="U114" s="2" t="str">
        <x:f>IF(R114&gt;0.00000001,"QAOA lower",IF(R114&lt; -0.00000001,"BPSO lower","tie"))</x:f>
        <x:v>tie</x:v>
      </x:c>
      <x:c r="V114" s="7" t="n">
        <x:v>70</x:v>
      </x:c>
      <x:c r="W114" s="7" t="n">
        <x:v>70</x:v>
      </x:c>
      <x:c r="X114" s="8" t="n">
        <x:v>0</x:v>
      </x:c>
      <x:c r="Y114" s="2" t="n">
        <x:v>5</x:v>
      </x:c>
    </x:row>
    <x:row r="115" ht="18" customHeight="1">
      <x:c r="A115" s="2" t="str">
        <x:v>controlled</x:v>
      </x:c>
      <x:c r="B115" s="2" t="n">
        <x:v>6</x:v>
      </x:c>
      <x:c r="C115" s="2" t="str">
        <x:v>controlled_n6_lane_closure_3</x:v>
      </x:c>
      <x:c r="D115" s="2" t="str">
        <x:v>lane_closure</x:v>
      </x:c>
      <x:c r="E115" s="2" t="n">
        <x:v>0.5</x:v>
      </x:c>
      <x:c r="F115" s="2" t="str">
        <x:v>ready</x:v>
      </x:c>
      <x:c r="G115" s="2" t="n">
        <x:v>5</x:v>
      </x:c>
      <x:c r="H115" s="2" t="n">
        <x:v>5</x:v>
      </x:c>
      <x:c r="I115" s="2" t="n">
        <x:v>0</x:v>
      </x:c>
      <x:c r="J115" s="7" t="n">
        <x:v>110.00000000000001</x:v>
      </x:c>
      <x:c r="K115" s="7" t="n">
        <x:v>77.5</x:v>
      </x:c>
      <x:c r="L115" s="7" t="n">
        <x:v>0</x:v>
      </x:c>
      <x:c r="M115" s="7" t="n">
        <x:v>77.5</x:v>
      </x:c>
      <x:c r="N115" s="7" t="n">
        <x:v>0</x:v>
      </x:c>
      <x:c r="O115" s="7" t="n">
        <x:f>IF(J115=0,"n.a.",100*(J115-K115)/J115)</x:f>
        <x:v>29.545454545454554</x:v>
      </x:c>
      <x:c r="P115" s="7" t="n">
        <x:f>IF(J115=0,"n.a.",100*(J115-M115)/J115)</x:f>
        <x:v>29.545454545454554</x:v>
      </x:c>
      <x:c r="Q115" s="7" t="n">
        <x:f>J115-K115</x:f>
        <x:v>32.500000000000014</x:v>
      </x:c>
      <x:c r="R115" s="7" t="n">
        <x:f>M115-K115</x:f>
        <x:v>0</x:v>
      </x:c>
      <x:c r="S115" s="2" t="str">
        <x:f>IF(J115-K115&gt;0.00000001,"improved",IF(K115-J115&gt;0.00000001,"worsened","unchanged"))</x:f>
        <x:v>improved</x:v>
      </x:c>
      <x:c r="T115" s="2" t="str">
        <x:f>IF(J115-M115&gt;0.00000001,"improved",IF(M115-J115&gt;0.00000001,"worsened","unchanged"))</x:f>
        <x:v>improved</x:v>
      </x:c>
      <x:c r="U115" s="2" t="str">
        <x:f>IF(R115&gt;0.00000001,"QAOA lower",IF(R115&lt; -0.00000001,"BPSO lower","tie"))</x:f>
        <x:v>tie</x:v>
      </x:c>
      <x:c r="V115" s="7" t="n">
        <x:v>77.5</x:v>
      </x:c>
      <x:c r="W115" s="7" t="n">
        <x:v>77.5</x:v>
      </x:c>
      <x:c r="X115" s="8" t="n">
        <x:v>0</x:v>
      </x:c>
      <x:c r="Y115" s="2" t="n">
        <x:v>5</x:v>
      </x:c>
    </x:row>
    <x:row r="116" ht="18" customHeight="1">
      <x:c r="A116" s="2" t="str">
        <x:v>controlled</x:v>
      </x:c>
      <x:c r="B116" s="2" t="n">
        <x:v>6</x:v>
      </x:c>
      <x:c r="C116" s="2" t="str">
        <x:v>controlled_n6_weather_capacity_loss_1</x:v>
      </x:c>
      <x:c r="D116" s="2" t="str">
        <x:v>weather_capacity_loss</x:v>
      </x:c>
      <x:c r="E116" s="2" t="n">
        <x:v>1</x:v>
      </x:c>
      <x:c r="F116" s="2" t="str">
        <x:v>no_congestion</x:v>
      </x:c>
      <x:c r="G116" s="2" t="n">
        <x:v>0</x:v>
      </x:c>
      <x:c r="H116" s="2" t="n">
        <x:v>0</x:v>
      </x:c>
      <x:c r="I116" s="2" t="n">
        <x:v>0</x:v>
      </x:c>
      <x:c r="J116" s="7" t="n">
        <x:v>55.00000000000001</x:v>
      </x:c>
      <x:c r="K116" s="7" t="n">
        <x:v>55.000000000000014</x:v>
      </x:c>
      <x:c r="L116" s="7" t="n">
        <x:v>7.944109290391274e-15</x:v>
      </x:c>
      <x:c r="M116" s="7" t="n">
        <x:v>55.000000000000014</x:v>
      </x:c>
      <x:c r="N116" s="7" t="n">
        <x:v>7.944109290391274e-15</x:v>
      </x:c>
      <x:c r="O116" s="7" t="n">
        <x:f>IF(J116=0,"n.a.",100*(J116-K116)/J116)</x:f>
        <x:v>-1.291895883200182e-14</x:v>
      </x:c>
      <x:c r="P116" s="7" t="n">
        <x:f>IF(J116=0,"n.a.",100*(J116-M116)/J116)</x:f>
        <x:v>-1.291895883200182e-14</x:v>
      </x:c>
      <x:c r="Q116" s="7" t="n">
        <x:f>J116-K116</x:f>
        <x:v>-7.105427357601002e-15</x:v>
      </x:c>
      <x:c r="R116" s="7" t="n">
        <x:f>M116-K116</x:f>
        <x:v>0</x:v>
      </x:c>
      <x:c r="S116" s="2" t="str">
        <x:f>IF(J116-K116&gt;0.00000001,"improved",IF(K116-J116&gt;0.00000001,"worsened","unchanged"))</x:f>
        <x:v>unchanged</x:v>
      </x:c>
      <x:c r="T116" s="2" t="str">
        <x:f>IF(J116-M116&gt;0.00000001,"improved",IF(M116-J116&gt;0.00000001,"worsened","unchanged"))</x:f>
        <x:v>unchanged</x:v>
      </x:c>
      <x:c r="U116" s="2" t="str">
        <x:f>IF(R116&gt;0.00000001,"QAOA lower",IF(R116&lt; -0.00000001,"BPSO lower","tie"))</x:f>
        <x:v>tie</x:v>
      </x:c>
      <x:c r="V116" s="7" t="n">
        <x:v>55.00000000000001</x:v>
      </x:c>
      <x:c r="W116" s="7" t="n">
        <x:v>55.00000000000001</x:v>
      </x:c>
      <x:c r="X116" s="8" t="n">
        <x:v>0</x:v>
      </x:c>
      <x:c r="Y116" s="2" t="n">
        <x:v>5</x:v>
      </x:c>
    </x:row>
    <x:row r="117" ht="18" customHeight="1">
      <x:c r="A117" s="2" t="str">
        <x:v>controlled</x:v>
      </x:c>
      <x:c r="B117" s="2" t="n">
        <x:v>6</x:v>
      </x:c>
      <x:c r="C117" s="2" t="str">
        <x:v>controlled_n6_weather_capacity_loss_2</x:v>
      </x:c>
      <x:c r="D117" s="2" t="str">
        <x:v>weather_capacity_loss</x:v>
      </x:c>
      <x:c r="E117" s="2" t="n">
        <x:v>0.8</x:v>
      </x:c>
      <x:c r="F117" s="2" t="str">
        <x:v>ready</x:v>
      </x:c>
      <x:c r="G117" s="2" t="n">
        <x:v>10</x:v>
      </x:c>
      <x:c r="H117" s="2" t="n">
        <x:v>34</x:v>
      </x:c>
      <x:c r="I117" s="2" t="n">
        <x:v>24</x:v>
      </x:c>
      <x:c r="J117" s="7" t="n">
        <x:v>68.75000000000001</x:v>
      </x:c>
      <x:c r="K117" s="7" t="n">
        <x:v>92.1875</x:v>
      </x:c>
      <x:c r="L117" s="7" t="n">
        <x:v>0</x:v>
      </x:c>
      <x:c r="M117" s="7" t="n">
        <x:v>92.1875</x:v>
      </x:c>
      <x:c r="N117" s="7" t="n">
        <x:v>0</x:v>
      </x:c>
      <x:c r="O117" s="7" t="n">
        <x:f>IF(J117=0,"n.a.",100*(J117-K117)/J117)</x:f>
        <x:v>-34.090909090909065</x:v>
      </x:c>
      <x:c r="P117" s="7" t="n">
        <x:f>IF(J117=0,"n.a.",100*(J117-M117)/J117)</x:f>
        <x:v>-34.090909090909065</x:v>
      </x:c>
      <x:c r="Q117" s="7" t="n">
        <x:f>J117-K117</x:f>
        <x:v>-23.437499999999986</x:v>
      </x:c>
      <x:c r="R117" s="7" t="n">
        <x:f>M117-K117</x:f>
        <x:v>0</x:v>
      </x:c>
      <x:c r="S117" s="2" t="str">
        <x:f>IF(J117-K117&gt;0.00000001,"improved",IF(K117-J117&gt;0.00000001,"worsened","unchanged"))</x:f>
        <x:v>worsened</x:v>
      </x:c>
      <x:c r="T117" s="2" t="str">
        <x:f>IF(J117-M117&gt;0.00000001,"improved",IF(M117-J117&gt;0.00000001,"worsened","unchanged"))</x:f>
        <x:v>worsened</x:v>
      </x:c>
      <x:c r="U117" s="2" t="str">
        <x:f>IF(R117&gt;0.00000001,"QAOA lower",IF(R117&lt; -0.00000001,"BPSO lower","tie"))</x:f>
        <x:v>tie</x:v>
      </x:c>
      <x:c r="V117" s="7" t="n">
        <x:v>92.1875</x:v>
      </x:c>
      <x:c r="W117" s="7" t="n">
        <x:v>87.5</x:v>
      </x:c>
      <x:c r="X117" s="8" t="n">
        <x:v>0</x:v>
      </x:c>
      <x:c r="Y117" s="2" t="n">
        <x:v>5</x:v>
      </x:c>
    </x:row>
    <x:row r="118" ht="18" customHeight="1">
      <x:c r="A118" s="2" t="str">
        <x:v>controlled</x:v>
      </x:c>
      <x:c r="B118" s="2" t="n">
        <x:v>6</x:v>
      </x:c>
      <x:c r="C118" s="2" t="str">
        <x:v>controlled_n6_weather_capacity_loss_3</x:v>
      </x:c>
      <x:c r="D118" s="2" t="str">
        <x:v>weather_capacity_loss</x:v>
      </x:c>
      <x:c r="E118" s="2" t="n">
        <x:v>0.6</x:v>
      </x:c>
      <x:c r="F118" s="2" t="str">
        <x:v>ready</x:v>
      </x:c>
      <x:c r="G118" s="2" t="n">
        <x:v>10</x:v>
      </x:c>
      <x:c r="H118" s="2" t="n">
        <x:v>57</x:v>
      </x:c>
      <x:c r="I118" s="2" t="n">
        <x:v>47</x:v>
      </x:c>
      <x:c r="J118" s="7" t="n">
        <x:v>91.66666666666667</x:v>
      </x:c>
      <x:c r="K118" s="7" t="n">
        <x:v>141.66666666666669</x:v>
      </x:c>
      <x:c r="L118" s="7" t="n">
        <x:v>0</x:v>
      </x:c>
      <x:c r="M118" s="7" t="n">
        <x:v>141.66666666666669</x:v>
      </x:c>
      <x:c r="N118" s="7" t="n">
        <x:v>0</x:v>
      </x:c>
      <x:c r="O118" s="7" t="n">
        <x:f>IF(J118=0,"n.a.",100*(J118-K118)/J118)</x:f>
        <x:v>-54.54545454545456</x:v>
      </x:c>
      <x:c r="P118" s="7" t="n">
        <x:f>IF(J118=0,"n.a.",100*(J118-M118)/J118)</x:f>
        <x:v>-54.54545454545456</x:v>
      </x:c>
      <x:c r="Q118" s="7" t="n">
        <x:f>J118-K118</x:f>
        <x:v>-50.000000000000014</x:v>
      </x:c>
      <x:c r="R118" s="7" t="n">
        <x:f>M118-K118</x:f>
        <x:v>0</x:v>
      </x:c>
      <x:c r="S118" s="2" t="str">
        <x:f>IF(J118-K118&gt;0.00000001,"improved",IF(K118-J118&gt;0.00000001,"worsened","unchanged"))</x:f>
        <x:v>worsened</x:v>
      </x:c>
      <x:c r="T118" s="2" t="str">
        <x:f>IF(J118-M118&gt;0.00000001,"improved",IF(M118-J118&gt;0.00000001,"worsened","unchanged"))</x:f>
        <x:v>worsened</x:v>
      </x:c>
      <x:c r="U118" s="2" t="str">
        <x:f>IF(R118&gt;0.00000001,"QAOA lower",IF(R118&lt; -0.00000001,"BPSO lower","tie"))</x:f>
        <x:v>tie</x:v>
      </x:c>
      <x:c r="V118" s="7" t="n">
        <x:v>141.66666666666669</x:v>
      </x:c>
      <x:c r="W118" s="7" t="n">
        <x:v>133.33333333333331</x:v>
      </x:c>
      <x:c r="X118" s="8" t="n">
        <x:v>0</x:v>
      </x:c>
      <x:c r="Y118" s="2" t="n">
        <x:v>5</x:v>
      </x:c>
    </x:row>
    <x:row r="119" ht="18" customHeight="1">
      <x:c r="A119" s="2" t="str">
        <x:v>route_diagnostic</x:v>
      </x:c>
      <x:c r="B119" s="2" t="n">
        <x:v>4</x:v>
      </x:c>
      <x:c r="C119" s="2" t="str">
        <x:v>diagnostic_one_detour</x:v>
      </x:c>
      <x:c r="D119" s="2" t="str">
        <x:v>one_detour</x:v>
      </x:c>
      <x:c r="E119" s="2" t="n">
        <x:v>1</x:v>
      </x:c>
      <x:c r="F119" s="2" t="str">
        <x:v>no_eligible_routes</x:v>
      </x:c>
      <x:c r="G119" s="2" t="n">
        <x:v>0</x:v>
      </x:c>
      <x:c r="H119" s="2" t="n">
        <x:v>4</x:v>
      </x:c>
      <x:c r="I119" s="2" t="n">
        <x:v>0</x:v>
      </x:c>
      <x:c r="J119" s="7" t="n">
        <x:v>80</x:v>
      </x:c>
      <x:c r="K119" s="7" t="n">
        <x:v>80</x:v>
      </x:c>
      <x:c r="L119" s="7" t="n">
        <x:v>0</x:v>
      </x:c>
      <x:c r="M119" s="7" t="n">
        <x:v>80</x:v>
      </x:c>
      <x:c r="N119" s="7" t="n">
        <x:v>0</x:v>
      </x:c>
      <x:c r="O119" s="7" t="n">
        <x:f>IF(J119=0,"n.a.",100*(J119-K119)/J119)</x:f>
        <x:v>0</x:v>
      </x:c>
      <x:c r="P119" s="7" t="n">
        <x:f>IF(J119=0,"n.a.",100*(J119-M119)/J119)</x:f>
        <x:v>0</x:v>
      </x:c>
      <x:c r="Q119" s="7" t="n">
        <x:f>J119-K119</x:f>
        <x:v>0</x:v>
      </x:c>
      <x:c r="R119" s="7" t="n">
        <x:f>M119-K119</x:f>
        <x:v>0</x:v>
      </x:c>
      <x:c r="S119" s="2" t="str">
        <x:f>IF(J119-K119&gt;0.00000001,"improved",IF(K119-J119&gt;0.00000001,"worsened","unchanged"))</x:f>
        <x:v>unchanged</x:v>
      </x:c>
      <x:c r="T119" s="2" t="str">
        <x:f>IF(J119-M119&gt;0.00000001,"improved",IF(M119-J119&gt;0.00000001,"worsened","unchanged"))</x:f>
        <x:v>unchanged</x:v>
      </x:c>
      <x:c r="U119" s="2" t="str">
        <x:f>IF(R119&gt;0.00000001,"QAOA lower",IF(R119&lt; -0.00000001,"BPSO lower","tie"))</x:f>
        <x:v>tie</x:v>
      </x:c>
      <x:c r="V119" s="7" t="n">
        <x:v>80</x:v>
      </x:c>
      <x:c r="W119" s="7" t="n">
        <x:v>80</x:v>
      </x:c>
      <x:c r="X119" s="8" t="n">
        <x:v>0</x:v>
      </x:c>
      <x:c r="Y119" s="2" t="n">
        <x:v>5</x:v>
      </x:c>
    </x:row>
    <x:row r="120" ht="18" customHeight="1">
      <x:c r="A120" s="2" t="str">
        <x:v>route_diagnostic</x:v>
      </x:c>
      <x:c r="B120" s="2" t="n">
        <x:v>4</x:v>
      </x:c>
      <x:c r="C120" s="2" t="str">
        <x:v>diagnostic_no_detour</x:v>
      </x:c>
      <x:c r="D120" s="2" t="str">
        <x:v>no_detour</x:v>
      </x:c>
      <x:c r="E120" s="2" t="n">
        <x:v>1</x:v>
      </x:c>
      <x:c r="F120" s="2" t="str">
        <x:v>no_eligible_routes</x:v>
      </x:c>
      <x:c r="G120" s="2" t="n">
        <x:v>0</x:v>
      </x:c>
      <x:c r="H120" s="2" t="n">
        <x:v>4</x:v>
      </x:c>
      <x:c r="I120" s="2" t="n">
        <x:v>0</x:v>
      </x:c>
      <x:c r="J120" s="7" t="n">
        <x:v>80</x:v>
      </x:c>
      <x:c r="K120" s="7" t="n">
        <x:v>80</x:v>
      </x:c>
      <x:c r="L120" s="7" t="n">
        <x:v>0</x:v>
      </x:c>
      <x:c r="M120" s="7" t="n">
        <x:v>80</x:v>
      </x:c>
      <x:c r="N120" s="7" t="n">
        <x:v>0</x:v>
      </x:c>
      <x:c r="O120" s="7" t="n">
        <x:f>IF(J120=0,"n.a.",100*(J120-K120)/J120)</x:f>
        <x:v>0</x:v>
      </x:c>
      <x:c r="P120" s="7" t="n">
        <x:f>IF(J120=0,"n.a.",100*(J120-M120)/J120)</x:f>
        <x:v>0</x:v>
      </x:c>
      <x:c r="Q120" s="7" t="n">
        <x:f>J120-K120</x:f>
        <x:v>0</x:v>
      </x:c>
      <x:c r="R120" s="7" t="n">
        <x:f>M120-K120</x:f>
        <x:v>0</x:v>
      </x:c>
      <x:c r="S120" s="2" t="str">
        <x:f>IF(J120-K120&gt;0.00000001,"improved",IF(K120-J120&gt;0.00000001,"worsened","unchanged"))</x:f>
        <x:v>unchanged</x:v>
      </x:c>
      <x:c r="T120" s="2" t="str">
        <x:f>IF(J120-M120&gt;0.00000001,"improved",IF(M120-J120&gt;0.00000001,"worsened","unchanged"))</x:f>
        <x:v>unchanged</x:v>
      </x:c>
      <x:c r="U120" s="2" t="str">
        <x:f>IF(R120&gt;0.00000001,"QAOA lower",IF(R120&lt; -0.00000001,"BPSO lower","tie"))</x:f>
        <x:v>tie</x:v>
      </x:c>
      <x:c r="V120" s="7" t="n">
        <x:v>80</x:v>
      </x:c>
      <x:c r="W120" s="7" t="n">
        <x:v>80</x:v>
      </x:c>
      <x:c r="X120" s="8" t="n">
        <x:v>0</x:v>
      </x:c>
      <x:c r="Y120" s="2" t="n">
        <x:v>5</x:v>
      </x:c>
    </x:row>
  </x:sheetData>
  <x:conditionalFormatting sqref="Q2:Q120">
    <x:cfRule type="cellIs" dxfId="0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076a6a0a9f400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5" hidden="0" customWidth="1"/>
    <x:col min="3" max="3" width="12" hidden="0" customWidth="1"/>
    <x:col min="4" max="4" width="22" hidden="0" customWidth="1"/>
    <x:col min="5" max="5" width="8" hidden="0" customWidth="1"/>
    <x:col min="6" max="6" width="16" hidden="0" customWidth="1"/>
    <x:col min="7" max="7" width="16" hidden="0" customWidth="1"/>
    <x:col min="8" max="8" width="17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21" hidden="0" customWidth="1"/>
    <x:col min="14" max="14" width="55" hidden="0" customWidth="1"/>
    <x:col min="15" max="15" width="16" hidden="0" customWidth="1"/>
  </x:cols>
  <x:sheetData>
    <x:row r="1" ht="42" customHeight="1">
      <x:c r="A1" s="6" t="str">
        <x:v>Scenario ID</x:v>
      </x:c>
      <x:c r="B1" s="6" t="str">
        <x:v>Method</x:v>
      </x:c>
      <x:c r="C1" s="6" t="str">
        <x:v>Solver seed</x:v>
      </x:c>
      <x:c r="D1" s="6" t="str">
        <x:v>Status</x:v>
      </x:c>
      <x:c r="E1" s="6" t="str">
        <x:v>Qubits</x:v>
      </x:c>
      <x:c r="F1" s="6" t="str">
        <x:v>Initial peak (%)</x:v>
      </x:c>
      <x:c r="G1" s="6" t="str">
        <x:v>Final peak (%)</x:v>
      </x:c>
      <x:c r="H1" s="6" t="str">
        <x:v>Relative relief (%)</x:v>
      </x:c>
      <x:c r="I1" s="6" t="str">
        <x:v>Relief (pp)</x:v>
      </x:c>
      <x:c r="J1" s="6" t="str">
        <x:v>QUBO cost</x:v>
      </x:c>
      <x:c r="K1" s="6" t="str">
        <x:v>Minimum J</x:v>
      </x:c>
      <x:c r="L1" s="6" t="str">
        <x:v>Absolute J gap</x:v>
      </x:c>
      <x:c r="M1" s="6" t="str">
        <x:v>Solver wrapper (ms)</x:v>
      </x:c>
      <x:c r="N1" s="6" t="str">
        <x:v>Backend</x:v>
      </x:c>
      <x:c r="O1" s="6" t="str">
        <x:v>Bitstring</x:v>
      </x:c>
    </x:row>
    <x:row r="2" ht="18" customHeight="1">
      <x:c r="A2" s="2" t="str">
        <x:v>legacy_n4_01</x:v>
      </x:c>
      <x:c r="B2" s="2" t="str">
        <x:v>Unmanaged</x:v>
      </x:c>
      <x:c r="C2" s="2"/>
      <x:c r="D2" s="2" t="str">
        <x:v>baseline</x:v>
      </x:c>
      <x:c r="E2" s="2" t="n">
        <x:v>5</x:v>
      </x:c>
      <x:c r="F2" s="7" t="n">
        <x:v>77.1875</x:v>
      </x:c>
      <x:c r="G2" s="7" t="n">
        <x:v>77.1875</x:v>
      </x:c>
      <x:c r="H2" s="7" t="n">
        <x:f>IF(F2=0,"n.a.",100*(F2-G2)/F2)</x:f>
        <x:v>0</x:v>
      </x:c>
      <x:c r="I2" s="7" t="n">
        <x:f>F2-G2</x:f>
        <x:v>0</x:v>
      </x:c>
      <x:c r="J2" s="8"/>
      <x:c r="K2" s="8" t="n">
        <x:v>0.1817992899617271</x:v>
      </x:c>
      <x:c r="L2" s="8"/>
      <x:c r="M2" s="7"/>
      <x:c r="N2" s="2" t="str">
        <x:v>unmanaged_input</x:v>
      </x:c>
      <x:c r="O2" s="9"/>
    </x:row>
    <x:row r="3" ht="18" customHeight="1">
      <x:c r="A3" s="2" t="str">
        <x:v>legacy_n4_01</x:v>
      </x:c>
      <x:c r="B3" s="2" t="str">
        <x:v>Exact J</x:v>
      </x:c>
      <x:c r="C3" s="2"/>
      <x:c r="D3" s="2" t="str">
        <x:v>success</x:v>
      </x:c>
      <x:c r="E3" s="2" t="n">
        <x:v>5</x:v>
      </x:c>
      <x:c r="F3" s="7" t="n">
        <x:v>77.1875</x:v>
      </x:c>
      <x:c r="G3" s="7" t="n">
        <x:v>67.53529411764706</x:v>
      </x:c>
      <x:c r="H3" s="7" t="n">
        <x:f>IF(F3=0,"n.a.",100*(F3-G3)/F3)</x:f>
        <x:v>12.50488211478924</x:v>
      </x:c>
      <x:c r="I3" s="7" t="n">
        <x:f>F3-G3</x:f>
        <x:v>9.652205882352945</x:v>
      </x:c>
      <x:c r="J3" s="8" t="n">
        <x:v>0.1817992899617271</x:v>
      </x:c>
      <x:c r="K3" s="8" t="n">
        <x:v>0.1817992899617271</x:v>
      </x:c>
      <x:c r="L3" s="8" t="n">
        <x:v>0</x:v>
      </x:c>
      <x:c r="M3" s="7"/>
      <x:c r="N3" s="2" t="str">
        <x:v>exhaustive_enumeration</x:v>
      </x:c>
      <x:c r="O3" s="9" t="str">
        <x:v>00011</x:v>
      </x:c>
    </x:row>
    <x:row r="4" ht="18" customHeight="1">
      <x:c r="A4" s="2" t="str">
        <x:v>legacy_n4_01</x:v>
      </x:c>
      <x:c r="B4" s="2" t="str">
        <x:v>Exact peak</x:v>
      </x:c>
      <x:c r="C4" s="2"/>
      <x:c r="D4" s="2" t="str">
        <x:v>success</x:v>
      </x:c>
      <x:c r="E4" s="2" t="n">
        <x:v>5</x:v>
      </x:c>
      <x:c r="F4" s="7" t="n">
        <x:v>77.1875</x:v>
      </x:c>
      <x:c r="G4" s="7" t="n">
        <x:v>67.53529411764706</x:v>
      </x:c>
      <x:c r="H4" s="7" t="n">
        <x:f>IF(F4=0,"n.a.",100*(F4-G4)/F4)</x:f>
        <x:v>12.50488211478924</x:v>
      </x:c>
      <x:c r="I4" s="7" t="n">
        <x:f>F4-G4</x:f>
        <x:v>9.652205882352945</x:v>
      </x:c>
      <x:c r="J4" s="8" t="n">
        <x:v>0.1817992899617271</x:v>
      </x:c>
      <x:c r="K4" s="8" t="n">
        <x:v>0.1817992899617271</x:v>
      </x:c>
      <x:c r="L4" s="8" t="n">
        <x:v>0</x:v>
      </x:c>
      <x:c r="M4" s="7"/>
      <x:c r="N4" s="2" t="str">
        <x:v>exhaustive_enumeration</x:v>
      </x:c>
      <x:c r="O4" s="9" t="str">
        <x:v>00011</x:v>
      </x:c>
    </x:row>
    <x:row r="5" ht="18" customHeight="1">
      <x:c r="A5" s="2" t="str">
        <x:v>legacy_n4_01</x:v>
      </x:c>
      <x:c r="B5" s="2" t="str">
        <x:v>BPSO</x:v>
      </x:c>
      <x:c r="C5" s="2" t="n">
        <x:v>42</x:v>
      </x:c>
      <x:c r="D5" s="2" t="str">
        <x:v>success</x:v>
      </x:c>
      <x:c r="E5" s="2" t="n">
        <x:v>5</x:v>
      </x:c>
      <x:c r="F5" s="7" t="n">
        <x:v>77.1875</x:v>
      </x:c>
      <x:c r="G5" s="7" t="n">
        <x:v>67.53529411764706</x:v>
      </x:c>
      <x:c r="H5" s="7" t="n">
        <x:f>IF(F5=0,"n.a.",100*(F5-G5)/F5)</x:f>
        <x:v>12.50488211478924</x:v>
      </x:c>
      <x:c r="I5" s="7" t="n">
        <x:f>F5-G5</x:f>
        <x:v>9.652205882352945</x:v>
      </x:c>
      <x:c r="J5" s="8" t="n">
        <x:v>0.1817992899617271</x:v>
      </x:c>
      <x:c r="K5" s="8" t="n">
        <x:v>0.1817992899617271</x:v>
      </x:c>
      <x:c r="L5" s="8" t="n">
        <x:v>0</x:v>
      </x:c>
      <x:c r="M5" s="7" t="n">
        <x:v>14.809499989496544</x:v>
      </x:c>
      <x:c r="N5" s="2" t="str">
        <x:v>repository_particle_dynamics_on_frozen_qubo</x:v>
      </x:c>
      <x:c r="O5" s="9" t="str">
        <x:v>11000</x:v>
      </x:c>
    </x:row>
    <x:row r="6" ht="18" customHeight="1">
      <x:c r="A6" s="2" t="str">
        <x:v>legacy_n4_01</x:v>
      </x:c>
      <x:c r="B6" s="2" t="str">
        <x:v>QAOA</x:v>
      </x:c>
      <x:c r="C6" s="2" t="n">
        <x:v>42</x:v>
      </x:c>
      <x:c r="D6" s="2" t="str">
        <x:v>success</x:v>
      </x:c>
      <x:c r="E6" s="2" t="n">
        <x:v>5</x:v>
      </x:c>
      <x:c r="F6" s="7" t="n">
        <x:v>77.1875</x:v>
      </x:c>
      <x:c r="G6" s="7" t="n">
        <x:v>67.53529411764706</x:v>
      </x:c>
      <x:c r="H6" s="7" t="n">
        <x:f>IF(F6=0,"n.a.",100*(F6-G6)/F6)</x:f>
        <x:v>12.50488211478924</x:v>
      </x:c>
      <x:c r="I6" s="7" t="n">
        <x:f>F6-G6</x:f>
        <x:v>9.652205882352945</x:v>
      </x:c>
      <x:c r="J6" s="8" t="n">
        <x:v>0.1817992899617271</x:v>
      </x:c>
      <x:c r="K6" s="8" t="n">
        <x:v>0.1817992899617271</x:v>
      </x:c>
      <x:c r="L6" s="8" t="n">
        <x:v>0</x:v>
      </x:c>
      <x:c r="M6" s="7" t="n">
        <x:v>282.0537000079639</x:v>
      </x:c>
      <x:c r="N6" s="2" t="str">
        <x:v>qiskit.primitives.StatevectorSampler</x:v>
      </x:c>
      <x:c r="O6" s="9" t="str">
        <x:v>01100</x:v>
      </x:c>
    </x:row>
    <x:row r="7" ht="18" customHeight="1">
      <x:c r="A7" s="2" t="str">
        <x:v>legacy_n4_01</x:v>
      </x:c>
      <x:c r="B7" s="2" t="str">
        <x:v>BPSO</x:v>
      </x:c>
      <x:c r="C7" s="2" t="n">
        <x:v>123</x:v>
      </x:c>
      <x:c r="D7" s="2" t="str">
        <x:v>success</x:v>
      </x:c>
      <x:c r="E7" s="2" t="n">
        <x:v>5</x:v>
      </x:c>
      <x:c r="F7" s="7" t="n">
        <x:v>77.1875</x:v>
      </x:c>
      <x:c r="G7" s="7" t="n">
        <x:v>67.53529411764706</x:v>
      </x:c>
      <x:c r="H7" s="7" t="n">
        <x:f>IF(F7=0,"n.a.",100*(F7-G7)/F7)</x:f>
        <x:v>12.50488211478924</x:v>
      </x:c>
      <x:c r="I7" s="7" t="n">
        <x:f>F7-G7</x:f>
        <x:v>9.652205882352945</x:v>
      </x:c>
      <x:c r="J7" s="8" t="n">
        <x:v>0.1817992899617271</x:v>
      </x:c>
      <x:c r="K7" s="8" t="n">
        <x:v>0.1817992899617271</x:v>
      </x:c>
      <x:c r="L7" s="8" t="n">
        <x:v>0</x:v>
      </x:c>
      <x:c r="M7" s="7" t="n">
        <x:v>15.275899990228936</x:v>
      </x:c>
      <x:c r="N7" s="2" t="str">
        <x:v>repository_particle_dynamics_on_frozen_qubo</x:v>
      </x:c>
      <x:c r="O7" s="9" t="str">
        <x:v>01010</x:v>
      </x:c>
    </x:row>
    <x:row r="8" ht="18" customHeight="1">
      <x:c r="A8" s="2" t="str">
        <x:v>legacy_n4_01</x:v>
      </x:c>
      <x:c r="B8" s="2" t="str">
        <x:v>QAOA</x:v>
      </x:c>
      <x:c r="C8" s="2" t="n">
        <x:v>123</x:v>
      </x:c>
      <x:c r="D8" s="2" t="str">
        <x:v>success</x:v>
      </x:c>
      <x:c r="E8" s="2" t="n">
        <x:v>5</x:v>
      </x:c>
      <x:c r="F8" s="7" t="n">
        <x:v>77.1875</x:v>
      </x:c>
      <x:c r="G8" s="7" t="n">
        <x:v>67.53529411764706</x:v>
      </x:c>
      <x:c r="H8" s="7" t="n">
        <x:f>IF(F8=0,"n.a.",100*(F8-G8)/F8)</x:f>
        <x:v>12.50488211478924</x:v>
      </x:c>
      <x:c r="I8" s="7" t="n">
        <x:f>F8-G8</x:f>
        <x:v>9.652205882352945</x:v>
      </x:c>
      <x:c r="J8" s="8" t="n">
        <x:v>0.1817992899617271</x:v>
      </x:c>
      <x:c r="K8" s="8" t="n">
        <x:v>0.1817992899617271</x:v>
      </x:c>
      <x:c r="L8" s="8" t="n">
        <x:v>0</x:v>
      </x:c>
      <x:c r="M8" s="7" t="n">
        <x:v>275.9864999970887</x:v>
      </x:c>
      <x:c r="N8" s="2" t="str">
        <x:v>qiskit.primitives.StatevectorSampler</x:v>
      </x:c>
      <x:c r="O8" s="9" t="str">
        <x:v>11000</x:v>
      </x:c>
    </x:row>
    <x:row r="9" ht="18" customHeight="1">
      <x:c r="A9" s="2" t="str">
        <x:v>legacy_n4_01</x:v>
      </x:c>
      <x:c r="B9" s="2" t="str">
        <x:v>BPSO</x:v>
      </x:c>
      <x:c r="C9" s="2" t="n">
        <x:v>456</x:v>
      </x:c>
      <x:c r="D9" s="2" t="str">
        <x:v>success</x:v>
      </x:c>
      <x:c r="E9" s="2" t="n">
        <x:v>5</x:v>
      </x:c>
      <x:c r="F9" s="7" t="n">
        <x:v>77.1875</x:v>
      </x:c>
      <x:c r="G9" s="7" t="n">
        <x:v>67.53529411764706</x:v>
      </x:c>
      <x:c r="H9" s="7" t="n">
        <x:f>IF(F9=0,"n.a.",100*(F9-G9)/F9)</x:f>
        <x:v>12.50488211478924</x:v>
      </x:c>
      <x:c r="I9" s="7" t="n">
        <x:f>F9-G9</x:f>
        <x:v>9.652205882352945</x:v>
      </x:c>
      <x:c r="J9" s="8" t="n">
        <x:v>0.1817992899617271</x:v>
      </x:c>
      <x:c r="K9" s="8" t="n">
        <x:v>0.1817992899617271</x:v>
      </x:c>
      <x:c r="L9" s="8" t="n">
        <x:v>0</x:v>
      </x:c>
      <x:c r="M9" s="7" t="n">
        <x:v>16.581400006543845</x:v>
      </x:c>
      <x:c r="N9" s="2" t="str">
        <x:v>repository_particle_dynamics_on_frozen_qubo</x:v>
      </x:c>
      <x:c r="O9" s="9" t="str">
        <x:v>00011</x:v>
      </x:c>
    </x:row>
    <x:row r="10" ht="18" customHeight="1">
      <x:c r="A10" s="2" t="str">
        <x:v>legacy_n4_01</x:v>
      </x:c>
      <x:c r="B10" s="2" t="str">
        <x:v>QAOA</x:v>
      </x:c>
      <x:c r="C10" s="2" t="n">
        <x:v>456</x:v>
      </x:c>
      <x:c r="D10" s="2" t="str">
        <x:v>success</x:v>
      </x:c>
      <x:c r="E10" s="2" t="n">
        <x:v>5</x:v>
      </x:c>
      <x:c r="F10" s="7" t="n">
        <x:v>77.1875</x:v>
      </x:c>
      <x:c r="G10" s="7" t="n">
        <x:v>67.53529411764706</x:v>
      </x:c>
      <x:c r="H10" s="7" t="n">
        <x:f>IF(F10=0,"n.a.",100*(F10-G10)/F10)</x:f>
        <x:v>12.50488211478924</x:v>
      </x:c>
      <x:c r="I10" s="7" t="n">
        <x:f>F10-G10</x:f>
        <x:v>9.652205882352945</x:v>
      </x:c>
      <x:c r="J10" s="8" t="n">
        <x:v>0.1817992899617271</x:v>
      </x:c>
      <x:c r="K10" s="8" t="n">
        <x:v>0.1817992899617271</x:v>
      </x:c>
      <x:c r="L10" s="8" t="n">
        <x:v>0</x:v>
      </x:c>
      <x:c r="M10" s="7" t="n">
        <x:v>232.24969999864697</x:v>
      </x:c>
      <x:c r="N10" s="2" t="str">
        <x:v>qiskit.primitives.StatevectorSampler</x:v>
      </x:c>
      <x:c r="O10" s="9" t="str">
        <x:v>10001</x:v>
      </x:c>
    </x:row>
    <x:row r="11" ht="18" customHeight="1">
      <x:c r="A11" s="2" t="str">
        <x:v>legacy_n4_01</x:v>
      </x:c>
      <x:c r="B11" s="2" t="str">
        <x:v>BPSO</x:v>
      </x:c>
      <x:c r="C11" s="2" t="n">
        <x:v>789</x:v>
      </x:c>
      <x:c r="D11" s="2" t="str">
        <x:v>success</x:v>
      </x:c>
      <x:c r="E11" s="2" t="n">
        <x:v>5</x:v>
      </x:c>
      <x:c r="F11" s="7" t="n">
        <x:v>77.1875</x:v>
      </x:c>
      <x:c r="G11" s="7" t="n">
        <x:v>67.53529411764706</x:v>
      </x:c>
      <x:c r="H11" s="7" t="n">
        <x:f>IF(F11=0,"n.a.",100*(F11-G11)/F11)</x:f>
        <x:v>12.50488211478924</x:v>
      </x:c>
      <x:c r="I11" s="7" t="n">
        <x:f>F11-G11</x:f>
        <x:v>9.652205882352945</x:v>
      </x:c>
      <x:c r="J11" s="8" t="n">
        <x:v>0.1817992899617271</x:v>
      </x:c>
      <x:c r="K11" s="8" t="n">
        <x:v>0.1817992899617271</x:v>
      </x:c>
      <x:c r="L11" s="8" t="n">
        <x:v>0</x:v>
      </x:c>
      <x:c r="M11" s="7" t="n">
        <x:v>15.323199986596592</x:v>
      </x:c>
      <x:c r="N11" s="2" t="str">
        <x:v>repository_particle_dynamics_on_frozen_qubo</x:v>
      </x:c>
      <x:c r="O11" s="9" t="str">
        <x:v>01100</x:v>
      </x:c>
    </x:row>
    <x:row r="12" ht="18" customHeight="1">
      <x:c r="A12" s="2" t="str">
        <x:v>legacy_n4_01</x:v>
      </x:c>
      <x:c r="B12" s="2" t="str">
        <x:v>QAOA</x:v>
      </x:c>
      <x:c r="C12" s="2" t="n">
        <x:v>789</x:v>
      </x:c>
      <x:c r="D12" s="2" t="str">
        <x:v>success</x:v>
      </x:c>
      <x:c r="E12" s="2" t="n">
        <x:v>5</x:v>
      </x:c>
      <x:c r="F12" s="7" t="n">
        <x:v>77.1875</x:v>
      </x:c>
      <x:c r="G12" s="7" t="n">
        <x:v>67.53529411764706</x:v>
      </x:c>
      <x:c r="H12" s="7" t="n">
        <x:f>IF(F12=0,"n.a.",100*(F12-G12)/F12)</x:f>
        <x:v>12.50488211478924</x:v>
      </x:c>
      <x:c r="I12" s="7" t="n">
        <x:f>F12-G12</x:f>
        <x:v>9.652205882352945</x:v>
      </x:c>
      <x:c r="J12" s="8" t="n">
        <x:v>0.1817992899617271</x:v>
      </x:c>
      <x:c r="K12" s="8" t="n">
        <x:v>0.1817992899617271</x:v>
      </x:c>
      <x:c r="L12" s="8" t="n">
        <x:v>0</x:v>
      </x:c>
      <x:c r="M12" s="7" t="n">
        <x:v>191.67730001208838</x:v>
      </x:c>
      <x:c r="N12" s="2" t="str">
        <x:v>qiskit.primitives.StatevectorSampler</x:v>
      </x:c>
      <x:c r="O12" s="9" t="str">
        <x:v>10100</x:v>
      </x:c>
    </x:row>
    <x:row r="13" ht="18" customHeight="1">
      <x:c r="A13" s="2" t="str">
        <x:v>legacy_n4_01</x:v>
      </x:c>
      <x:c r="B13" s="2" t="str">
        <x:v>BPSO</x:v>
      </x:c>
      <x:c r="C13" s="2" t="n">
        <x:v>2026</x:v>
      </x:c>
      <x:c r="D13" s="2" t="str">
        <x:v>success</x:v>
      </x:c>
      <x:c r="E13" s="2" t="n">
        <x:v>5</x:v>
      </x:c>
      <x:c r="F13" s="7" t="n">
        <x:v>77.1875</x:v>
      </x:c>
      <x:c r="G13" s="7" t="n">
        <x:v>67.53529411764706</x:v>
      </x:c>
      <x:c r="H13" s="7" t="n">
        <x:f>IF(F13=0,"n.a.",100*(F13-G13)/F13)</x:f>
        <x:v>12.50488211478924</x:v>
      </x:c>
      <x:c r="I13" s="7" t="n">
        <x:f>F13-G13</x:f>
        <x:v>9.652205882352945</x:v>
      </x:c>
      <x:c r="J13" s="8" t="n">
        <x:v>0.1817992899617271</x:v>
      </x:c>
      <x:c r="K13" s="8" t="n">
        <x:v>0.1817992899617271</x:v>
      </x:c>
      <x:c r="L13" s="8" t="n">
        <x:v>0</x:v>
      </x:c>
      <x:c r="M13" s="7" t="n">
        <x:v>15.137299997149967</x:v>
      </x:c>
      <x:c r="N13" s="2" t="str">
        <x:v>repository_particle_dynamics_on_frozen_qubo</x:v>
      </x:c>
      <x:c r="O13" s="9" t="str">
        <x:v>10100</x:v>
      </x:c>
    </x:row>
    <x:row r="14" ht="18" customHeight="1">
      <x:c r="A14" s="2" t="str">
        <x:v>legacy_n4_01</x:v>
      </x:c>
      <x:c r="B14" s="2" t="str">
        <x:v>QAOA</x:v>
      </x:c>
      <x:c r="C14" s="2" t="n">
        <x:v>2026</x:v>
      </x:c>
      <x:c r="D14" s="2" t="str">
        <x:v>success</x:v>
      </x:c>
      <x:c r="E14" s="2" t="n">
        <x:v>5</x:v>
      </x:c>
      <x:c r="F14" s="7" t="n">
        <x:v>77.1875</x:v>
      </x:c>
      <x:c r="G14" s="7" t="n">
        <x:v>67.53529411764706</x:v>
      </x:c>
      <x:c r="H14" s="7" t="n">
        <x:f>IF(F14=0,"n.a.",100*(F14-G14)/F14)</x:f>
        <x:v>12.50488211478924</x:v>
      </x:c>
      <x:c r="I14" s="7" t="n">
        <x:f>F14-G14</x:f>
        <x:v>9.652205882352945</x:v>
      </x:c>
      <x:c r="J14" s="8" t="n">
        <x:v>0.1817992899617271</x:v>
      </x:c>
      <x:c r="K14" s="8" t="n">
        <x:v>0.1817992899617271</x:v>
      </x:c>
      <x:c r="L14" s="8" t="n">
        <x:v>0</x:v>
      </x:c>
      <x:c r="M14" s="7" t="n">
        <x:v>212.7957999909995</x:v>
      </x:c>
      <x:c r="N14" s="2" t="str">
        <x:v>qiskit.primitives.StatevectorSampler</x:v>
      </x:c>
      <x:c r="O14" s="9" t="str">
        <x:v>10010</x:v>
      </x:c>
    </x:row>
    <x:row r="15" ht="18" customHeight="1">
      <x:c r="A15" s="2" t="str">
        <x:v>legacy_n4_02</x:v>
      </x:c>
      <x:c r="B15" s="2" t="str">
        <x:v>Unmanaged</x:v>
      </x:c>
      <x:c r="C15" s="2"/>
      <x:c r="D15" s="2" t="str">
        <x:v>baseline</x:v>
      </x:c>
      <x:c r="E15" s="2" t="n">
        <x:v>8</x:v>
      </x:c>
      <x:c r="F15" s="7" t="n">
        <x:v>82.53888888888889</x:v>
      </x:c>
      <x:c r="G15" s="7" t="n">
        <x:v>82.53888888888889</x:v>
      </x:c>
      <x:c r="H15" s="7" t="n">
        <x:f>IF(F15=0,"n.a.",100*(F15-G15)/F15)</x:f>
        <x:v>0</x:v>
      </x:c>
      <x:c r="I15" s="7" t="n">
        <x:f>F15-G15</x:f>
        <x:v>0</x:v>
      </x:c>
      <x:c r="J15" s="8"/>
      <x:c r="K15" s="8" t="n">
        <x:v>0.2648292323263254</x:v>
      </x:c>
      <x:c r="L15" s="8"/>
      <x:c r="M15" s="7"/>
      <x:c r="N15" s="2" t="str">
        <x:v>unmanaged_input</x:v>
      </x:c>
      <x:c r="O15" s="9"/>
    </x:row>
    <x:row r="16" ht="18" customHeight="1">
      <x:c r="A16" s="2" t="str">
        <x:v>legacy_n4_02</x:v>
      </x:c>
      <x:c r="B16" s="2" t="str">
        <x:v>Exact J</x:v>
      </x:c>
      <x:c r="C16" s="2"/>
      <x:c r="D16" s="2" t="str">
        <x:v>success</x:v>
      </x:c>
      <x:c r="E16" s="2" t="n">
        <x:v>8</x:v>
      </x:c>
      <x:c r="F16" s="7" t="n">
        <x:v>82.53888888888889</x:v>
      </x:c>
      <x:c r="G16" s="7" t="n">
        <x:v>72.99090909090908</x:v>
      </x:c>
      <x:c r="H16" s="7" t="n">
        <x:f>IF(F16=0,"n.a.",100*(F16-G16)/F16)</x:f>
        <x:v>11.567855984629231</x:v>
      </x:c>
      <x:c r="I16" s="7" t="n">
        <x:f>F16-G16</x:f>
        <x:v>9.547979797979806</x:v>
      </x:c>
      <x:c r="J16" s="8" t="n">
        <x:v>0.2648292323263254</x:v>
      </x:c>
      <x:c r="K16" s="8" t="n">
        <x:v>0.2648292323263254</x:v>
      </x:c>
      <x:c r="L16" s="8" t="n">
        <x:v>0</x:v>
      </x:c>
      <x:c r="M16" s="7"/>
      <x:c r="N16" s="2" t="str">
        <x:v>exhaustive_enumeration</x:v>
      </x:c>
      <x:c r="O16" s="9" t="str">
        <x:v>00110001</x:v>
      </x:c>
    </x:row>
    <x:row r="17" ht="18" customHeight="1">
      <x:c r="A17" s="2" t="str">
        <x:v>legacy_n4_02</x:v>
      </x:c>
      <x:c r="B17" s="2" t="str">
        <x:v>Exact peak</x:v>
      </x:c>
      <x:c r="C17" s="2"/>
      <x:c r="D17" s="2" t="str">
        <x:v>success</x:v>
      </x:c>
      <x:c r="E17" s="2" t="n">
        <x:v>8</x:v>
      </x:c>
      <x:c r="F17" s="7" t="n">
        <x:v>82.53888888888889</x:v>
      </x:c>
      <x:c r="G17" s="7" t="n">
        <x:v>66.17272727272727</x:v>
      </x:c>
      <x:c r="H17" s="7" t="n">
        <x:f>IF(F17=0,"n.a.",100*(F17-G17)/F17)</x:f>
        <x:v>19.828424923666226</x:v>
      </x:c>
      <x:c r="I17" s="7" t="n">
        <x:f>F17-G17</x:f>
        <x:v>16.36616161616162</x:v>
      </x:c>
      <x:c r="J17" s="8" t="n">
        <x:v>0.30452601779401367</x:v>
      </x:c>
      <x:c r="K17" s="8" t="n">
        <x:v>0.2648292323263254</x:v>
      </x:c>
      <x:c r="L17" s="8" t="n">
        <x:v>0.03969678546768829</x:v>
      </x:c>
      <x:c r="M17" s="7"/>
      <x:c r="N17" s="2" t="str">
        <x:v>exhaustive_enumeration</x:v>
      </x:c>
      <x:c r="O17" s="9" t="str">
        <x:v>00110011</x:v>
      </x:c>
    </x:row>
    <x:row r="18" ht="18" customHeight="1">
      <x:c r="A18" s="2" t="str">
        <x:v>legacy_n4_02</x:v>
      </x:c>
      <x:c r="B18" s="2" t="str">
        <x:v>BPSO</x:v>
      </x:c>
      <x:c r="C18" s="2" t="n">
        <x:v>42</x:v>
      </x:c>
      <x:c r="D18" s="2" t="str">
        <x:v>success</x:v>
      </x:c>
      <x:c r="E18" s="2" t="n">
        <x:v>8</x:v>
      </x:c>
      <x:c r="F18" s="7" t="n">
        <x:v>82.53888888888889</x:v>
      </x:c>
      <x:c r="G18" s="7" t="n">
        <x:v>72.99090909090908</x:v>
      </x:c>
      <x:c r="H18" s="7" t="n">
        <x:f>IF(F18=0,"n.a.",100*(F18-G18)/F18)</x:f>
        <x:v>11.567855984629231</x:v>
      </x:c>
      <x:c r="I18" s="7" t="n">
        <x:f>F18-G18</x:f>
        <x:v>9.547979797979806</x:v>
      </x:c>
      <x:c r="J18" s="8" t="n">
        <x:v>0.2648292323263254</x:v>
      </x:c>
      <x:c r="K18" s="8" t="n">
        <x:v>0.2648292323263254</x:v>
      </x:c>
      <x:c r="L18" s="8" t="n">
        <x:v>0</x:v>
      </x:c>
      <x:c r="M18" s="7" t="n">
        <x:v>18.420300009893253</x:v>
      </x:c>
      <x:c r="N18" s="2" t="str">
        <x:v>repository_particle_dynamics_on_frozen_qubo</x:v>
      </x:c>
      <x:c r="O18" s="9" t="str">
        <x:v>10100010</x:v>
      </x:c>
    </x:row>
    <x:row r="19" ht="18" customHeight="1">
      <x:c r="A19" s="2" t="str">
        <x:v>legacy_n4_02</x:v>
      </x:c>
      <x:c r="B19" s="2" t="str">
        <x:v>QAOA</x:v>
      </x:c>
      <x:c r="C19" s="2" t="n">
        <x:v>42</x:v>
      </x:c>
      <x:c r="D19" s="2" t="str">
        <x:v>success</x:v>
      </x:c>
      <x:c r="E19" s="2" t="n">
        <x:v>8</x:v>
      </x:c>
      <x:c r="F19" s="7" t="n">
        <x:v>82.53888888888889</x:v>
      </x:c>
      <x:c r="G19" s="7" t="n">
        <x:v>72.99090909090908</x:v>
      </x:c>
      <x:c r="H19" s="7" t="n">
        <x:f>IF(F19=0,"n.a.",100*(F19-G19)/F19)</x:f>
        <x:v>11.567855984629231</x:v>
      </x:c>
      <x:c r="I19" s="7" t="n">
        <x:f>F19-G19</x:f>
        <x:v>9.547979797979806</x:v>
      </x:c>
      <x:c r="J19" s="8" t="n">
        <x:v>0.2648292323263254</x:v>
      </x:c>
      <x:c r="K19" s="8" t="n">
        <x:v>0.2648292323263254</x:v>
      </x:c>
      <x:c r="L19" s="8" t="n">
        <x:v>0</x:v>
      </x:c>
      <x:c r="M19" s="7" t="n">
        <x:v>460.46689999639057</x:v>
      </x:c>
      <x:c r="N19" s="2" t="str">
        <x:v>qiskit.primitives.StatevectorSampler</x:v>
      </x:c>
      <x:c r="O19" s="9" t="str">
        <x:v>11000001</x:v>
      </x:c>
    </x:row>
    <x:row r="20" ht="18" customHeight="1">
      <x:c r="A20" s="2" t="str">
        <x:v>legacy_n4_02</x:v>
      </x:c>
      <x:c r="B20" s="2" t="str">
        <x:v>BPSO</x:v>
      </x:c>
      <x:c r="C20" s="2" t="n">
        <x:v>123</x:v>
      </x:c>
      <x:c r="D20" s="2" t="str">
        <x:v>success</x:v>
      </x:c>
      <x:c r="E20" s="2" t="n">
        <x:v>8</x:v>
      </x:c>
      <x:c r="F20" s="7" t="n">
        <x:v>82.53888888888889</x:v>
      </x:c>
      <x:c r="G20" s="7" t="n">
        <x:v>72.99090909090908</x:v>
      </x:c>
      <x:c r="H20" s="7" t="n">
        <x:f>IF(F20=0,"n.a.",100*(F20-G20)/F20)</x:f>
        <x:v>11.567855984629231</x:v>
      </x:c>
      <x:c r="I20" s="7" t="n">
        <x:f>F20-G20</x:f>
        <x:v>9.547979797979806</x:v>
      </x:c>
      <x:c r="J20" s="8" t="n">
        <x:v>0.2648292323263254</x:v>
      </x:c>
      <x:c r="K20" s="8" t="n">
        <x:v>0.2648292323263254</x:v>
      </x:c>
      <x:c r="L20" s="8" t="n">
        <x:v>0</x:v>
      </x:c>
      <x:c r="M20" s="7" t="n">
        <x:v>18.71420000679791</x:v>
      </x:c>
      <x:c r="N20" s="2" t="str">
        <x:v>repository_particle_dynamics_on_frozen_qubo</x:v>
      </x:c>
      <x:c r="O20" s="9" t="str">
        <x:v>11000100</x:v>
      </x:c>
    </x:row>
    <x:row r="21" ht="18" customHeight="1">
      <x:c r="A21" s="2" t="str">
        <x:v>legacy_n4_02</x:v>
      </x:c>
      <x:c r="B21" s="2" t="str">
        <x:v>QAOA</x:v>
      </x:c>
      <x:c r="C21" s="2" t="n">
        <x:v>123</x:v>
      </x:c>
      <x:c r="D21" s="2" t="str">
        <x:v>success</x:v>
      </x:c>
      <x:c r="E21" s="2" t="n">
        <x:v>8</x:v>
      </x:c>
      <x:c r="F21" s="7" t="n">
        <x:v>82.53888888888889</x:v>
      </x:c>
      <x:c r="G21" s="7" t="n">
        <x:v>72.99090909090908</x:v>
      </x:c>
      <x:c r="H21" s="7" t="n">
        <x:f>IF(F21=0,"n.a.",100*(F21-G21)/F21)</x:f>
        <x:v>11.567855984629231</x:v>
      </x:c>
      <x:c r="I21" s="7" t="n">
        <x:f>F21-G21</x:f>
        <x:v>9.547979797979806</x:v>
      </x:c>
      <x:c r="J21" s="8" t="n">
        <x:v>0.2648292323263254</x:v>
      </x:c>
      <x:c r="K21" s="8" t="n">
        <x:v>0.2648292323263254</x:v>
      </x:c>
      <x:c r="L21" s="8" t="n">
        <x:v>0</x:v>
      </x:c>
      <x:c r="M21" s="7" t="n">
        <x:v>462.1779999870341</x:v>
      </x:c>
      <x:c r="N21" s="2" t="str">
        <x:v>qiskit.primitives.StatevectorSampler</x:v>
      </x:c>
      <x:c r="O21" s="9" t="str">
        <x:v>10010100</x:v>
      </x:c>
    </x:row>
    <x:row r="22" ht="18" customHeight="1">
      <x:c r="A22" s="2" t="str">
        <x:v>legacy_n4_02</x:v>
      </x:c>
      <x:c r="B22" s="2" t="str">
        <x:v>BPSO</x:v>
      </x:c>
      <x:c r="C22" s="2" t="n">
        <x:v>456</x:v>
      </x:c>
      <x:c r="D22" s="2" t="str">
        <x:v>success</x:v>
      </x:c>
      <x:c r="E22" s="2" t="n">
        <x:v>8</x:v>
      </x:c>
      <x:c r="F22" s="7" t="n">
        <x:v>82.53888888888889</x:v>
      </x:c>
      <x:c r="G22" s="7" t="n">
        <x:v>72.99090909090908</x:v>
      </x:c>
      <x:c r="H22" s="7" t="n">
        <x:f>IF(F22=0,"n.a.",100*(F22-G22)/F22)</x:f>
        <x:v>11.567855984629231</x:v>
      </x:c>
      <x:c r="I22" s="7" t="n">
        <x:f>F22-G22</x:f>
        <x:v>9.547979797979806</x:v>
      </x:c>
      <x:c r="J22" s="8" t="n">
        <x:v>0.2648292323263254</x:v>
      </x:c>
      <x:c r="K22" s="8" t="n">
        <x:v>0.2648292323263254</x:v>
      </x:c>
      <x:c r="L22" s="8" t="n">
        <x:v>0</x:v>
      </x:c>
      <x:c r="M22" s="7" t="n">
        <x:v>18.58180000272114</x:v>
      </x:c>
      <x:c r="N22" s="2" t="str">
        <x:v>repository_particle_dynamics_on_frozen_qubo</x:v>
      </x:c>
      <x:c r="O22" s="9" t="str">
        <x:v>00110001</x:v>
      </x:c>
    </x:row>
    <x:row r="23" ht="18" customHeight="1">
      <x:c r="A23" s="2" t="str">
        <x:v>legacy_n4_02</x:v>
      </x:c>
      <x:c r="B23" s="2" t="str">
        <x:v>QAOA</x:v>
      </x:c>
      <x:c r="C23" s="2" t="n">
        <x:v>456</x:v>
      </x:c>
      <x:c r="D23" s="2" t="str">
        <x:v>success</x:v>
      </x:c>
      <x:c r="E23" s="2" t="n">
        <x:v>8</x:v>
      </x:c>
      <x:c r="F23" s="7" t="n">
        <x:v>82.53888888888889</x:v>
      </x:c>
      <x:c r="G23" s="7" t="n">
        <x:v>72.99090909090908</x:v>
      </x:c>
      <x:c r="H23" s="7" t="n">
        <x:f>IF(F23=0,"n.a.",100*(F23-G23)/F23)</x:f>
        <x:v>11.567855984629231</x:v>
      </x:c>
      <x:c r="I23" s="7" t="n">
        <x:f>F23-G23</x:f>
        <x:v>9.547979797979806</x:v>
      </x:c>
      <x:c r="J23" s="8" t="n">
        <x:v>0.2648292323263254</x:v>
      </x:c>
      <x:c r="K23" s="8" t="n">
        <x:v>0.2648292323263254</x:v>
      </x:c>
      <x:c r="L23" s="8" t="n">
        <x:v>0</x:v>
      </x:c>
      <x:c r="M23" s="7" t="n">
        <x:v>529.3254999996861</x:v>
      </x:c>
      <x:c r="N23" s="2" t="str">
        <x:v>qiskit.primitives.StatevectorSampler</x:v>
      </x:c>
      <x:c r="O23" s="9" t="str">
        <x:v>10101000</x:v>
      </x:c>
    </x:row>
    <x:row r="24" ht="18" customHeight="1">
      <x:c r="A24" s="2" t="str">
        <x:v>legacy_n4_02</x:v>
      </x:c>
      <x:c r="B24" s="2" t="str">
        <x:v>BPSO</x:v>
      </x:c>
      <x:c r="C24" s="2" t="n">
        <x:v>789</x:v>
      </x:c>
      <x:c r="D24" s="2" t="str">
        <x:v>success</x:v>
      </x:c>
      <x:c r="E24" s="2" t="n">
        <x:v>8</x:v>
      </x:c>
      <x:c r="F24" s="7" t="n">
        <x:v>82.53888888888889</x:v>
      </x:c>
      <x:c r="G24" s="7" t="n">
        <x:v>72.99090909090908</x:v>
      </x:c>
      <x:c r="H24" s="7" t="n">
        <x:f>IF(F24=0,"n.a.",100*(F24-G24)/F24)</x:f>
        <x:v>11.567855984629231</x:v>
      </x:c>
      <x:c r="I24" s="7" t="n">
        <x:f>F24-G24</x:f>
        <x:v>9.547979797979806</x:v>
      </x:c>
      <x:c r="J24" s="8" t="n">
        <x:v>0.2648292323263254</x:v>
      </x:c>
      <x:c r="K24" s="8" t="n">
        <x:v>0.2648292323263254</x:v>
      </x:c>
      <x:c r="L24" s="8" t="n">
        <x:v>0</x:v>
      </x:c>
      <x:c r="M24" s="7" t="n">
        <x:v>18.322800009627827</x:v>
      </x:c>
      <x:c r="N24" s="2" t="str">
        <x:v>repository_particle_dynamics_on_frozen_qubo</x:v>
      </x:c>
      <x:c r="O24" s="9" t="str">
        <x:v>11001000</x:v>
      </x:c>
    </x:row>
    <x:row r="25" ht="18" customHeight="1">
      <x:c r="A25" s="2" t="str">
        <x:v>legacy_n4_02</x:v>
      </x:c>
      <x:c r="B25" s="2" t="str">
        <x:v>QAOA</x:v>
      </x:c>
      <x:c r="C25" s="2" t="n">
        <x:v>789</x:v>
      </x:c>
      <x:c r="D25" s="2" t="str">
        <x:v>success</x:v>
      </x:c>
      <x:c r="E25" s="2" t="n">
        <x:v>8</x:v>
      </x:c>
      <x:c r="F25" s="7" t="n">
        <x:v>82.53888888888889</x:v>
      </x:c>
      <x:c r="G25" s="7" t="n">
        <x:v>72.99090909090908</x:v>
      </x:c>
      <x:c r="H25" s="7" t="n">
        <x:f>IF(F25=0,"n.a.",100*(F25-G25)/F25)</x:f>
        <x:v>11.567855984629231</x:v>
      </x:c>
      <x:c r="I25" s="7" t="n">
        <x:f>F25-G25</x:f>
        <x:v>9.547979797979806</x:v>
      </x:c>
      <x:c r="J25" s="8" t="n">
        <x:v>0.2648292323263254</x:v>
      </x:c>
      <x:c r="K25" s="8" t="n">
        <x:v>0.2648292323263254</x:v>
      </x:c>
      <x:c r="L25" s="8" t="n">
        <x:v>0</x:v>
      </x:c>
      <x:c r="M25" s="7" t="n">
        <x:v>440.73490001028404</x:v>
      </x:c>
      <x:c r="N25" s="2" t="str">
        <x:v>qiskit.primitives.StatevectorSampler</x:v>
      </x:c>
      <x:c r="O25" s="9" t="str">
        <x:v>10100100</x:v>
      </x:c>
    </x:row>
    <x:row r="26" ht="18" customHeight="1">
      <x:c r="A26" s="2" t="str">
        <x:v>legacy_n4_02</x:v>
      </x:c>
      <x:c r="B26" s="2" t="str">
        <x:v>BPSO</x:v>
      </x:c>
      <x:c r="C26" s="2" t="n">
        <x:v>2026</x:v>
      </x:c>
      <x:c r="D26" s="2" t="str">
        <x:v>success</x:v>
      </x:c>
      <x:c r="E26" s="2" t="n">
        <x:v>8</x:v>
      </x:c>
      <x:c r="F26" s="7" t="n">
        <x:v>82.53888888888889</x:v>
      </x:c>
      <x:c r="G26" s="7" t="n">
        <x:v>72.99090909090908</x:v>
      </x:c>
      <x:c r="H26" s="7" t="n">
        <x:f>IF(F26=0,"n.a.",100*(F26-G26)/F26)</x:f>
        <x:v>11.567855984629231</x:v>
      </x:c>
      <x:c r="I26" s="7" t="n">
        <x:f>F26-G26</x:f>
        <x:v>9.547979797979806</x:v>
      </x:c>
      <x:c r="J26" s="8" t="n">
        <x:v>0.2648292323263254</x:v>
      </x:c>
      <x:c r="K26" s="8" t="n">
        <x:v>0.2648292323263254</x:v>
      </x:c>
      <x:c r="L26" s="8" t="n">
        <x:v>0</x:v>
      </x:c>
      <x:c r="M26" s="7" t="n">
        <x:v>18.134400001144968</x:v>
      </x:c>
      <x:c r="N26" s="2" t="str">
        <x:v>repository_particle_dynamics_on_frozen_qubo</x:v>
      </x:c>
      <x:c r="O26" s="9" t="str">
        <x:v>10010010</x:v>
      </x:c>
    </x:row>
    <x:row r="27" ht="18" customHeight="1">
      <x:c r="A27" s="2" t="str">
        <x:v>legacy_n4_02</x:v>
      </x:c>
      <x:c r="B27" s="2" t="str">
        <x:v>QAOA</x:v>
      </x:c>
      <x:c r="C27" s="2" t="n">
        <x:v>2026</x:v>
      </x:c>
      <x:c r="D27" s="2" t="str">
        <x:v>success</x:v>
      </x:c>
      <x:c r="E27" s="2" t="n">
        <x:v>8</x:v>
      </x:c>
      <x:c r="F27" s="7" t="n">
        <x:v>82.53888888888889</x:v>
      </x:c>
      <x:c r="G27" s="7" t="n">
        <x:v>72.99090909090908</x:v>
      </x:c>
      <x:c r="H27" s="7" t="n">
        <x:f>IF(F27=0,"n.a.",100*(F27-G27)/F27)</x:f>
        <x:v>11.567855984629231</x:v>
      </x:c>
      <x:c r="I27" s="7" t="n">
        <x:f>F27-G27</x:f>
        <x:v>9.547979797979806</x:v>
      </x:c>
      <x:c r="J27" s="8" t="n">
        <x:v>0.2648292323263254</x:v>
      </x:c>
      <x:c r="K27" s="8" t="n">
        <x:v>0.2648292323263254</x:v>
      </x:c>
      <x:c r="L27" s="8" t="n">
        <x:v>0</x:v>
      </x:c>
      <x:c r="M27" s="7" t="n">
        <x:v>461.75420000508893</x:v>
      </x:c>
      <x:c r="N27" s="2" t="str">
        <x:v>qiskit.primitives.StatevectorSampler</x:v>
      </x:c>
      <x:c r="O27" s="9" t="str">
        <x:v>01100100</x:v>
      </x:c>
    </x:row>
    <x:row r="28" ht="18" customHeight="1">
      <x:c r="A28" s="2" t="str">
        <x:v>legacy_n4_03</x:v>
      </x:c>
      <x:c r="B28" s="2" t="str">
        <x:v>Unmanaged</x:v>
      </x:c>
      <x:c r="C28" s="2"/>
      <x:c r="D28" s="2" t="str">
        <x:v>baseline</x:v>
      </x:c>
      <x:c r="E28" s="2" t="n">
        <x:v>6</x:v>
      </x:c>
      <x:c r="F28" s="7" t="n">
        <x:v>78.26428571428572</x:v>
      </x:c>
      <x:c r="G28" s="7" t="n">
        <x:v>78.26428571428572</x:v>
      </x:c>
      <x:c r="H28" s="7" t="n">
        <x:f>IF(F28=0,"n.a.",100*(F28-G28)/F28)</x:f>
        <x:v>0</x:v>
      </x:c>
      <x:c r="I28" s="7" t="n">
        <x:f>F28-G28</x:f>
        <x:v>0</x:v>
      </x:c>
      <x:c r="J28" s="8"/>
      <x:c r="K28" s="8" t="n">
        <x:v>0.06982982098525717</x:v>
      </x:c>
      <x:c r="L28" s="8"/>
      <x:c r="M28" s="7"/>
      <x:c r="N28" s="2" t="str">
        <x:v>unmanaged_input</x:v>
      </x:c>
      <x:c r="O28" s="9"/>
    </x:row>
    <x:row r="29" ht="18" customHeight="1">
      <x:c r="A29" s="2" t="str">
        <x:v>legacy_n4_03</x:v>
      </x:c>
      <x:c r="B29" s="2" t="str">
        <x:v>Exact J</x:v>
      </x:c>
      <x:c r="C29" s="2"/>
      <x:c r="D29" s="2" t="str">
        <x:v>success</x:v>
      </x:c>
      <x:c r="E29" s="2" t="n">
        <x:v>6</x:v>
      </x:c>
      <x:c r="F29" s="7" t="n">
        <x:v>78.26428571428572</x:v>
      </x:c>
      <x:c r="G29" s="7" t="n">
        <x:v>60.112500000000004</x:v>
      </x:c>
      <x:c r="H29" s="7" t="n">
        <x:f>IF(F29=0,"n.a.",100*(F29-G29)/F29)</x:f>
        <x:v>23.192936022633933</x:v>
      </x:c>
      <x:c r="I29" s="7" t="n">
        <x:f>F29-G29</x:f>
        <x:v>18.151785714285715</x:v>
      </x:c>
      <x:c r="J29" s="8" t="n">
        <x:v>0.06982982098525717</x:v>
      </x:c>
      <x:c r="K29" s="8" t="n">
        <x:v>0.06982982098525717</x:v>
      </x:c>
      <x:c r="L29" s="8" t="n">
        <x:v>0</x:v>
      </x:c>
      <x:c r="M29" s="7"/>
      <x:c r="N29" s="2" t="str">
        <x:v>exhaustive_enumeration</x:v>
      </x:c>
      <x:c r="O29" s="9" t="str">
        <x:v>001001</x:v>
      </x:c>
    </x:row>
    <x:row r="30" ht="18" customHeight="1">
      <x:c r="A30" s="2" t="str">
        <x:v>legacy_n4_03</x:v>
      </x:c>
      <x:c r="B30" s="2" t="str">
        <x:v>Exact peak</x:v>
      </x:c>
      <x:c r="C30" s="2"/>
      <x:c r="D30" s="2" t="str">
        <x:v>success</x:v>
      </x:c>
      <x:c r="E30" s="2" t="n">
        <x:v>6</x:v>
      </x:c>
      <x:c r="F30" s="7" t="n">
        <x:v>78.26428571428572</x:v>
      </x:c>
      <x:c r="G30" s="7" t="n">
        <x:v>60.112500000000004</x:v>
      </x:c>
      <x:c r="H30" s="7" t="n">
        <x:f>IF(F30=0,"n.a.",100*(F30-G30)/F30)</x:f>
        <x:v>23.192936022633933</x:v>
      </x:c>
      <x:c r="I30" s="7" t="n">
        <x:f>F30-G30</x:f>
        <x:v>18.151785714285715</x:v>
      </x:c>
      <x:c r="J30" s="8" t="n">
        <x:v>0.06982982098525717</x:v>
      </x:c>
      <x:c r="K30" s="8" t="n">
        <x:v>0.06982982098525717</x:v>
      </x:c>
      <x:c r="L30" s="8" t="n">
        <x:v>0</x:v>
      </x:c>
      <x:c r="M30" s="7"/>
      <x:c r="N30" s="2" t="str">
        <x:v>exhaustive_enumeration</x:v>
      </x:c>
      <x:c r="O30" s="9" t="str">
        <x:v>001001</x:v>
      </x:c>
    </x:row>
    <x:row r="31" ht="18" customHeight="1">
      <x:c r="A31" s="2" t="str">
        <x:v>legacy_n4_03</x:v>
      </x:c>
      <x:c r="B31" s="2" t="str">
        <x:v>BPSO</x:v>
      </x:c>
      <x:c r="C31" s="2" t="n">
        <x:v>42</x:v>
      </x:c>
      <x:c r="D31" s="2" t="str">
        <x:v>success</x:v>
      </x:c>
      <x:c r="E31" s="2" t="n">
        <x:v>6</x:v>
      </x:c>
      <x:c r="F31" s="7" t="n">
        <x:v>78.26428571428572</x:v>
      </x:c>
      <x:c r="G31" s="7" t="n">
        <x:v>60.112500000000004</x:v>
      </x:c>
      <x:c r="H31" s="7" t="n">
        <x:f>IF(F31=0,"n.a.",100*(F31-G31)/F31)</x:f>
        <x:v>23.192936022633933</x:v>
      </x:c>
      <x:c r="I31" s="7" t="n">
        <x:f>F31-G31</x:f>
        <x:v>18.151785714285715</x:v>
      </x:c>
      <x:c r="J31" s="8" t="n">
        <x:v>0.06982982098525717</x:v>
      </x:c>
      <x:c r="K31" s="8" t="n">
        <x:v>0.06982982098525717</x:v>
      </x:c>
      <x:c r="L31" s="8" t="n">
        <x:v>0</x:v>
      </x:c>
      <x:c r="M31" s="7" t="n">
        <x:v>15.587800007779151</x:v>
      </x:c>
      <x:c r="N31" s="2" t="str">
        <x:v>repository_particle_dynamics_on_frozen_qubo</x:v>
      </x:c>
      <x:c r="O31" s="9" t="str">
        <x:v>100001</x:v>
      </x:c>
    </x:row>
    <x:row r="32" ht="18" customHeight="1">
      <x:c r="A32" s="2" t="str">
        <x:v>legacy_n4_03</x:v>
      </x:c>
      <x:c r="B32" s="2" t="str">
        <x:v>QAOA</x:v>
      </x:c>
      <x:c r="C32" s="2" t="n">
        <x:v>42</x:v>
      </x:c>
      <x:c r="D32" s="2" t="str">
        <x:v>success</x:v>
      </x:c>
      <x:c r="E32" s="2" t="n">
        <x:v>6</x:v>
      </x:c>
      <x:c r="F32" s="7" t="n">
        <x:v>78.26428571428572</x:v>
      </x:c>
      <x:c r="G32" s="7" t="n">
        <x:v>60.112500000000004</x:v>
      </x:c>
      <x:c r="H32" s="7" t="n">
        <x:f>IF(F32=0,"n.a.",100*(F32-G32)/F32)</x:f>
        <x:v>23.192936022633933</x:v>
      </x:c>
      <x:c r="I32" s="7" t="n">
        <x:f>F32-G32</x:f>
        <x:v>18.151785714285715</x:v>
      </x:c>
      <x:c r="J32" s="8" t="n">
        <x:v>0.06982982098525717</x:v>
      </x:c>
      <x:c r="K32" s="8" t="n">
        <x:v>0.06982982098525717</x:v>
      </x:c>
      <x:c r="L32" s="8" t="n">
        <x:v>0</x:v>
      </x:c>
      <x:c r="M32" s="7" t="n">
        <x:v>257.8474999900209</x:v>
      </x:c>
      <x:c r="N32" s="2" t="str">
        <x:v>qiskit.primitives.StatevectorSampler</x:v>
      </x:c>
      <x:c r="O32" s="9" t="str">
        <x:v>100100</x:v>
      </x:c>
    </x:row>
    <x:row r="33" ht="18" customHeight="1">
      <x:c r="A33" s="2" t="str">
        <x:v>legacy_n4_03</x:v>
      </x:c>
      <x:c r="B33" s="2" t="str">
        <x:v>BPSO</x:v>
      </x:c>
      <x:c r="C33" s="2" t="n">
        <x:v>123</x:v>
      </x:c>
      <x:c r="D33" s="2" t="str">
        <x:v>success</x:v>
      </x:c>
      <x:c r="E33" s="2" t="n">
        <x:v>6</x:v>
      </x:c>
      <x:c r="F33" s="7" t="n">
        <x:v>78.26428571428572</x:v>
      </x:c>
      <x:c r="G33" s="7" t="n">
        <x:v>60.112500000000004</x:v>
      </x:c>
      <x:c r="H33" s="7" t="n">
        <x:f>IF(F33=0,"n.a.",100*(F33-G33)/F33)</x:f>
        <x:v>23.192936022633933</x:v>
      </x:c>
      <x:c r="I33" s="7" t="n">
        <x:f>F33-G33</x:f>
        <x:v>18.151785714285715</x:v>
      </x:c>
      <x:c r="J33" s="8" t="n">
        <x:v>0.06982982098525717</x:v>
      </x:c>
      <x:c r="K33" s="8" t="n">
        <x:v>0.06982982098525717</x:v>
      </x:c>
      <x:c r="L33" s="8" t="n">
        <x:v>0</x:v>
      </x:c>
      <x:c r="M33" s="7" t="n">
        <x:v>15.748899997561239</x:v>
      </x:c>
      <x:c r="N33" s="2" t="str">
        <x:v>repository_particle_dynamics_on_frozen_qubo</x:v>
      </x:c>
      <x:c r="O33" s="9" t="str">
        <x:v>100001</x:v>
      </x:c>
    </x:row>
    <x:row r="34" ht="18" customHeight="1">
      <x:c r="A34" s="2" t="str">
        <x:v>legacy_n4_03</x:v>
      </x:c>
      <x:c r="B34" s="2" t="str">
        <x:v>QAOA</x:v>
      </x:c>
      <x:c r="C34" s="2" t="n">
        <x:v>123</x:v>
      </x:c>
      <x:c r="D34" s="2" t="str">
        <x:v>success</x:v>
      </x:c>
      <x:c r="E34" s="2" t="n">
        <x:v>6</x:v>
      </x:c>
      <x:c r="F34" s="7" t="n">
        <x:v>78.26428571428572</x:v>
      </x:c>
      <x:c r="G34" s="7" t="n">
        <x:v>60.112500000000004</x:v>
      </x:c>
      <x:c r="H34" s="7" t="n">
        <x:f>IF(F34=0,"n.a.",100*(F34-G34)/F34)</x:f>
        <x:v>23.192936022633933</x:v>
      </x:c>
      <x:c r="I34" s="7" t="n">
        <x:f>F34-G34</x:f>
        <x:v>18.151785714285715</x:v>
      </x:c>
      <x:c r="J34" s="8" t="n">
        <x:v>0.06982982098525717</x:v>
      </x:c>
      <x:c r="K34" s="8" t="n">
        <x:v>0.06982982098525717</x:v>
      </x:c>
      <x:c r="L34" s="8" t="n">
        <x:v>0</x:v>
      </x:c>
      <x:c r="M34" s="7" t="n">
        <x:v>343.3884999976726</x:v>
      </x:c>
      <x:c r="N34" s="2" t="str">
        <x:v>qiskit.primitives.StatevectorSampler</x:v>
      </x:c>
      <x:c r="O34" s="9" t="str">
        <x:v>001100</x:v>
      </x:c>
    </x:row>
    <x:row r="35" ht="18" customHeight="1">
      <x:c r="A35" s="2" t="str">
        <x:v>legacy_n4_03</x:v>
      </x:c>
      <x:c r="B35" s="2" t="str">
        <x:v>BPSO</x:v>
      </x:c>
      <x:c r="C35" s="2" t="n">
        <x:v>456</x:v>
      </x:c>
      <x:c r="D35" s="2" t="str">
        <x:v>success</x:v>
      </x:c>
      <x:c r="E35" s="2" t="n">
        <x:v>6</x:v>
      </x:c>
      <x:c r="F35" s="7" t="n">
        <x:v>78.26428571428572</x:v>
      </x:c>
      <x:c r="G35" s="7" t="n">
        <x:v>60.112500000000004</x:v>
      </x:c>
      <x:c r="H35" s="7" t="n">
        <x:f>IF(F35=0,"n.a.",100*(F35-G35)/F35)</x:f>
        <x:v>23.192936022633933</x:v>
      </x:c>
      <x:c r="I35" s="7" t="n">
        <x:f>F35-G35</x:f>
        <x:v>18.151785714285715</x:v>
      </x:c>
      <x:c r="J35" s="8" t="n">
        <x:v>0.06982982098525717</x:v>
      </x:c>
      <x:c r="K35" s="8" t="n">
        <x:v>0.06982982098525717</x:v>
      </x:c>
      <x:c r="L35" s="8" t="n">
        <x:v>0</x:v>
      </x:c>
      <x:c r="M35" s="7" t="n">
        <x:v>15.388300002086908</x:v>
      </x:c>
      <x:c r="N35" s="2" t="str">
        <x:v>repository_particle_dynamics_on_frozen_qubo</x:v>
      </x:c>
      <x:c r="O35" s="9" t="str">
        <x:v>001100</x:v>
      </x:c>
    </x:row>
    <x:row r="36" ht="18" customHeight="1">
      <x:c r="A36" s="2" t="str">
        <x:v>legacy_n4_03</x:v>
      </x:c>
      <x:c r="B36" s="2" t="str">
        <x:v>QAOA</x:v>
      </x:c>
      <x:c r="C36" s="2" t="n">
        <x:v>456</x:v>
      </x:c>
      <x:c r="D36" s="2" t="str">
        <x:v>success</x:v>
      </x:c>
      <x:c r="E36" s="2" t="n">
        <x:v>6</x:v>
      </x:c>
      <x:c r="F36" s="7" t="n">
        <x:v>78.26428571428572</x:v>
      </x:c>
      <x:c r="G36" s="7" t="n">
        <x:v>60.112500000000004</x:v>
      </x:c>
      <x:c r="H36" s="7" t="n">
        <x:f>IF(F36=0,"n.a.",100*(F36-G36)/F36)</x:f>
        <x:v>23.192936022633933</x:v>
      </x:c>
      <x:c r="I36" s="7" t="n">
        <x:f>F36-G36</x:f>
        <x:v>18.151785714285715</x:v>
      </x:c>
      <x:c r="J36" s="8" t="n">
        <x:v>0.06982982098525717</x:v>
      </x:c>
      <x:c r="K36" s="8" t="n">
        <x:v>0.06982982098525717</x:v>
      </x:c>
      <x:c r="L36" s="8" t="n">
        <x:v>0</x:v>
      </x:c>
      <x:c r="M36" s="7" t="n">
        <x:v>224.53870000026654</x:v>
      </x:c>
      <x:c r="N36" s="2" t="str">
        <x:v>qiskit.primitives.StatevectorSampler</x:v>
      </x:c>
      <x:c r="O36" s="9" t="str">
        <x:v>100100</x:v>
      </x:c>
    </x:row>
    <x:row r="37" ht="18" customHeight="1">
      <x:c r="A37" s="2" t="str">
        <x:v>legacy_n4_03</x:v>
      </x:c>
      <x:c r="B37" s="2" t="str">
        <x:v>BPSO</x:v>
      </x:c>
      <x:c r="C37" s="2" t="n">
        <x:v>789</x:v>
      </x:c>
      <x:c r="D37" s="2" t="str">
        <x:v>success</x:v>
      </x:c>
      <x:c r="E37" s="2" t="n">
        <x:v>6</x:v>
      </x:c>
      <x:c r="F37" s="7" t="n">
        <x:v>78.26428571428572</x:v>
      </x:c>
      <x:c r="G37" s="7" t="n">
        <x:v>60.112500000000004</x:v>
      </x:c>
      <x:c r="H37" s="7" t="n">
        <x:f>IF(F37=0,"n.a.",100*(F37-G37)/F37)</x:f>
        <x:v>23.192936022633933</x:v>
      </x:c>
      <x:c r="I37" s="7" t="n">
        <x:f>F37-G37</x:f>
        <x:v>18.151785714285715</x:v>
      </x:c>
      <x:c r="J37" s="8" t="n">
        <x:v>0.06982982098525717</x:v>
      </x:c>
      <x:c r="K37" s="8" t="n">
        <x:v>0.06982982098525717</x:v>
      </x:c>
      <x:c r="L37" s="8" t="n">
        <x:v>0</x:v>
      </x:c>
      <x:c r="M37" s="7" t="n">
        <x:v>15.53540000168141</x:v>
      </x:c>
      <x:c r="N37" s="2" t="str">
        <x:v>repository_particle_dynamics_on_frozen_qubo</x:v>
      </x:c>
      <x:c r="O37" s="9" t="str">
        <x:v>001001</x:v>
      </x:c>
    </x:row>
    <x:row r="38" ht="18" customHeight="1">
      <x:c r="A38" s="2" t="str">
        <x:v>legacy_n4_03</x:v>
      </x:c>
      <x:c r="B38" s="2" t="str">
        <x:v>QAOA</x:v>
      </x:c>
      <x:c r="C38" s="2" t="n">
        <x:v>789</x:v>
      </x:c>
      <x:c r="D38" s="2" t="str">
        <x:v>success</x:v>
      </x:c>
      <x:c r="E38" s="2" t="n">
        <x:v>6</x:v>
      </x:c>
      <x:c r="F38" s="7" t="n">
        <x:v>78.26428571428572</x:v>
      </x:c>
      <x:c r="G38" s="7" t="n">
        <x:v>60.112500000000004</x:v>
      </x:c>
      <x:c r="H38" s="7" t="n">
        <x:f>IF(F38=0,"n.a.",100*(F38-G38)/F38)</x:f>
        <x:v>23.192936022633933</x:v>
      </x:c>
      <x:c r="I38" s="7" t="n">
        <x:f>F38-G38</x:f>
        <x:v>18.151785714285715</x:v>
      </x:c>
      <x:c r="J38" s="8" t="n">
        <x:v>0.06982982098525717</x:v>
      </x:c>
      <x:c r="K38" s="8" t="n">
        <x:v>0.06982982098525717</x:v>
      </x:c>
      <x:c r="L38" s="8" t="n">
        <x:v>0</x:v>
      </x:c>
      <x:c r="M38" s="7" t="n">
        <x:v>218.86349999113008</x:v>
      </x:c>
      <x:c r="N38" s="2" t="str">
        <x:v>qiskit.primitives.StatevectorSampler</x:v>
      </x:c>
      <x:c r="O38" s="9" t="str">
        <x:v>010100</x:v>
      </x:c>
    </x:row>
    <x:row r="39" ht="18" customHeight="1">
      <x:c r="A39" s="2" t="str">
        <x:v>legacy_n4_03</x:v>
      </x:c>
      <x:c r="B39" s="2" t="str">
        <x:v>BPSO</x:v>
      </x:c>
      <x:c r="C39" s="2" t="n">
        <x:v>2026</x:v>
      </x:c>
      <x:c r="D39" s="2" t="str">
        <x:v>success</x:v>
      </x:c>
      <x:c r="E39" s="2" t="n">
        <x:v>6</x:v>
      </x:c>
      <x:c r="F39" s="7" t="n">
        <x:v>78.26428571428572</x:v>
      </x:c>
      <x:c r="G39" s="7" t="n">
        <x:v>60.112500000000004</x:v>
      </x:c>
      <x:c r="H39" s="7" t="n">
        <x:f>IF(F39=0,"n.a.",100*(F39-G39)/F39)</x:f>
        <x:v>23.192936022633933</x:v>
      </x:c>
      <x:c r="I39" s="7" t="n">
        <x:f>F39-G39</x:f>
        <x:v>18.151785714285715</x:v>
      </x:c>
      <x:c r="J39" s="8" t="n">
        <x:v>0.06982982098525717</x:v>
      </x:c>
      <x:c r="K39" s="8" t="n">
        <x:v>0.06982982098525717</x:v>
      </x:c>
      <x:c r="L39" s="8" t="n">
        <x:v>0</x:v>
      </x:c>
      <x:c r="M39" s="7" t="n">
        <x:v>16.686199989635497</x:v>
      </x:c>
      <x:c r="N39" s="2" t="str">
        <x:v>repository_particle_dynamics_on_frozen_qubo</x:v>
      </x:c>
      <x:c r="O39" s="9" t="str">
        <x:v>010001</x:v>
      </x:c>
    </x:row>
    <x:row r="40" ht="18" customHeight="1">
      <x:c r="A40" s="2" t="str">
        <x:v>legacy_n4_03</x:v>
      </x:c>
      <x:c r="B40" s="2" t="str">
        <x:v>QAOA</x:v>
      </x:c>
      <x:c r="C40" s="2" t="n">
        <x:v>2026</x:v>
      </x:c>
      <x:c r="D40" s="2" t="str">
        <x:v>success</x:v>
      </x:c>
      <x:c r="E40" s="2" t="n">
        <x:v>6</x:v>
      </x:c>
      <x:c r="F40" s="7" t="n">
        <x:v>78.26428571428572</x:v>
      </x:c>
      <x:c r="G40" s="7" t="n">
        <x:v>60.112500000000004</x:v>
      </x:c>
      <x:c r="H40" s="7" t="n">
        <x:f>IF(F40=0,"n.a.",100*(F40-G40)/F40)</x:f>
        <x:v>23.192936022633933</x:v>
      </x:c>
      <x:c r="I40" s="7" t="n">
        <x:f>F40-G40</x:f>
        <x:v>18.151785714285715</x:v>
      </x:c>
      <x:c r="J40" s="8" t="n">
        <x:v>0.06982982098525717</x:v>
      </x:c>
      <x:c r="K40" s="8" t="n">
        <x:v>0.06982982098525717</x:v>
      </x:c>
      <x:c r="L40" s="8" t="n">
        <x:v>0</x:v>
      </x:c>
      <x:c r="M40" s="7" t="n">
        <x:v>324.45189999998547</x:v>
      </x:c>
      <x:c r="N40" s="2" t="str">
        <x:v>qiskit.primitives.StatevectorSampler</x:v>
      </x:c>
      <x:c r="O40" s="9" t="str">
        <x:v>010100</x:v>
      </x:c>
    </x:row>
    <x:row r="41" ht="18" customHeight="1">
      <x:c r="A41" s="2" t="str">
        <x:v>legacy_n4_04</x:v>
      </x:c>
      <x:c r="B41" s="2" t="str">
        <x:v>Unmanaged</x:v>
      </x:c>
      <x:c r="C41" s="2"/>
      <x:c r="D41" s="2" t="str">
        <x:v>baseline</x:v>
      </x:c>
      <x:c r="E41" s="2" t="n">
        <x:v>9</x:v>
      </x:c>
      <x:c r="F41" s="7" t="n">
        <x:v>85.25555555555555</x:v>
      </x:c>
      <x:c r="G41" s="7" t="n">
        <x:v>85.25555555555555</x:v>
      </x:c>
      <x:c r="H41" s="7" t="n">
        <x:f>IF(F41=0,"n.a.",100*(F41-G41)/F41)</x:f>
        <x:v>0</x:v>
      </x:c>
      <x:c r="I41" s="7" t="n">
        <x:f>F41-G41</x:f>
        <x:v>0</x:v>
      </x:c>
      <x:c r="J41" s="8"/>
      <x:c r="K41" s="8" t="n">
        <x:v>0.46874136157658475</x:v>
      </x:c>
      <x:c r="L41" s="8"/>
      <x:c r="M41" s="7"/>
      <x:c r="N41" s="2" t="str">
        <x:v>unmanaged_input</x:v>
      </x:c>
      <x:c r="O41" s="9"/>
    </x:row>
    <x:row r="42" ht="18" customHeight="1">
      <x:c r="A42" s="2" t="str">
        <x:v>legacy_n4_04</x:v>
      </x:c>
      <x:c r="B42" s="2" t="str">
        <x:v>Exact J</x:v>
      </x:c>
      <x:c r="C42" s="2"/>
      <x:c r="D42" s="2" t="str">
        <x:v>success</x:v>
      </x:c>
      <x:c r="E42" s="2" t="n">
        <x:v>9</x:v>
      </x:c>
      <x:c r="F42" s="7" t="n">
        <x:v>85.25555555555555</x:v>
      </x:c>
      <x:c r="G42" s="7" t="n">
        <x:v>73.82105263157894</x:v>
      </x:c>
      <x:c r="H42" s="7" t="n">
        <x:f>IF(F42=0,"n.a.",100*(F42-G42)/F42)</x:f>
        <x:v>13.412032622936204</x:v>
      </x:c>
      <x:c r="I42" s="7" t="n">
        <x:f>F42-G42</x:f>
        <x:v>11.43450292397661</x:v>
      </x:c>
      <x:c r="J42" s="8" t="n">
        <x:v>0.46874136157658475</x:v>
      </x:c>
      <x:c r="K42" s="8" t="n">
        <x:v>0.46874136157658475</x:v>
      </x:c>
      <x:c r="L42" s="8" t="n">
        <x:v>0</x:v>
      </x:c>
      <x:c r="M42" s="7"/>
      <x:c r="N42" s="2" t="str">
        <x:v>exhaustive_enumeration</x:v>
      </x:c>
      <x:c r="O42" s="9" t="str">
        <x:v>001100111</x:v>
      </x:c>
    </x:row>
    <x:row r="43" ht="18" customHeight="1">
      <x:c r="A43" s="2" t="str">
        <x:v>legacy_n4_04</x:v>
      </x:c>
      <x:c r="B43" s="2" t="str">
        <x:v>Exact peak</x:v>
      </x:c>
      <x:c r="C43" s="2"/>
      <x:c r="D43" s="2" t="str">
        <x:v>success</x:v>
      </x:c>
      <x:c r="E43" s="2" t="n">
        <x:v>9</x:v>
      </x:c>
      <x:c r="F43" s="7" t="n">
        <x:v>85.25555555555555</x:v>
      </x:c>
      <x:c r="G43" s="7" t="n">
        <x:v>73.82105263157894</x:v>
      </x:c>
      <x:c r="H43" s="7" t="n">
        <x:f>IF(F43=0,"n.a.",100*(F43-G43)/F43)</x:f>
        <x:v>13.412032622936204</x:v>
      </x:c>
      <x:c r="I43" s="7" t="n">
        <x:f>F43-G43</x:f>
        <x:v>11.43450292397661</x:v>
      </x:c>
      <x:c r="J43" s="8" t="n">
        <x:v>0.46874136157658475</x:v>
      </x:c>
      <x:c r="K43" s="8" t="n">
        <x:v>0.46874136157658475</x:v>
      </x:c>
      <x:c r="L43" s="8" t="n">
        <x:v>0</x:v>
      </x:c>
      <x:c r="M43" s="7"/>
      <x:c r="N43" s="2" t="str">
        <x:v>exhaustive_enumeration</x:v>
      </x:c>
      <x:c r="O43" s="9" t="str">
        <x:v>001100111</x:v>
      </x:c>
    </x:row>
    <x:row r="44" ht="18" customHeight="1">
      <x:c r="A44" s="2" t="str">
        <x:v>legacy_n4_04</x:v>
      </x:c>
      <x:c r="B44" s="2" t="str">
        <x:v>BPSO</x:v>
      </x:c>
      <x:c r="C44" s="2" t="n">
        <x:v>42</x:v>
      </x:c>
      <x:c r="D44" s="2" t="str">
        <x:v>success</x:v>
      </x:c>
      <x:c r="E44" s="2" t="n">
        <x:v>9</x:v>
      </x:c>
      <x:c r="F44" s="7" t="n">
        <x:v>85.25555555555555</x:v>
      </x:c>
      <x:c r="G44" s="7" t="n">
        <x:v>73.82105263157894</x:v>
      </x:c>
      <x:c r="H44" s="7" t="n">
        <x:f>IF(F44=0,"n.a.",100*(F44-G44)/F44)</x:f>
        <x:v>13.412032622936204</x:v>
      </x:c>
      <x:c r="I44" s="7" t="n">
        <x:f>F44-G44</x:f>
        <x:v>11.43450292397661</x:v>
      </x:c>
      <x:c r="J44" s="8" t="n">
        <x:v>0.46874136157658475</x:v>
      </x:c>
      <x:c r="K44" s="8" t="n">
        <x:v>0.46874136157658475</x:v>
      </x:c>
      <x:c r="L44" s="8" t="n">
        <x:v>0</x:v>
      </x:c>
      <x:c r="M44" s="7" t="n">
        <x:v>19.92009999230504</x:v>
      </x:c>
      <x:c r="N44" s="2" t="str">
        <x:v>repository_particle_dynamics_on_frozen_qubo</x:v>
      </x:c>
      <x:c r="O44" s="9" t="str">
        <x:v>011000111</x:v>
      </x:c>
    </x:row>
    <x:row r="45" ht="18" customHeight="1">
      <x:c r="A45" s="2" t="str">
        <x:v>legacy_n4_04</x:v>
      </x:c>
      <x:c r="B45" s="2" t="str">
        <x:v>QAOA</x:v>
      </x:c>
      <x:c r="C45" s="2" t="n">
        <x:v>42</x:v>
      </x:c>
      <x:c r="D45" s="2" t="str">
        <x:v>success</x:v>
      </x:c>
      <x:c r="E45" s="2" t="n">
        <x:v>9</x:v>
      </x:c>
      <x:c r="F45" s="7" t="n">
        <x:v>85.25555555555555</x:v>
      </x:c>
      <x:c r="G45" s="7" t="n">
        <x:v>73.82105263157894</x:v>
      </x:c>
      <x:c r="H45" s="7" t="n">
        <x:f>IF(F45=0,"n.a.",100*(F45-G45)/F45)</x:f>
        <x:v>13.412032622936204</x:v>
      </x:c>
      <x:c r="I45" s="7" t="n">
        <x:f>F45-G45</x:f>
        <x:v>11.43450292397661</x:v>
      </x:c>
      <x:c r="J45" s="8" t="n">
        <x:v>0.46874136157658475</x:v>
      </x:c>
      <x:c r="K45" s="8" t="n">
        <x:v>0.46874136157658475</x:v>
      </x:c>
      <x:c r="L45" s="8" t="n">
        <x:v>0</x:v>
      </x:c>
      <x:c r="M45" s="7" t="n">
        <x:v>766.5932999952929</x:v>
      </x:c>
      <x:c r="N45" s="2" t="str">
        <x:v>qiskit.primitives.StatevectorSampler</x:v>
      </x:c>
      <x:c r="O45" s="9" t="str">
        <x:v>010110110</x:v>
      </x:c>
    </x:row>
    <x:row r="46" ht="18" customHeight="1">
      <x:c r="A46" s="2" t="str">
        <x:v>legacy_n4_04</x:v>
      </x:c>
      <x:c r="B46" s="2" t="str">
        <x:v>BPSO</x:v>
      </x:c>
      <x:c r="C46" s="2" t="n">
        <x:v>123</x:v>
      </x:c>
      <x:c r="D46" s="2" t="str">
        <x:v>success</x:v>
      </x:c>
      <x:c r="E46" s="2" t="n">
        <x:v>9</x:v>
      </x:c>
      <x:c r="F46" s="7" t="n">
        <x:v>85.25555555555555</x:v>
      </x:c>
      <x:c r="G46" s="7" t="n">
        <x:v>73.82105263157894</x:v>
      </x:c>
      <x:c r="H46" s="7" t="n">
        <x:f>IF(F46=0,"n.a.",100*(F46-G46)/F46)</x:f>
        <x:v>13.412032622936204</x:v>
      </x:c>
      <x:c r="I46" s="7" t="n">
        <x:f>F46-G46</x:f>
        <x:v>11.43450292397661</x:v>
      </x:c>
      <x:c r="J46" s="8" t="n">
        <x:v>0.46874136157658475</x:v>
      </x:c>
      <x:c r="K46" s="8" t="n">
        <x:v>0.46874136157658475</x:v>
      </x:c>
      <x:c r="L46" s="8" t="n">
        <x:v>0</x:v>
      </x:c>
      <x:c r="M46" s="7" t="n">
        <x:v>19.754199995077215</x:v>
      </x:c>
      <x:c r="N46" s="2" t="str">
        <x:v>repository_particle_dynamics_on_frozen_qubo</x:v>
      </x:c>
      <x:c r="O46" s="9" t="str">
        <x:v>101001011</x:v>
      </x:c>
    </x:row>
    <x:row r="47" ht="18" customHeight="1">
      <x:c r="A47" s="2" t="str">
        <x:v>legacy_n4_04</x:v>
      </x:c>
      <x:c r="B47" s="2" t="str">
        <x:v>QAOA</x:v>
      </x:c>
      <x:c r="C47" s="2" t="n">
        <x:v>123</x:v>
      </x:c>
      <x:c r="D47" s="2" t="str">
        <x:v>success</x:v>
      </x:c>
      <x:c r="E47" s="2" t="n">
        <x:v>9</x:v>
      </x:c>
      <x:c r="F47" s="7" t="n">
        <x:v>85.25555555555555</x:v>
      </x:c>
      <x:c r="G47" s="7" t="n">
        <x:v>73.82105263157894</x:v>
      </x:c>
      <x:c r="H47" s="7" t="n">
        <x:f>IF(F47=0,"n.a.",100*(F47-G47)/F47)</x:f>
        <x:v>13.412032622936204</x:v>
      </x:c>
      <x:c r="I47" s="7" t="n">
        <x:f>F47-G47</x:f>
        <x:v>11.43450292397661</x:v>
      </x:c>
      <x:c r="J47" s="8" t="n">
        <x:v>0.46874136157658475</x:v>
      </x:c>
      <x:c r="K47" s="8" t="n">
        <x:v>0.46874136157658475</x:v>
      </x:c>
      <x:c r="L47" s="8" t="n">
        <x:v>0</x:v>
      </x:c>
      <x:c r="M47" s="7" t="n">
        <x:v>744.8723999987124</x:v>
      </x:c>
      <x:c r="N47" s="2" t="str">
        <x:v>qiskit.primitives.StatevectorSampler</x:v>
      </x:c>
      <x:c r="O47" s="9" t="str">
        <x:v>100111100</x:v>
      </x:c>
    </x:row>
    <x:row r="48" ht="18" customHeight="1">
      <x:c r="A48" s="2" t="str">
        <x:v>legacy_n4_04</x:v>
      </x:c>
      <x:c r="B48" s="2" t="str">
        <x:v>BPSO</x:v>
      </x:c>
      <x:c r="C48" s="2" t="n">
        <x:v>456</x:v>
      </x:c>
      <x:c r="D48" s="2" t="str">
        <x:v>success</x:v>
      </x:c>
      <x:c r="E48" s="2" t="n">
        <x:v>9</x:v>
      </x:c>
      <x:c r="F48" s="7" t="n">
        <x:v>85.25555555555555</x:v>
      </x:c>
      <x:c r="G48" s="7" t="n">
        <x:v>73.82105263157894</x:v>
      </x:c>
      <x:c r="H48" s="7" t="n">
        <x:f>IF(F48=0,"n.a.",100*(F48-G48)/F48)</x:f>
        <x:v>13.412032622936204</x:v>
      </x:c>
      <x:c r="I48" s="7" t="n">
        <x:f>F48-G48</x:f>
        <x:v>11.43450292397661</x:v>
      </x:c>
      <x:c r="J48" s="8" t="n">
        <x:v>0.46874136157658475</x:v>
      </x:c>
      <x:c r="K48" s="8" t="n">
        <x:v>0.46874136157658475</x:v>
      </x:c>
      <x:c r="L48" s="8" t="n">
        <x:v>0</x:v>
      </x:c>
      <x:c r="M48" s="7" t="n">
        <x:v>19.776499990257435</x:v>
      </x:c>
      <x:c r="N48" s="2" t="str">
        <x:v>repository_particle_dynamics_on_frozen_qubo</x:v>
      </x:c>
      <x:c r="O48" s="9" t="str">
        <x:v>001100111</x:v>
      </x:c>
    </x:row>
    <x:row r="49" ht="18" customHeight="1">
      <x:c r="A49" s="2" t="str">
        <x:v>legacy_n4_04</x:v>
      </x:c>
      <x:c r="B49" s="2" t="str">
        <x:v>QAOA</x:v>
      </x:c>
      <x:c r="C49" s="2" t="n">
        <x:v>456</x:v>
      </x:c>
      <x:c r="D49" s="2" t="str">
        <x:v>success</x:v>
      </x:c>
      <x:c r="E49" s="2" t="n">
        <x:v>9</x:v>
      </x:c>
      <x:c r="F49" s="7" t="n">
        <x:v>85.25555555555555</x:v>
      </x:c>
      <x:c r="G49" s="7" t="n">
        <x:v>73.82105263157894</x:v>
      </x:c>
      <x:c r="H49" s="7" t="n">
        <x:f>IF(F49=0,"n.a.",100*(F49-G49)/F49)</x:f>
        <x:v>13.412032622936204</x:v>
      </x:c>
      <x:c r="I49" s="7" t="n">
        <x:f>F49-G49</x:f>
        <x:v>11.43450292397661</x:v>
      </x:c>
      <x:c r="J49" s="8" t="n">
        <x:v>0.46874136157658475</x:v>
      </x:c>
      <x:c r="K49" s="8" t="n">
        <x:v>0.46874136157658475</x:v>
      </x:c>
      <x:c r="L49" s="8" t="n">
        <x:v>0</x:v>
      </x:c>
      <x:c r="M49" s="7" t="n">
        <x:v>616.5502999938326</x:v>
      </x:c>
      <x:c r="N49" s="2" t="str">
        <x:v>qiskit.primitives.StatevectorSampler</x:v>
      </x:c>
      <x:c r="O49" s="9" t="str">
        <x:v>101010110</x:v>
      </x:c>
    </x:row>
    <x:row r="50" ht="18" customHeight="1">
      <x:c r="A50" s="2" t="str">
        <x:v>legacy_n4_04</x:v>
      </x:c>
      <x:c r="B50" s="2" t="str">
        <x:v>BPSO</x:v>
      </x:c>
      <x:c r="C50" s="2" t="n">
        <x:v>789</x:v>
      </x:c>
      <x:c r="D50" s="2" t="str">
        <x:v>success</x:v>
      </x:c>
      <x:c r="E50" s="2" t="n">
        <x:v>9</x:v>
      </x:c>
      <x:c r="F50" s="7" t="n">
        <x:v>85.25555555555555</x:v>
      </x:c>
      <x:c r="G50" s="7" t="n">
        <x:v>73.82105263157894</x:v>
      </x:c>
      <x:c r="H50" s="7" t="n">
        <x:f>IF(F50=0,"n.a.",100*(F50-G50)/F50)</x:f>
        <x:v>13.412032622936204</x:v>
      </x:c>
      <x:c r="I50" s="7" t="n">
        <x:f>F50-G50</x:f>
        <x:v>11.43450292397661</x:v>
      </x:c>
      <x:c r="J50" s="8" t="n">
        <x:v>0.46874136157658475</x:v>
      </x:c>
      <x:c r="K50" s="8" t="n">
        <x:v>0.46874136157658475</x:v>
      </x:c>
      <x:c r="L50" s="8" t="n">
        <x:v>0</x:v>
      </x:c>
      <x:c r="M50" s="7" t="n">
        <x:v>20.183500004350208</x:v>
      </x:c>
      <x:c r="N50" s="2" t="str">
        <x:v>repository_particle_dynamics_on_frozen_qubo</x:v>
      </x:c>
      <x:c r="O50" s="9" t="str">
        <x:v>110010011</x:v>
      </x:c>
    </x:row>
    <x:row r="51" ht="18" customHeight="1">
      <x:c r="A51" s="2" t="str">
        <x:v>legacy_n4_04</x:v>
      </x:c>
      <x:c r="B51" s="2" t="str">
        <x:v>QAOA</x:v>
      </x:c>
      <x:c r="C51" s="2" t="n">
        <x:v>789</x:v>
      </x:c>
      <x:c r="D51" s="2" t="str">
        <x:v>success</x:v>
      </x:c>
      <x:c r="E51" s="2" t="n">
        <x:v>9</x:v>
      </x:c>
      <x:c r="F51" s="7" t="n">
        <x:v>85.25555555555555</x:v>
      </x:c>
      <x:c r="G51" s="7" t="n">
        <x:v>73.82105263157894</x:v>
      </x:c>
      <x:c r="H51" s="7" t="n">
        <x:f>IF(F51=0,"n.a.",100*(F51-G51)/F51)</x:f>
        <x:v>13.412032622936204</x:v>
      </x:c>
      <x:c r="I51" s="7" t="n">
        <x:f>F51-G51</x:f>
        <x:v>11.43450292397661</x:v>
      </x:c>
      <x:c r="J51" s="8" t="n">
        <x:v>0.46874136157658475</x:v>
      </x:c>
      <x:c r="K51" s="8" t="n">
        <x:v>0.46874136157658475</x:v>
      </x:c>
      <x:c r="L51" s="8" t="n">
        <x:v>0</x:v>
      </x:c>
      <x:c r="M51" s="7" t="n">
        <x:v>549.4094000023324</x:v>
      </x:c>
      <x:c r="N51" s="2" t="str">
        <x:v>qiskit.primitives.StatevectorSampler</x:v>
      </x:c>
      <x:c r="O51" s="9" t="str">
        <x:v>110011001</x:v>
      </x:c>
    </x:row>
    <x:row r="52" ht="18" customHeight="1">
      <x:c r="A52" s="2" t="str">
        <x:v>legacy_n4_04</x:v>
      </x:c>
      <x:c r="B52" s="2" t="str">
        <x:v>BPSO</x:v>
      </x:c>
      <x:c r="C52" s="2" t="n">
        <x:v>2026</x:v>
      </x:c>
      <x:c r="D52" s="2" t="str">
        <x:v>success</x:v>
      </x:c>
      <x:c r="E52" s="2" t="n">
        <x:v>9</x:v>
      </x:c>
      <x:c r="F52" s="7" t="n">
        <x:v>85.25555555555555</x:v>
      </x:c>
      <x:c r="G52" s="7" t="n">
        <x:v>73.82105263157894</x:v>
      </x:c>
      <x:c r="H52" s="7" t="n">
        <x:f>IF(F52=0,"n.a.",100*(F52-G52)/F52)</x:f>
        <x:v>13.412032622936204</x:v>
      </x:c>
      <x:c r="I52" s="7" t="n">
        <x:f>F52-G52</x:f>
        <x:v>11.43450292397661</x:v>
      </x:c>
      <x:c r="J52" s="8" t="n">
        <x:v>0.46874136157658475</x:v>
      </x:c>
      <x:c r="K52" s="8" t="n">
        <x:v>0.46874136157658475</x:v>
      </x:c>
      <x:c r="L52" s="8" t="n">
        <x:v>0</x:v>
      </x:c>
      <x:c r="M52" s="7" t="n">
        <x:v>20.02530000754632</x:v>
      </x:c>
      <x:c r="N52" s="2" t="str">
        <x:v>repository_particle_dynamics_on_frozen_qubo</x:v>
      </x:c>
      <x:c r="O52" s="9" t="str">
        <x:v>001101110</x:v>
      </x:c>
    </x:row>
    <x:row r="53" ht="18" customHeight="1">
      <x:c r="A53" s="2" t="str">
        <x:v>legacy_n4_04</x:v>
      </x:c>
      <x:c r="B53" s="2" t="str">
        <x:v>QAOA</x:v>
      </x:c>
      <x:c r="C53" s="2" t="n">
        <x:v>2026</x:v>
      </x:c>
      <x:c r="D53" s="2" t="str">
        <x:v>success</x:v>
      </x:c>
      <x:c r="E53" s="2" t="n">
        <x:v>9</x:v>
      </x:c>
      <x:c r="F53" s="7" t="n">
        <x:v>85.25555555555555</x:v>
      </x:c>
      <x:c r="G53" s="7" t="n">
        <x:v>73.82105263157894</x:v>
      </x:c>
      <x:c r="H53" s="7" t="n">
        <x:f>IF(F53=0,"n.a.",100*(F53-G53)/F53)</x:f>
        <x:v>13.412032622936204</x:v>
      </x:c>
      <x:c r="I53" s="7" t="n">
        <x:f>F53-G53</x:f>
        <x:v>11.43450292397661</x:v>
      </x:c>
      <x:c r="J53" s="8" t="n">
        <x:v>0.46874136157658475</x:v>
      </x:c>
      <x:c r="K53" s="8" t="n">
        <x:v>0.46874136157658475</x:v>
      </x:c>
      <x:c r="L53" s="8" t="n">
        <x:v>0</x:v>
      </x:c>
      <x:c r="M53" s="7" t="n">
        <x:v>646.0184000025038</x:v>
      </x:c>
      <x:c r="N53" s="2" t="str">
        <x:v>qiskit.primitives.StatevectorSampler</x:v>
      </x:c>
      <x:c r="O53" s="9" t="str">
        <x:v>100110110</x:v>
      </x:c>
    </x:row>
    <x:row r="54" ht="18" customHeight="1">
      <x:c r="A54" s="2" t="str">
        <x:v>legacy_n4_05</x:v>
      </x:c>
      <x:c r="B54" s="2" t="str">
        <x:v>Unmanaged</x:v>
      </x:c>
      <x:c r="C54" s="2"/>
      <x:c r="D54" s="2" t="str">
        <x:v>baseline</x:v>
      </x:c>
      <x:c r="E54" s="2" t="n">
        <x:v>10</x:v>
      </x:c>
      <x:c r="F54" s="7" t="n">
        <x:v>81.81304347826087</x:v>
      </x:c>
      <x:c r="G54" s="7" t="n">
        <x:v>81.81304347826087</x:v>
      </x:c>
      <x:c r="H54" s="7" t="n">
        <x:f>IF(F54=0,"n.a.",100*(F54-G54)/F54)</x:f>
        <x:v>0</x:v>
      </x:c>
      <x:c r="I54" s="7" t="n">
        <x:f>F54-G54</x:f>
        <x:v>0</x:v>
      </x:c>
      <x:c r="J54" s="8"/>
      <x:c r="K54" s="8" t="n">
        <x:v>0.7082782770000255</x:v>
      </x:c>
      <x:c r="L54" s="8"/>
      <x:c r="M54" s="7"/>
      <x:c r="N54" s="2" t="str">
        <x:v>unmanaged_input</x:v>
      </x:c>
      <x:c r="O54" s="9"/>
    </x:row>
    <x:row r="55" ht="18" customHeight="1">
      <x:c r="A55" s="2" t="str">
        <x:v>legacy_n4_05</x:v>
      </x:c>
      <x:c r="B55" s="2" t="str">
        <x:v>Exact J</x:v>
      </x:c>
      <x:c r="C55" s="2"/>
      <x:c r="D55" s="2" t="str">
        <x:v>success</x:v>
      </x:c>
      <x:c r="E55" s="2" t="n">
        <x:v>10</x:v>
      </x:c>
      <x:c r="F55" s="7" t="n">
        <x:v>81.81304347826087</x:v>
      </x:c>
      <x:c r="G55" s="7" t="n">
        <x:v>83.66</x:v>
      </x:c>
      <x:c r="H55" s="7" t="n">
        <x:f>IF(F55=0,"n.a.",100*(F55-G55)/F55)</x:f>
        <x:v>-2.2575330817877455</x:v>
      </x:c>
      <x:c r="I55" s="7" t="n">
        <x:f>F55-G55</x:f>
        <x:v>-1.8469565217391306</x:v>
      </x:c>
      <x:c r="J55" s="8" t="n">
        <x:v>0.7082782770000255</x:v>
      </x:c>
      <x:c r="K55" s="8" t="n">
        <x:v>0.7082782770000255</x:v>
      </x:c>
      <x:c r="L55" s="8" t="n">
        <x:v>0</x:v>
      </x:c>
      <x:c r="M55" s="7"/>
      <x:c r="N55" s="2" t="str">
        <x:v>exhaustive_enumeration</x:v>
      </x:c>
      <x:c r="O55" s="9" t="str">
        <x:v>0011100011</x:v>
      </x:c>
    </x:row>
    <x:row r="56" ht="18" customHeight="1">
      <x:c r="A56" s="2" t="str">
        <x:v>legacy_n4_05</x:v>
      </x:c>
      <x:c r="B56" s="2" t="str">
        <x:v>Exact peak</x:v>
      </x:c>
      <x:c r="C56" s="2"/>
      <x:c r="D56" s="2" t="str">
        <x:v>success</x:v>
      </x:c>
      <x:c r="E56" s="2" t="n">
        <x:v>10</x:v>
      </x:c>
      <x:c r="F56" s="7" t="n">
        <x:v>81.81304347826087</x:v>
      </x:c>
      <x:c r="G56" s="7" t="n">
        <x:v>83.66</x:v>
      </x:c>
      <x:c r="H56" s="7" t="n">
        <x:f>IF(F56=0,"n.a.",100*(F56-G56)/F56)</x:f>
        <x:v>-2.2575330817877455</x:v>
      </x:c>
      <x:c r="I56" s="7" t="n">
        <x:f>F56-G56</x:f>
        <x:v>-1.8469565217391306</x:v>
      </x:c>
      <x:c r="J56" s="8" t="n">
        <x:v>0.7082782770000255</x:v>
      </x:c>
      <x:c r="K56" s="8" t="n">
        <x:v>0.7082782770000255</x:v>
      </x:c>
      <x:c r="L56" s="8" t="n">
        <x:v>0</x:v>
      </x:c>
      <x:c r="M56" s="7"/>
      <x:c r="N56" s="2" t="str">
        <x:v>exhaustive_enumeration</x:v>
      </x:c>
      <x:c r="O56" s="9" t="str">
        <x:v>0011100011</x:v>
      </x:c>
    </x:row>
    <x:row r="57" ht="18" customHeight="1">
      <x:c r="A57" s="2" t="str">
        <x:v>legacy_n4_05</x:v>
      </x:c>
      <x:c r="B57" s="2" t="str">
        <x:v>BPSO</x:v>
      </x:c>
      <x:c r="C57" s="2" t="n">
        <x:v>42</x:v>
      </x:c>
      <x:c r="D57" s="2" t="str">
        <x:v>success</x:v>
      </x:c>
      <x:c r="E57" s="2" t="n">
        <x:v>10</x:v>
      </x:c>
      <x:c r="F57" s="7" t="n">
        <x:v>81.81304347826087</x:v>
      </x:c>
      <x:c r="G57" s="7" t="n">
        <x:v>83.66</x:v>
      </x:c>
      <x:c r="H57" s="7" t="n">
        <x:f>IF(F57=0,"n.a.",100*(F57-G57)/F57)</x:f>
        <x:v>-2.2575330817877455</x:v>
      </x:c>
      <x:c r="I57" s="7" t="n">
        <x:f>F57-G57</x:f>
        <x:v>-1.8469565217391306</x:v>
      </x:c>
      <x:c r="J57" s="8" t="n">
        <x:v>0.7082782770000255</x:v>
      </x:c>
      <x:c r="K57" s="8" t="n">
        <x:v>0.7082782770000255</x:v>
      </x:c>
      <x:c r="L57" s="8" t="n">
        <x:v>0</x:v>
      </x:c>
      <x:c r="M57" s="7" t="n">
        <x:v>26.638199997250922</x:v>
      </x:c>
      <x:c r="N57" s="2" t="str">
        <x:v>repository_particle_dynamics_on_frozen_qubo</x:v>
      </x:c>
      <x:c r="O57" s="9" t="str">
        <x:v>0110110010</x:v>
      </x:c>
    </x:row>
    <x:row r="58" ht="18" customHeight="1">
      <x:c r="A58" s="2" t="str">
        <x:v>legacy_n4_05</x:v>
      </x:c>
      <x:c r="B58" s="2" t="str">
        <x:v>QAOA</x:v>
      </x:c>
      <x:c r="C58" s="2" t="n">
        <x:v>42</x:v>
      </x:c>
      <x:c r="D58" s="2" t="str">
        <x:v>success</x:v>
      </x:c>
      <x:c r="E58" s="2" t="n">
        <x:v>10</x:v>
      </x:c>
      <x:c r="F58" s="7" t="n">
        <x:v>81.81304347826087</x:v>
      </x:c>
      <x:c r="G58" s="7" t="n">
        <x:v>83.66</x:v>
      </x:c>
      <x:c r="H58" s="7" t="n">
        <x:f>IF(F58=0,"n.a.",100*(F58-G58)/F58)</x:f>
        <x:v>-2.2575330817877455</x:v>
      </x:c>
      <x:c r="I58" s="7" t="n">
        <x:f>F58-G58</x:f>
        <x:v>-1.8469565217391306</x:v>
      </x:c>
      <x:c r="J58" s="8" t="n">
        <x:v>0.7082782770000255</x:v>
      </x:c>
      <x:c r="K58" s="8" t="n">
        <x:v>0.7082782770000255</x:v>
      </x:c>
      <x:c r="L58" s="8" t="n">
        <x:v>0</x:v>
      </x:c>
      <x:c r="M58" s="7" t="n">
        <x:v>836.6863999981433</x:v>
      </x:c>
      <x:c r="N58" s="2" t="str">
        <x:v>qiskit.primitives.StatevectorSampler</x:v>
      </x:c>
      <x:c r="O58" s="9" t="str">
        <x:v>0011111000</x:v>
      </x:c>
    </x:row>
    <x:row r="59" ht="18" customHeight="1">
      <x:c r="A59" s="2" t="str">
        <x:v>legacy_n4_05</x:v>
      </x:c>
      <x:c r="B59" s="2" t="str">
        <x:v>BPSO</x:v>
      </x:c>
      <x:c r="C59" s="2" t="n">
        <x:v>123</x:v>
      </x:c>
      <x:c r="D59" s="2" t="str">
        <x:v>success</x:v>
      </x:c>
      <x:c r="E59" s="2" t="n">
        <x:v>10</x:v>
      </x:c>
      <x:c r="F59" s="7" t="n">
        <x:v>81.81304347826087</x:v>
      </x:c>
      <x:c r="G59" s="7" t="n">
        <x:v>83.66</x:v>
      </x:c>
      <x:c r="H59" s="7" t="n">
        <x:f>IF(F59=0,"n.a.",100*(F59-G59)/F59)</x:f>
        <x:v>-2.2575330817877455</x:v>
      </x:c>
      <x:c r="I59" s="7" t="n">
        <x:f>F59-G59</x:f>
        <x:v>-1.8469565217391306</x:v>
      </x:c>
      <x:c r="J59" s="8" t="n">
        <x:v>0.7082782770000255</x:v>
      </x:c>
      <x:c r="K59" s="8" t="n">
        <x:v>0.7082782770000255</x:v>
      </x:c>
      <x:c r="L59" s="8" t="n">
        <x:v>0</x:v>
      </x:c>
      <x:c r="M59" s="7" t="n">
        <x:v>21.067300011054613</x:v>
      </x:c>
      <x:c r="N59" s="2" t="str">
        <x:v>repository_particle_dynamics_on_frozen_qubo</x:v>
      </x:c>
      <x:c r="O59" s="9" t="str">
        <x:v>1011000011</x:v>
      </x:c>
    </x:row>
    <x:row r="60" ht="18" customHeight="1">
      <x:c r="A60" s="2" t="str">
        <x:v>legacy_n4_05</x:v>
      </x:c>
      <x:c r="B60" s="2" t="str">
        <x:v>QAOA</x:v>
      </x:c>
      <x:c r="C60" s="2" t="n">
        <x:v>123</x:v>
      </x:c>
      <x:c r="D60" s="2" t="str">
        <x:v>success</x:v>
      </x:c>
      <x:c r="E60" s="2" t="n">
        <x:v>10</x:v>
      </x:c>
      <x:c r="F60" s="7" t="n">
        <x:v>81.81304347826087</x:v>
      </x:c>
      <x:c r="G60" s="7" t="n">
        <x:v>83.66</x:v>
      </x:c>
      <x:c r="H60" s="7" t="n">
        <x:f>IF(F60=0,"n.a.",100*(F60-G60)/F60)</x:f>
        <x:v>-2.2575330817877455</x:v>
      </x:c>
      <x:c r="I60" s="7" t="n">
        <x:f>F60-G60</x:f>
        <x:v>-1.8469565217391306</x:v>
      </x:c>
      <x:c r="J60" s="8" t="n">
        <x:v>0.7082782770000255</x:v>
      </x:c>
      <x:c r="K60" s="8" t="n">
        <x:v>0.7082782770000255</x:v>
      </x:c>
      <x:c r="L60" s="8" t="n">
        <x:v>0</x:v>
      </x:c>
      <x:c r="M60" s="7" t="n">
        <x:v>779.2976000055205</x:v>
      </x:c>
      <x:c r="N60" s="2" t="str">
        <x:v>qiskit.primitives.StatevectorSampler</x:v>
      </x:c>
      <x:c r="O60" s="9" t="str">
        <x:v>0111001001</x:v>
      </x:c>
    </x:row>
    <x:row r="61" ht="18" customHeight="1">
      <x:c r="A61" s="2" t="str">
        <x:v>legacy_n4_05</x:v>
      </x:c>
      <x:c r="B61" s="2" t="str">
        <x:v>BPSO</x:v>
      </x:c>
      <x:c r="C61" s="2" t="n">
        <x:v>456</x:v>
      </x:c>
      <x:c r="D61" s="2" t="str">
        <x:v>success</x:v>
      </x:c>
      <x:c r="E61" s="2" t="n">
        <x:v>10</x:v>
      </x:c>
      <x:c r="F61" s="7" t="n">
        <x:v>81.81304347826087</x:v>
      </x:c>
      <x:c r="G61" s="7" t="n">
        <x:v>83.66</x:v>
      </x:c>
      <x:c r="H61" s="7" t="n">
        <x:f>IF(F61=0,"n.a.",100*(F61-G61)/F61)</x:f>
        <x:v>-2.2575330817877455</x:v>
      </x:c>
      <x:c r="I61" s="7" t="n">
        <x:f>F61-G61</x:f>
        <x:v>-1.8469565217391306</x:v>
      </x:c>
      <x:c r="J61" s="8" t="n">
        <x:v>0.7082782770000255</x:v>
      </x:c>
      <x:c r="K61" s="8" t="n">
        <x:v>0.7082782770000255</x:v>
      </x:c>
      <x:c r="L61" s="8" t="n">
        <x:v>0</x:v>
      </x:c>
      <x:c r="M61" s="7" t="n">
        <x:v>20.982899994123727</x:v>
      </x:c>
      <x:c r="N61" s="2" t="str">
        <x:v>repository_particle_dynamics_on_frozen_qubo</x:v>
      </x:c>
      <x:c r="O61" s="9" t="str">
        <x:v>0111000101</x:v>
      </x:c>
    </x:row>
    <x:row r="62" ht="18" customHeight="1">
      <x:c r="A62" s="2" t="str">
        <x:v>legacy_n4_05</x:v>
      </x:c>
      <x:c r="B62" s="2" t="str">
        <x:v>QAOA</x:v>
      </x:c>
      <x:c r="C62" s="2" t="n">
        <x:v>456</x:v>
      </x:c>
      <x:c r="D62" s="2" t="str">
        <x:v>success</x:v>
      </x:c>
      <x:c r="E62" s="2" t="n">
        <x:v>10</x:v>
      </x:c>
      <x:c r="F62" s="7" t="n">
        <x:v>81.81304347826087</x:v>
      </x:c>
      <x:c r="G62" s="7" t="n">
        <x:v>83.66</x:v>
      </x:c>
      <x:c r="H62" s="7" t="n">
        <x:f>IF(F62=0,"n.a.",100*(F62-G62)/F62)</x:f>
        <x:v>-2.2575330817877455</x:v>
      </x:c>
      <x:c r="I62" s="7" t="n">
        <x:f>F62-G62</x:f>
        <x:v>-1.8469565217391306</x:v>
      </x:c>
      <x:c r="J62" s="8" t="n">
        <x:v>0.7082782770000255</x:v>
      </x:c>
      <x:c r="K62" s="8" t="n">
        <x:v>0.7082782770000255</x:v>
      </x:c>
      <x:c r="L62" s="8" t="n">
        <x:v>0</x:v>
      </x:c>
      <x:c r="M62" s="7" t="n">
        <x:v>708.6138999875402</x:v>
      </x:c>
      <x:c r="N62" s="2" t="str">
        <x:v>qiskit.primitives.StatevectorSampler</x:v>
      </x:c>
      <x:c r="O62" s="9" t="str">
        <x:v>0011110010</x:v>
      </x:c>
    </x:row>
    <x:row r="63" ht="18" customHeight="1">
      <x:c r="A63" s="2" t="str">
        <x:v>legacy_n4_05</x:v>
      </x:c>
      <x:c r="B63" s="2" t="str">
        <x:v>BPSO</x:v>
      </x:c>
      <x:c r="C63" s="2" t="n">
        <x:v>789</x:v>
      </x:c>
      <x:c r="D63" s="2" t="str">
        <x:v>success</x:v>
      </x:c>
      <x:c r="E63" s="2" t="n">
        <x:v>10</x:v>
      </x:c>
      <x:c r="F63" s="7" t="n">
        <x:v>81.81304347826087</x:v>
      </x:c>
      <x:c r="G63" s="7" t="n">
        <x:v>83.66</x:v>
      </x:c>
      <x:c r="H63" s="7" t="n">
        <x:f>IF(F63=0,"n.a.",100*(F63-G63)/F63)</x:f>
        <x:v>-2.2575330817877455</x:v>
      </x:c>
      <x:c r="I63" s="7" t="n">
        <x:f>F63-G63</x:f>
        <x:v>-1.8469565217391306</x:v>
      </x:c>
      <x:c r="J63" s="8" t="n">
        <x:v>0.7082782770000255</x:v>
      </x:c>
      <x:c r="K63" s="8" t="n">
        <x:v>0.7082782770000255</x:v>
      </x:c>
      <x:c r="L63" s="8" t="n">
        <x:v>0</x:v>
      </x:c>
      <x:c r="M63" s="7" t="n">
        <x:v>20.794199997908436</x:v>
      </x:c>
      <x:c r="N63" s="2" t="str">
        <x:v>repository_particle_dynamics_on_frozen_qubo</x:v>
      </x:c>
      <x:c r="O63" s="9" t="str">
        <x:v>1011001100</x:v>
      </x:c>
    </x:row>
    <x:row r="64" ht="18" customHeight="1">
      <x:c r="A64" s="2" t="str">
        <x:v>legacy_n4_05</x:v>
      </x:c>
      <x:c r="B64" s="2" t="str">
        <x:v>QAOA</x:v>
      </x:c>
      <x:c r="C64" s="2" t="n">
        <x:v>789</x:v>
      </x:c>
      <x:c r="D64" s="2" t="str">
        <x:v>success</x:v>
      </x:c>
      <x:c r="E64" s="2" t="n">
        <x:v>10</x:v>
      </x:c>
      <x:c r="F64" s="7" t="n">
        <x:v>81.81304347826087</x:v>
      </x:c>
      <x:c r="G64" s="7" t="n">
        <x:v>83.66</x:v>
      </x:c>
      <x:c r="H64" s="7" t="n">
        <x:f>IF(F64=0,"n.a.",100*(F64-G64)/F64)</x:f>
        <x:v>-2.2575330817877455</x:v>
      </x:c>
      <x:c r="I64" s="7" t="n">
        <x:f>F64-G64</x:f>
        <x:v>-1.8469565217391306</x:v>
      </x:c>
      <x:c r="J64" s="8" t="n">
        <x:v>0.7082782770000255</x:v>
      </x:c>
      <x:c r="K64" s="8" t="n">
        <x:v>0.7082782770000255</x:v>
      </x:c>
      <x:c r="L64" s="8" t="n">
        <x:v>0</x:v>
      </x:c>
      <x:c r="M64" s="7" t="n">
        <x:v>775.8641999971587</x:v>
      </x:c>
      <x:c r="N64" s="2" t="str">
        <x:v>qiskit.primitives.StatevectorSampler</x:v>
      </x:c>
      <x:c r="O64" s="9" t="str">
        <x:v>1110001100</x:v>
      </x:c>
    </x:row>
    <x:row r="65" ht="18" customHeight="1">
      <x:c r="A65" s="2" t="str">
        <x:v>legacy_n4_05</x:v>
      </x:c>
      <x:c r="B65" s="2" t="str">
        <x:v>BPSO</x:v>
      </x:c>
      <x:c r="C65" s="2" t="n">
        <x:v>2026</x:v>
      </x:c>
      <x:c r="D65" s="2" t="str">
        <x:v>success</x:v>
      </x:c>
      <x:c r="E65" s="2" t="n">
        <x:v>10</x:v>
      </x:c>
      <x:c r="F65" s="7" t="n">
        <x:v>81.81304347826087</x:v>
      </x:c>
      <x:c r="G65" s="7" t="n">
        <x:v>83.66</x:v>
      </x:c>
      <x:c r="H65" s="7" t="n">
        <x:f>IF(F65=0,"n.a.",100*(F65-G65)/F65)</x:f>
        <x:v>-2.2575330817877455</x:v>
      </x:c>
      <x:c r="I65" s="7" t="n">
        <x:f>F65-G65</x:f>
        <x:v>-1.8469565217391306</x:v>
      </x:c>
      <x:c r="J65" s="8" t="n">
        <x:v>0.7082782770000255</x:v>
      </x:c>
      <x:c r="K65" s="8" t="n">
        <x:v>0.7082782770000255</x:v>
      </x:c>
      <x:c r="L65" s="8" t="n">
        <x:v>0</x:v>
      </x:c>
      <x:c r="M65" s="7" t="n">
        <x:v>25.053099991055205</x:v>
      </x:c>
      <x:c r="N65" s="2" t="str">
        <x:v>repository_particle_dynamics_on_frozen_qubo</x:v>
      </x:c>
      <x:c r="O65" s="9" t="str">
        <x:v>1001110010</x:v>
      </x:c>
    </x:row>
    <x:row r="66" ht="18" customHeight="1">
      <x:c r="A66" s="2" t="str">
        <x:v>legacy_n4_05</x:v>
      </x:c>
      <x:c r="B66" s="2" t="str">
        <x:v>QAOA</x:v>
      </x:c>
      <x:c r="C66" s="2" t="n">
        <x:v>2026</x:v>
      </x:c>
      <x:c r="D66" s="2" t="str">
        <x:v>success</x:v>
      </x:c>
      <x:c r="E66" s="2" t="n">
        <x:v>10</x:v>
      </x:c>
      <x:c r="F66" s="7" t="n">
        <x:v>81.81304347826087</x:v>
      </x:c>
      <x:c r="G66" s="7" t="n">
        <x:v>83.66</x:v>
      </x:c>
      <x:c r="H66" s="7" t="n">
        <x:f>IF(F66=0,"n.a.",100*(F66-G66)/F66)</x:f>
        <x:v>-2.2575330817877455</x:v>
      </x:c>
      <x:c r="I66" s="7" t="n">
        <x:f>F66-G66</x:f>
        <x:v>-1.8469565217391306</x:v>
      </x:c>
      <x:c r="J66" s="8" t="n">
        <x:v>0.7082782770000255</x:v>
      </x:c>
      <x:c r="K66" s="8" t="n">
        <x:v>0.7082782770000255</x:v>
      </x:c>
      <x:c r="L66" s="8" t="n">
        <x:v>0</x:v>
      </x:c>
      <x:c r="M66" s="7" t="n">
        <x:v>787.7544999937527</x:v>
      </x:c>
      <x:c r="N66" s="2" t="str">
        <x:v>qiskit.primitives.StatevectorSampler</x:v>
      </x:c>
      <x:c r="O66" s="9" t="str">
        <x:v>0111001100</x:v>
      </x:c>
    </x:row>
    <x:row r="67" ht="18" customHeight="1">
      <x:c r="A67" s="2" t="str">
        <x:v>legacy_n4_06</x:v>
      </x:c>
      <x:c r="B67" s="2" t="str">
        <x:v>Unmanaged</x:v>
      </x:c>
      <x:c r="C67" s="2"/>
      <x:c r="D67" s="2" t="str">
        <x:v>baseline</x:v>
      </x:c>
      <x:c r="E67" s="2" t="n">
        <x:v>10</x:v>
      </x:c>
      <x:c r="F67" s="7" t="n">
        <x:v>79.67894736842106</x:v>
      </x:c>
      <x:c r="G67" s="7" t="n">
        <x:v>79.67894736842106</x:v>
      </x:c>
      <x:c r="H67" s="7" t="n">
        <x:f>IF(F67=0,"n.a.",100*(F67-G67)/F67)</x:f>
        <x:v>0</x:v>
      </x:c>
      <x:c r="I67" s="7" t="n">
        <x:f>F67-G67</x:f>
        <x:v>0</x:v>
      </x:c>
      <x:c r="J67" s="8"/>
      <x:c r="K67" s="8" t="n">
        <x:v>1.1290196260013945</x:v>
      </x:c>
      <x:c r="L67" s="8"/>
      <x:c r="M67" s="7"/>
      <x:c r="N67" s="2" t="str">
        <x:v>unmanaged_input</x:v>
      </x:c>
      <x:c r="O67" s="9"/>
    </x:row>
    <x:row r="68" ht="18" customHeight="1">
      <x:c r="A68" s="2" t="str">
        <x:v>legacy_n4_06</x:v>
      </x:c>
      <x:c r="B68" s="2" t="str">
        <x:v>Exact J</x:v>
      </x:c>
      <x:c r="C68" s="2"/>
      <x:c r="D68" s="2" t="str">
        <x:v>success</x:v>
      </x:c>
      <x:c r="E68" s="2" t="n">
        <x:v>10</x:v>
      </x:c>
      <x:c r="F68" s="7" t="n">
        <x:v>79.67894736842106</x:v>
      </x:c>
      <x:c r="G68" s="7" t="n">
        <x:v>79.67894736842106</x:v>
      </x:c>
      <x:c r="H68" s="7" t="n">
        <x:f>IF(F68=0,"n.a.",100*(F68-G68)/F68)</x:f>
        <x:v>0</x:v>
      </x:c>
      <x:c r="I68" s="7" t="n">
        <x:f>F68-G68</x:f>
        <x:v>0</x:v>
      </x:c>
      <x:c r="J68" s="8" t="n">
        <x:v>1.1290196260013945</x:v>
      </x:c>
      <x:c r="K68" s="8" t="n">
        <x:v>1.1290196260013945</x:v>
      </x:c>
      <x:c r="L68" s="8" t="n">
        <x:v>0</x:v>
      </x:c>
      <x:c r="M68" s="7"/>
      <x:c r="N68" s="2" t="str">
        <x:v>exhaustive_enumeration</x:v>
      </x:c>
      <x:c r="O68" s="9" t="str">
        <x:v>0001001111</x:v>
      </x:c>
    </x:row>
    <x:row r="69" ht="18" customHeight="1">
      <x:c r="A69" s="2" t="str">
        <x:v>legacy_n4_06</x:v>
      </x:c>
      <x:c r="B69" s="2" t="str">
        <x:v>Exact peak</x:v>
      </x:c>
      <x:c r="C69" s="2"/>
      <x:c r="D69" s="2" t="str">
        <x:v>success</x:v>
      </x:c>
      <x:c r="E69" s="2" t="n">
        <x:v>10</x:v>
      </x:c>
      <x:c r="F69" s="7" t="n">
        <x:v>79.67894736842106</x:v>
      </x:c>
      <x:c r="G69" s="7" t="n">
        <x:v>79.67894736842106</x:v>
      </x:c>
      <x:c r="H69" s="7" t="n">
        <x:f>IF(F69=0,"n.a.",100*(F69-G69)/F69)</x:f>
        <x:v>0</x:v>
      </x:c>
      <x:c r="I69" s="7" t="n">
        <x:f>F69-G69</x:f>
        <x:v>0</x:v>
      </x:c>
      <x:c r="J69" s="8" t="n">
        <x:v>1.1290196260013945</x:v>
      </x:c>
      <x:c r="K69" s="8" t="n">
        <x:v>1.1290196260013945</x:v>
      </x:c>
      <x:c r="L69" s="8" t="n">
        <x:v>0</x:v>
      </x:c>
      <x:c r="M69" s="7"/>
      <x:c r="N69" s="2" t="str">
        <x:v>exhaustive_enumeration</x:v>
      </x:c>
      <x:c r="O69" s="9" t="str">
        <x:v>0001001111</x:v>
      </x:c>
    </x:row>
    <x:row r="70" ht="18" customHeight="1">
      <x:c r="A70" s="2" t="str">
        <x:v>legacy_n4_06</x:v>
      </x:c>
      <x:c r="B70" s="2" t="str">
        <x:v>BPSO</x:v>
      </x:c>
      <x:c r="C70" s="2" t="n">
        <x:v>42</x:v>
      </x:c>
      <x:c r="D70" s="2" t="str">
        <x:v>success</x:v>
      </x:c>
      <x:c r="E70" s="2" t="n">
        <x:v>10</x:v>
      </x:c>
      <x:c r="F70" s="7" t="n">
        <x:v>79.67894736842106</x:v>
      </x:c>
      <x:c r="G70" s="7" t="n">
        <x:v>79.67894736842106</x:v>
      </x:c>
      <x:c r="H70" s="7" t="n">
        <x:f>IF(F70=0,"n.a.",100*(F70-G70)/F70)</x:f>
        <x:v>0</x:v>
      </x:c>
      <x:c r="I70" s="7" t="n">
        <x:f>F70-G70</x:f>
        <x:v>0</x:v>
      </x:c>
      <x:c r="J70" s="8" t="n">
        <x:v>1.1290196260013945</x:v>
      </x:c>
      <x:c r="K70" s="8" t="n">
        <x:v>1.1290196260013945</x:v>
      </x:c>
      <x:c r="L70" s="8" t="n">
        <x:v>0</x:v>
      </x:c>
      <x:c r="M70" s="7" t="n">
        <x:v>21.810399994137697</x:v>
      </x:c>
      <x:c r="N70" s="2" t="str">
        <x:v>repository_particle_dynamics_on_frozen_qubo</x:v>
      </x:c>
      <x:c r="O70" s="9" t="str">
        <x:v>0111111010</x:v>
      </x:c>
    </x:row>
    <x:row r="71" ht="18" customHeight="1">
      <x:c r="A71" s="2" t="str">
        <x:v>legacy_n4_06</x:v>
      </x:c>
      <x:c r="B71" s="2" t="str">
        <x:v>QAOA</x:v>
      </x:c>
      <x:c r="C71" s="2" t="n">
        <x:v>42</x:v>
      </x:c>
      <x:c r="D71" s="2" t="str">
        <x:v>success</x:v>
      </x:c>
      <x:c r="E71" s="2" t="n">
        <x:v>10</x:v>
      </x:c>
      <x:c r="F71" s="7" t="n">
        <x:v>79.67894736842106</x:v>
      </x:c>
      <x:c r="G71" s="7" t="n">
        <x:v>79.67894736842106</x:v>
      </x:c>
      <x:c r="H71" s="7" t="n">
        <x:f>IF(F71=0,"n.a.",100*(F71-G71)/F71)</x:f>
        <x:v>0</x:v>
      </x:c>
      <x:c r="I71" s="7" t="n">
        <x:f>F71-G71</x:f>
        <x:v>0</x:v>
      </x:c>
      <x:c r="J71" s="8" t="n">
        <x:v>1.1290196260013943</x:v>
      </x:c>
      <x:c r="K71" s="8" t="n">
        <x:v>1.1290196260013945</x:v>
      </x:c>
      <x:c r="L71" s="8" t="n">
        <x:v>0</x:v>
      </x:c>
      <x:c r="M71" s="7" t="n">
        <x:v>772.0335999911185</x:v>
      </x:c>
      <x:c r="N71" s="2" t="str">
        <x:v>qiskit.primitives.StatevectorSampler</x:v>
      </x:c>
      <x:c r="O71" s="9" t="str">
        <x:v>1010110101</x:v>
      </x:c>
    </x:row>
    <x:row r="72" ht="18" customHeight="1">
      <x:c r="A72" s="2" t="str">
        <x:v>legacy_n4_06</x:v>
      </x:c>
      <x:c r="B72" s="2" t="str">
        <x:v>BPSO</x:v>
      </x:c>
      <x:c r="C72" s="2" t="n">
        <x:v>123</x:v>
      </x:c>
      <x:c r="D72" s="2" t="str">
        <x:v>success</x:v>
      </x:c>
      <x:c r="E72" s="2" t="n">
        <x:v>10</x:v>
      </x:c>
      <x:c r="F72" s="7" t="n">
        <x:v>79.67894736842106</x:v>
      </x:c>
      <x:c r="G72" s="7" t="n">
        <x:v>79.67894736842106</x:v>
      </x:c>
      <x:c r="H72" s="7" t="n">
        <x:f>IF(F72=0,"n.a.",100*(F72-G72)/F72)</x:f>
        <x:v>0</x:v>
      </x:c>
      <x:c r="I72" s="7" t="n">
        <x:f>F72-G72</x:f>
        <x:v>0</x:v>
      </x:c>
      <x:c r="J72" s="8" t="n">
        <x:v>1.1290196260013945</x:v>
      </x:c>
      <x:c r="K72" s="8" t="n">
        <x:v>1.1290196260013945</x:v>
      </x:c>
      <x:c r="L72" s="8" t="n">
        <x:v>0</x:v>
      </x:c>
      <x:c r="M72" s="7" t="n">
        <x:v>21.824399998877198</x:v>
      </x:c>
      <x:c r="N72" s="2" t="str">
        <x:v>repository_particle_dynamics_on_frozen_qubo</x:v>
      </x:c>
      <x:c r="O72" s="9" t="str">
        <x:v>0001100111</x:v>
      </x:c>
    </x:row>
    <x:row r="73" ht="18" customHeight="1">
      <x:c r="A73" s="2" t="str">
        <x:v>legacy_n4_06</x:v>
      </x:c>
      <x:c r="B73" s="2" t="str">
        <x:v>QAOA</x:v>
      </x:c>
      <x:c r="C73" s="2" t="n">
        <x:v>123</x:v>
      </x:c>
      <x:c r="D73" s="2" t="str">
        <x:v>success</x:v>
      </x:c>
      <x:c r="E73" s="2" t="n">
        <x:v>10</x:v>
      </x:c>
      <x:c r="F73" s="7" t="n">
        <x:v>79.67894736842106</x:v>
      </x:c>
      <x:c r="G73" s="7" t="n">
        <x:v>79.67894736842106</x:v>
      </x:c>
      <x:c r="H73" s="7" t="n">
        <x:f>IF(F73=0,"n.a.",100*(F73-G73)/F73)</x:f>
        <x:v>0</x:v>
      </x:c>
      <x:c r="I73" s="7" t="n">
        <x:f>F73-G73</x:f>
        <x:v>0</x:v>
      </x:c>
      <x:c r="J73" s="8" t="n">
        <x:v>1.1290196260013943</x:v>
      </x:c>
      <x:c r="K73" s="8" t="n">
        <x:v>1.1290196260013945</x:v>
      </x:c>
      <x:c r="L73" s="8" t="n">
        <x:v>0</x:v>
      </x:c>
      <x:c r="M73" s="7" t="n">
        <x:v>951.9403000012971</x:v>
      </x:c>
      <x:c r="N73" s="2" t="str">
        <x:v>qiskit.primitives.StatevectorSampler</x:v>
      </x:c>
      <x:c r="O73" s="9" t="str">
        <x:v>0011110101</x:v>
      </x:c>
    </x:row>
    <x:row r="74" ht="18" customHeight="1">
      <x:c r="A74" s="2" t="str">
        <x:v>legacy_n4_06</x:v>
      </x:c>
      <x:c r="B74" s="2" t="str">
        <x:v>BPSO</x:v>
      </x:c>
      <x:c r="C74" s="2" t="n">
        <x:v>456</x:v>
      </x:c>
      <x:c r="D74" s="2" t="str">
        <x:v>success</x:v>
      </x:c>
      <x:c r="E74" s="2" t="n">
        <x:v>10</x:v>
      </x:c>
      <x:c r="F74" s="7" t="n">
        <x:v>79.67894736842106</x:v>
      </x:c>
      <x:c r="G74" s="7" t="n">
        <x:v>79.67894736842106</x:v>
      </x:c>
      <x:c r="H74" s="7" t="n">
        <x:f>IF(F74=0,"n.a.",100*(F74-G74)/F74)</x:f>
        <x:v>0</x:v>
      </x:c>
      <x:c r="I74" s="7" t="n">
        <x:f>F74-G74</x:f>
        <x:v>0</x:v>
      </x:c>
      <x:c r="J74" s="8" t="n">
        <x:v>1.1290196260013945</x:v>
      </x:c>
      <x:c r="K74" s="8" t="n">
        <x:v>1.1290196260013945</x:v>
      </x:c>
      <x:c r="L74" s="8" t="n">
        <x:v>0</x:v>
      </x:c>
      <x:c r="M74" s="7" t="n">
        <x:v>22.797099998570047</x:v>
      </x:c>
      <x:c r="N74" s="2" t="str">
        <x:v>repository_particle_dynamics_on_frozen_qubo</x:v>
      </x:c>
      <x:c r="O74" s="9" t="str">
        <x:v>1000010111</x:v>
      </x:c>
    </x:row>
    <x:row r="75" ht="18" customHeight="1">
      <x:c r="A75" s="2" t="str">
        <x:v>legacy_n4_06</x:v>
      </x:c>
      <x:c r="B75" s="2" t="str">
        <x:v>QAOA</x:v>
      </x:c>
      <x:c r="C75" s="2" t="n">
        <x:v>456</x:v>
      </x:c>
      <x:c r="D75" s="2" t="str">
        <x:v>success</x:v>
      </x:c>
      <x:c r="E75" s="2" t="n">
        <x:v>10</x:v>
      </x:c>
      <x:c r="F75" s="7" t="n">
        <x:v>79.67894736842106</x:v>
      </x:c>
      <x:c r="G75" s="7" t="n">
        <x:v>79.67894736842106</x:v>
      </x:c>
      <x:c r="H75" s="7" t="n">
        <x:f>IF(F75=0,"n.a.",100*(F75-G75)/F75)</x:f>
        <x:v>0</x:v>
      </x:c>
      <x:c r="I75" s="7" t="n">
        <x:f>F75-G75</x:f>
        <x:v>0</x:v>
      </x:c>
      <x:c r="J75" s="8" t="n">
        <x:v>1.1290196260013943</x:v>
      </x:c>
      <x:c r="K75" s="8" t="n">
        <x:v>1.1290196260013945</x:v>
      </x:c>
      <x:c r="L75" s="8" t="n">
        <x:v>0</x:v>
      </x:c>
      <x:c r="M75" s="7" t="n">
        <x:v>756.0674999986077</x:v>
      </x:c>
      <x:c r="N75" s="2" t="str">
        <x:v>qiskit.primitives.StatevectorSampler</x:v>
      </x:c>
      <x:c r="O75" s="9" t="str">
        <x:v>0101101110</x:v>
      </x:c>
    </x:row>
    <x:row r="76" ht="18" customHeight="1">
      <x:c r="A76" s="2" t="str">
        <x:v>legacy_n4_06</x:v>
      </x:c>
      <x:c r="B76" s="2" t="str">
        <x:v>BPSO</x:v>
      </x:c>
      <x:c r="C76" s="2" t="n">
        <x:v>789</x:v>
      </x:c>
      <x:c r="D76" s="2" t="str">
        <x:v>success</x:v>
      </x:c>
      <x:c r="E76" s="2" t="n">
        <x:v>10</x:v>
      </x:c>
      <x:c r="F76" s="7" t="n">
        <x:v>79.67894736842106</x:v>
      </x:c>
      <x:c r="G76" s="7" t="n">
        <x:v>79.67894736842106</x:v>
      </x:c>
      <x:c r="H76" s="7" t="n">
        <x:f>IF(F76=0,"n.a.",100*(F76-G76)/F76)</x:f>
        <x:v>0</x:v>
      </x:c>
      <x:c r="I76" s="7" t="n">
        <x:f>F76-G76</x:f>
        <x:v>0</x:v>
      </x:c>
      <x:c r="J76" s="8" t="n">
        <x:v>1.1290196260013945</x:v>
      </x:c>
      <x:c r="K76" s="8" t="n">
        <x:v>1.1290196260013945</x:v>
      </x:c>
      <x:c r="L76" s="8" t="n">
        <x:v>0</x:v>
      </x:c>
      <x:c r="M76" s="7" t="n">
        <x:v>20.538899989333004</x:v>
      </x:c>
      <x:c r="N76" s="2" t="str">
        <x:v>repository_particle_dynamics_on_frozen_qubo</x:v>
      </x:c>
      <x:c r="O76" s="9" t="str">
        <x:v>0111111010</x:v>
      </x:c>
    </x:row>
    <x:row r="77" ht="18" customHeight="1">
      <x:c r="A77" s="2" t="str">
        <x:v>legacy_n4_06</x:v>
      </x:c>
      <x:c r="B77" s="2" t="str">
        <x:v>QAOA</x:v>
      </x:c>
      <x:c r="C77" s="2" t="n">
        <x:v>789</x:v>
      </x:c>
      <x:c r="D77" s="2" t="str">
        <x:v>success</x:v>
      </x:c>
      <x:c r="E77" s="2" t="n">
        <x:v>10</x:v>
      </x:c>
      <x:c r="F77" s="7" t="n">
        <x:v>79.67894736842106</x:v>
      </x:c>
      <x:c r="G77" s="7" t="n">
        <x:v>79.67894736842106</x:v>
      </x:c>
      <x:c r="H77" s="7" t="n">
        <x:f>IF(F77=0,"n.a.",100*(F77-G77)/F77)</x:f>
        <x:v>0</x:v>
      </x:c>
      <x:c r="I77" s="7" t="n">
        <x:f>F77-G77</x:f>
        <x:v>0</x:v>
      </x:c>
      <x:c r="J77" s="8" t="n">
        <x:v>1.1290196260013943</x:v>
      </x:c>
      <x:c r="K77" s="8" t="n">
        <x:v>1.1290196260013945</x:v>
      </x:c>
      <x:c r="L77" s="8" t="n">
        <x:v>0</x:v>
      </x:c>
      <x:c r="M77" s="7" t="n">
        <x:v>707.0205999916652</x:v>
      </x:c>
      <x:c r="N77" s="2" t="str">
        <x:v>qiskit.primitives.StatevectorSampler</x:v>
      </x:c>
      <x:c r="O77" s="9" t="str">
        <x:v>0110110110</x:v>
      </x:c>
    </x:row>
    <x:row r="78" ht="18" customHeight="1">
      <x:c r="A78" s="2" t="str">
        <x:v>legacy_n4_06</x:v>
      </x:c>
      <x:c r="B78" s="2" t="str">
        <x:v>BPSO</x:v>
      </x:c>
      <x:c r="C78" s="2" t="n">
        <x:v>2026</x:v>
      </x:c>
      <x:c r="D78" s="2" t="str">
        <x:v>success</x:v>
      </x:c>
      <x:c r="E78" s="2" t="n">
        <x:v>10</x:v>
      </x:c>
      <x:c r="F78" s="7" t="n">
        <x:v>79.67894736842106</x:v>
      </x:c>
      <x:c r="G78" s="7" t="n">
        <x:v>79.67894736842106</x:v>
      </x:c>
      <x:c r="H78" s="7" t="n">
        <x:f>IF(F78=0,"n.a.",100*(F78-G78)/F78)</x:f>
        <x:v>0</x:v>
      </x:c>
      <x:c r="I78" s="7" t="n">
        <x:f>F78-G78</x:f>
        <x:v>0</x:v>
      </x:c>
      <x:c r="J78" s="8" t="n">
        <x:v>1.1290196260013945</x:v>
      </x:c>
      <x:c r="K78" s="8" t="n">
        <x:v>1.1290196260013945</x:v>
      </x:c>
      <x:c r="L78" s="8" t="n">
        <x:v>0</x:v>
      </x:c>
      <x:c r="M78" s="7" t="n">
        <x:v>20.455999998375773</x:v>
      </x:c>
      <x:c r="N78" s="2" t="str">
        <x:v>repository_particle_dynamics_on_frozen_qubo</x:v>
      </x:c>
      <x:c r="O78" s="9" t="str">
        <x:v>0100010111</x:v>
      </x:c>
    </x:row>
    <x:row r="79" ht="18" customHeight="1">
      <x:c r="A79" s="2" t="str">
        <x:v>legacy_n4_06</x:v>
      </x:c>
      <x:c r="B79" s="2" t="str">
        <x:v>QAOA</x:v>
      </x:c>
      <x:c r="C79" s="2" t="n">
        <x:v>2026</x:v>
      </x:c>
      <x:c r="D79" s="2" t="str">
        <x:v>success</x:v>
      </x:c>
      <x:c r="E79" s="2" t="n">
        <x:v>10</x:v>
      </x:c>
      <x:c r="F79" s="7" t="n">
        <x:v>79.67894736842106</x:v>
      </x:c>
      <x:c r="G79" s="7" t="n">
        <x:v>79.67894736842106</x:v>
      </x:c>
      <x:c r="H79" s="7" t="n">
        <x:f>IF(F79=0,"n.a.",100*(F79-G79)/F79)</x:f>
        <x:v>0</x:v>
      </x:c>
      <x:c r="I79" s="7" t="n">
        <x:f>F79-G79</x:f>
        <x:v>0</x:v>
      </x:c>
      <x:c r="J79" s="8" t="n">
        <x:v>1.1290196260013943</x:v>
      </x:c>
      <x:c r="K79" s="8" t="n">
        <x:v>1.1290196260013945</x:v>
      </x:c>
      <x:c r="L79" s="8" t="n">
        <x:v>0</x:v>
      </x:c>
      <x:c r="M79" s="7" t="n">
        <x:v>734.9022999987938</x:v>
      </x:c>
      <x:c r="N79" s="2" t="str">
        <x:v>qiskit.primitives.StatevectorSampler</x:v>
      </x:c>
      <x:c r="O79" s="9" t="str">
        <x:v>1001110011</x:v>
      </x:c>
    </x:row>
    <x:row r="80" ht="18" customHeight="1">
      <x:c r="A80" s="2" t="str">
        <x:v>legacy_n4_07</x:v>
      </x:c>
      <x:c r="B80" s="2" t="str">
        <x:v>Unmanaged</x:v>
      </x:c>
      <x:c r="C80" s="2"/>
      <x:c r="D80" s="2" t="str">
        <x:v>baseline</x:v>
      </x:c>
      <x:c r="E80" s="2" t="n">
        <x:v>3</x:v>
      </x:c>
      <x:c r="F80" s="7" t="n">
        <x:v>77.825</x:v>
      </x:c>
      <x:c r="G80" s="7" t="n">
        <x:v>77.825</x:v>
      </x:c>
      <x:c r="H80" s="7" t="n">
        <x:f>IF(F80=0,"n.a.",100*(F80-G80)/F80)</x:f>
        <x:v>0</x:v>
      </x:c>
      <x:c r="I80" s="7" t="n">
        <x:f>F80-G80</x:f>
        <x:v>0</x:v>
      </x:c>
      <x:c r="J80" s="8"/>
      <x:c r="K80" s="8" t="n">
        <x:v>0.11842824409659636</x:v>
      </x:c>
      <x:c r="L80" s="8"/>
      <x:c r="M80" s="7"/>
      <x:c r="N80" s="2" t="str">
        <x:v>unmanaged_input</x:v>
      </x:c>
      <x:c r="O80" s="9"/>
    </x:row>
    <x:row r="81" ht="18" customHeight="1">
      <x:c r="A81" s="2" t="str">
        <x:v>legacy_n4_07</x:v>
      </x:c>
      <x:c r="B81" s="2" t="str">
        <x:v>Exact J</x:v>
      </x:c>
      <x:c r="C81" s="2"/>
      <x:c r="D81" s="2" t="str">
        <x:v>success</x:v>
      </x:c>
      <x:c r="E81" s="2" t="n">
        <x:v>3</x:v>
      </x:c>
      <x:c r="F81" s="7" t="n">
        <x:v>77.825</x:v>
      </x:c>
      <x:c r="G81" s="7" t="n">
        <x:v>56.01875</x:v>
      </x:c>
      <x:c r="H81" s="7" t="n">
        <x:f>IF(F81=0,"n.a.",100*(F81-G81)/F81)</x:f>
        <x:v>28.01959524574366</x:v>
      </x:c>
      <x:c r="I81" s="7" t="n">
        <x:f>F81-G81</x:f>
        <x:v>21.806250000000006</x:v>
      </x:c>
      <x:c r="J81" s="8" t="n">
        <x:v>0.11842824409659636</x:v>
      </x:c>
      <x:c r="K81" s="8" t="n">
        <x:v>0.11842824409659636</x:v>
      </x:c>
      <x:c r="L81" s="8" t="n">
        <x:v>0</x:v>
      </x:c>
      <x:c r="M81" s="7"/>
      <x:c r="N81" s="2" t="str">
        <x:v>exhaustive_enumeration</x:v>
      </x:c>
      <x:c r="O81" s="9" t="str">
        <x:v>001</x:v>
      </x:c>
    </x:row>
    <x:row r="82" ht="18" customHeight="1">
      <x:c r="A82" s="2" t="str">
        <x:v>legacy_n4_07</x:v>
      </x:c>
      <x:c r="B82" s="2" t="str">
        <x:v>Exact peak</x:v>
      </x:c>
      <x:c r="C82" s="2"/>
      <x:c r="D82" s="2" t="str">
        <x:v>success</x:v>
      </x:c>
      <x:c r="E82" s="2" t="n">
        <x:v>3</x:v>
      </x:c>
      <x:c r="F82" s="7" t="n">
        <x:v>77.825</x:v>
      </x:c>
      <x:c r="G82" s="7" t="n">
        <x:v>56.01875</x:v>
      </x:c>
      <x:c r="H82" s="7" t="n">
        <x:f>IF(F82=0,"n.a.",100*(F82-G82)/F82)</x:f>
        <x:v>28.01959524574366</x:v>
      </x:c>
      <x:c r="I82" s="7" t="n">
        <x:f>F82-G82</x:f>
        <x:v>21.806250000000006</x:v>
      </x:c>
      <x:c r="J82" s="8" t="n">
        <x:v>0.11842824409659636</x:v>
      </x:c>
      <x:c r="K82" s="8" t="n">
        <x:v>0.11842824409659636</x:v>
      </x:c>
      <x:c r="L82" s="8" t="n">
        <x:v>0</x:v>
      </x:c>
      <x:c r="M82" s="7"/>
      <x:c r="N82" s="2" t="str">
        <x:v>exhaustive_enumeration</x:v>
      </x:c>
      <x:c r="O82" s="9" t="str">
        <x:v>001</x:v>
      </x:c>
    </x:row>
    <x:row r="83" ht="18" customHeight="1">
      <x:c r="A83" s="2" t="str">
        <x:v>legacy_n4_07</x:v>
      </x:c>
      <x:c r="B83" s="2" t="str">
        <x:v>BPSO</x:v>
      </x:c>
      <x:c r="C83" s="2" t="n">
        <x:v>42</x:v>
      </x:c>
      <x:c r="D83" s="2" t="str">
        <x:v>success</x:v>
      </x:c>
      <x:c r="E83" s="2" t="n">
        <x:v>3</x:v>
      </x:c>
      <x:c r="F83" s="7" t="n">
        <x:v>77.825</x:v>
      </x:c>
      <x:c r="G83" s="7" t="n">
        <x:v>56.01875</x:v>
      </x:c>
      <x:c r="H83" s="7" t="n">
        <x:f>IF(F83=0,"n.a.",100*(F83-G83)/F83)</x:f>
        <x:v>28.01959524574366</x:v>
      </x:c>
      <x:c r="I83" s="7" t="n">
        <x:f>F83-G83</x:f>
        <x:v>21.806250000000006</x:v>
      </x:c>
      <x:c r="J83" s="8" t="n">
        <x:v>0.11842824409659636</x:v>
      </x:c>
      <x:c r="K83" s="8" t="n">
        <x:v>0.11842824409659636</x:v>
      </x:c>
      <x:c r="L83" s="8" t="n">
        <x:v>0</x:v>
      </x:c>
      <x:c r="M83" s="7" t="n">
        <x:v>14.33069999620784</x:v>
      </x:c>
      <x:c r="N83" s="2" t="str">
        <x:v>repository_particle_dynamics_on_frozen_qubo</x:v>
      </x:c>
      <x:c r="O83" s="9" t="str">
        <x:v>100</x:v>
      </x:c>
    </x:row>
    <x:row r="84" ht="18" customHeight="1">
      <x:c r="A84" s="2" t="str">
        <x:v>legacy_n4_07</x:v>
      </x:c>
      <x:c r="B84" s="2" t="str">
        <x:v>QAOA</x:v>
      </x:c>
      <x:c r="C84" s="2" t="n">
        <x:v>42</x:v>
      </x:c>
      <x:c r="D84" s="2" t="str">
        <x:v>success</x:v>
      </x:c>
      <x:c r="E84" s="2" t="n">
        <x:v>3</x:v>
      </x:c>
      <x:c r="F84" s="7" t="n">
        <x:v>77.825</x:v>
      </x:c>
      <x:c r="G84" s="7" t="n">
        <x:v>56.01875</x:v>
      </x:c>
      <x:c r="H84" s="7" t="n">
        <x:f>IF(F84=0,"n.a.",100*(F84-G84)/F84)</x:f>
        <x:v>28.01959524574366</x:v>
      </x:c>
      <x:c r="I84" s="7" t="n">
        <x:f>F84-G84</x:f>
        <x:v>21.806250000000006</x:v>
      </x:c>
      <x:c r="J84" s="8" t="n">
        <x:v>0.11842824409659636</x:v>
      </x:c>
      <x:c r="K84" s="8" t="n">
        <x:v>0.11842824409659636</x:v>
      </x:c>
      <x:c r="L84" s="8" t="n">
        <x:v>0</x:v>
      </x:c>
      <x:c r="M84" s="7" t="n">
        <x:v>155.27160000056028</x:v>
      </x:c>
      <x:c r="N84" s="2" t="str">
        <x:v>qiskit.primitives.StatevectorSampler</x:v>
      </x:c>
      <x:c r="O84" s="9" t="str">
        <x:v>100</x:v>
      </x:c>
    </x:row>
    <x:row r="85" ht="18" customHeight="1">
      <x:c r="A85" s="2" t="str">
        <x:v>legacy_n4_07</x:v>
      </x:c>
      <x:c r="B85" s="2" t="str">
        <x:v>BPSO</x:v>
      </x:c>
      <x:c r="C85" s="2" t="n">
        <x:v>123</x:v>
      </x:c>
      <x:c r="D85" s="2" t="str">
        <x:v>success</x:v>
      </x:c>
      <x:c r="E85" s="2" t="n">
        <x:v>3</x:v>
      </x:c>
      <x:c r="F85" s="7" t="n">
        <x:v>77.825</x:v>
      </x:c>
      <x:c r="G85" s="7" t="n">
        <x:v>56.01875</x:v>
      </x:c>
      <x:c r="H85" s="7" t="n">
        <x:f>IF(F85=0,"n.a.",100*(F85-G85)/F85)</x:f>
        <x:v>28.01959524574366</x:v>
      </x:c>
      <x:c r="I85" s="7" t="n">
        <x:f>F85-G85</x:f>
        <x:v>21.806250000000006</x:v>
      </x:c>
      <x:c r="J85" s="8" t="n">
        <x:v>0.11842824409659636</x:v>
      </x:c>
      <x:c r="K85" s="8" t="n">
        <x:v>0.11842824409659636</x:v>
      </x:c>
      <x:c r="L85" s="8" t="n">
        <x:v>0</x:v>
      </x:c>
      <x:c r="M85" s="7" t="n">
        <x:v>15.648100001271814</x:v>
      </x:c>
      <x:c r="N85" s="2" t="str">
        <x:v>repository_particle_dynamics_on_frozen_qubo</x:v>
      </x:c>
      <x:c r="O85" s="9" t="str">
        <x:v>100</x:v>
      </x:c>
    </x:row>
    <x:row r="86" ht="18" customHeight="1">
      <x:c r="A86" s="2" t="str">
        <x:v>legacy_n4_07</x:v>
      </x:c>
      <x:c r="B86" s="2" t="str">
        <x:v>QAOA</x:v>
      </x:c>
      <x:c r="C86" s="2" t="n">
        <x:v>123</x:v>
      </x:c>
      <x:c r="D86" s="2" t="str">
        <x:v>success</x:v>
      </x:c>
      <x:c r="E86" s="2" t="n">
        <x:v>3</x:v>
      </x:c>
      <x:c r="F86" s="7" t="n">
        <x:v>77.825</x:v>
      </x:c>
      <x:c r="G86" s="7" t="n">
        <x:v>56.01875</x:v>
      </x:c>
      <x:c r="H86" s="7" t="n">
        <x:f>IF(F86=0,"n.a.",100*(F86-G86)/F86)</x:f>
        <x:v>28.01959524574366</x:v>
      </x:c>
      <x:c r="I86" s="7" t="n">
        <x:f>F86-G86</x:f>
        <x:v>21.806250000000006</x:v>
      </x:c>
      <x:c r="J86" s="8" t="n">
        <x:v>0.11842824409659636</x:v>
      </x:c>
      <x:c r="K86" s="8" t="n">
        <x:v>0.11842824409659636</x:v>
      </x:c>
      <x:c r="L86" s="8" t="n">
        <x:v>0</x:v>
      </x:c>
      <x:c r="M86" s="7" t="n">
        <x:v>187.5930999958655</x:v>
      </x:c>
      <x:c r="N86" s="2" t="str">
        <x:v>qiskit.primitives.StatevectorSampler</x:v>
      </x:c>
      <x:c r="O86" s="9" t="str">
        <x:v>100</x:v>
      </x:c>
    </x:row>
    <x:row r="87" ht="18" customHeight="1">
      <x:c r="A87" s="2" t="str">
        <x:v>legacy_n4_07</x:v>
      </x:c>
      <x:c r="B87" s="2" t="str">
        <x:v>BPSO</x:v>
      </x:c>
      <x:c r="C87" s="2" t="n">
        <x:v>456</x:v>
      </x:c>
      <x:c r="D87" s="2" t="str">
        <x:v>success</x:v>
      </x:c>
      <x:c r="E87" s="2" t="n">
        <x:v>3</x:v>
      </x:c>
      <x:c r="F87" s="7" t="n">
        <x:v>77.825</x:v>
      </x:c>
      <x:c r="G87" s="7" t="n">
        <x:v>56.01875</x:v>
      </x:c>
      <x:c r="H87" s="7" t="n">
        <x:f>IF(F87=0,"n.a.",100*(F87-G87)/F87)</x:f>
        <x:v>28.01959524574366</x:v>
      </x:c>
      <x:c r="I87" s="7" t="n">
        <x:f>F87-G87</x:f>
        <x:v>21.806250000000006</x:v>
      </x:c>
      <x:c r="J87" s="8" t="n">
        <x:v>0.11842824409659636</x:v>
      </x:c>
      <x:c r="K87" s="8" t="n">
        <x:v>0.11842824409659636</x:v>
      </x:c>
      <x:c r="L87" s="8" t="n">
        <x:v>0</x:v>
      </x:c>
      <x:c r="M87" s="7" t="n">
        <x:v>14.892300008796155</x:v>
      </x:c>
      <x:c r="N87" s="2" t="str">
        <x:v>repository_particle_dynamics_on_frozen_qubo</x:v>
      </x:c>
      <x:c r="O87" s="9" t="str">
        <x:v>010</x:v>
      </x:c>
    </x:row>
    <x:row r="88" ht="18" customHeight="1">
      <x:c r="A88" s="2" t="str">
        <x:v>legacy_n4_07</x:v>
      </x:c>
      <x:c r="B88" s="2" t="str">
        <x:v>QAOA</x:v>
      </x:c>
      <x:c r="C88" s="2" t="n">
        <x:v>456</x:v>
      </x:c>
      <x:c r="D88" s="2" t="str">
        <x:v>success</x:v>
      </x:c>
      <x:c r="E88" s="2" t="n">
        <x:v>3</x:v>
      </x:c>
      <x:c r="F88" s="7" t="n">
        <x:v>77.825</x:v>
      </x:c>
      <x:c r="G88" s="7" t="n">
        <x:v>56.01875</x:v>
      </x:c>
      <x:c r="H88" s="7" t="n">
        <x:f>IF(F88=0,"n.a.",100*(F88-G88)/F88)</x:f>
        <x:v>28.01959524574366</x:v>
      </x:c>
      <x:c r="I88" s="7" t="n">
        <x:f>F88-G88</x:f>
        <x:v>21.806250000000006</x:v>
      </x:c>
      <x:c r="J88" s="8" t="n">
        <x:v>0.11842824409659636</x:v>
      </x:c>
      <x:c r="K88" s="8" t="n">
        <x:v>0.11842824409659636</x:v>
      </x:c>
      <x:c r="L88" s="8" t="n">
        <x:v>0</x:v>
      </x:c>
      <x:c r="M88" s="7" t="n">
        <x:v>140.65719999780413</x:v>
      </x:c>
      <x:c r="N88" s="2" t="str">
        <x:v>qiskit.primitives.StatevectorSampler</x:v>
      </x:c>
      <x:c r="O88" s="9" t="str">
        <x:v>100</x:v>
      </x:c>
    </x:row>
    <x:row r="89" ht="18" customHeight="1">
      <x:c r="A89" s="2" t="str">
        <x:v>legacy_n4_07</x:v>
      </x:c>
      <x:c r="B89" s="2" t="str">
        <x:v>BPSO</x:v>
      </x:c>
      <x:c r="C89" s="2" t="n">
        <x:v>789</x:v>
      </x:c>
      <x:c r="D89" s="2" t="str">
        <x:v>success</x:v>
      </x:c>
      <x:c r="E89" s="2" t="n">
        <x:v>3</x:v>
      </x:c>
      <x:c r="F89" s="7" t="n">
        <x:v>77.825</x:v>
      </x:c>
      <x:c r="G89" s="7" t="n">
        <x:v>56.01875</x:v>
      </x:c>
      <x:c r="H89" s="7" t="n">
        <x:f>IF(F89=0,"n.a.",100*(F89-G89)/F89)</x:f>
        <x:v>28.01959524574366</x:v>
      </x:c>
      <x:c r="I89" s="7" t="n">
        <x:f>F89-G89</x:f>
        <x:v>21.806250000000006</x:v>
      </x:c>
      <x:c r="J89" s="8" t="n">
        <x:v>0.11842824409659636</x:v>
      </x:c>
      <x:c r="K89" s="8" t="n">
        <x:v>0.11842824409659636</x:v>
      </x:c>
      <x:c r="L89" s="8" t="n">
        <x:v>0</x:v>
      </x:c>
      <x:c r="M89" s="7" t="n">
        <x:v>14.031200000317767</x:v>
      </x:c>
      <x:c r="N89" s="2" t="str">
        <x:v>repository_particle_dynamics_on_frozen_qubo</x:v>
      </x:c>
      <x:c r="O89" s="9" t="str">
        <x:v>001</x:v>
      </x:c>
    </x:row>
    <x:row r="90" ht="18" customHeight="1">
      <x:c r="A90" s="2" t="str">
        <x:v>legacy_n4_07</x:v>
      </x:c>
      <x:c r="B90" s="2" t="str">
        <x:v>QAOA</x:v>
      </x:c>
      <x:c r="C90" s="2" t="n">
        <x:v>789</x:v>
      </x:c>
      <x:c r="D90" s="2" t="str">
        <x:v>success</x:v>
      </x:c>
      <x:c r="E90" s="2" t="n">
        <x:v>3</x:v>
      </x:c>
      <x:c r="F90" s="7" t="n">
        <x:v>77.825</x:v>
      </x:c>
      <x:c r="G90" s="7" t="n">
        <x:v>56.01875</x:v>
      </x:c>
      <x:c r="H90" s="7" t="n">
        <x:f>IF(F90=0,"n.a.",100*(F90-G90)/F90)</x:f>
        <x:v>28.01959524574366</x:v>
      </x:c>
      <x:c r="I90" s="7" t="n">
        <x:f>F90-G90</x:f>
        <x:v>21.806250000000006</x:v>
      </x:c>
      <x:c r="J90" s="8" t="n">
        <x:v>0.11842824409659636</x:v>
      </x:c>
      <x:c r="K90" s="8" t="n">
        <x:v>0.11842824409659636</x:v>
      </x:c>
      <x:c r="L90" s="8" t="n">
        <x:v>0</x:v>
      </x:c>
      <x:c r="M90" s="7" t="n">
        <x:v>100.44530000595842</x:v>
      </x:c>
      <x:c r="N90" s="2" t="str">
        <x:v>qiskit.primitives.StatevectorSampler</x:v>
      </x:c>
      <x:c r="O90" s="9" t="str">
        <x:v>100</x:v>
      </x:c>
    </x:row>
    <x:row r="91" ht="18" customHeight="1">
      <x:c r="A91" s="2" t="str">
        <x:v>legacy_n4_07</x:v>
      </x:c>
      <x:c r="B91" s="2" t="str">
        <x:v>BPSO</x:v>
      </x:c>
      <x:c r="C91" s="2" t="n">
        <x:v>2026</x:v>
      </x:c>
      <x:c r="D91" s="2" t="str">
        <x:v>success</x:v>
      </x:c>
      <x:c r="E91" s="2" t="n">
        <x:v>3</x:v>
      </x:c>
      <x:c r="F91" s="7" t="n">
        <x:v>77.825</x:v>
      </x:c>
      <x:c r="G91" s="7" t="n">
        <x:v>56.01875</x:v>
      </x:c>
      <x:c r="H91" s="7" t="n">
        <x:f>IF(F91=0,"n.a.",100*(F91-G91)/F91)</x:f>
        <x:v>28.01959524574366</x:v>
      </x:c>
      <x:c r="I91" s="7" t="n">
        <x:f>F91-G91</x:f>
        <x:v>21.806250000000006</x:v>
      </x:c>
      <x:c r="J91" s="8" t="n">
        <x:v>0.11842824409659636</x:v>
      </x:c>
      <x:c r="K91" s="8" t="n">
        <x:v>0.11842824409659636</x:v>
      </x:c>
      <x:c r="L91" s="8" t="n">
        <x:v>0</x:v>
      </x:c>
      <x:c r="M91" s="7" t="n">
        <x:v>14.481999998679385</x:v>
      </x:c>
      <x:c r="N91" s="2" t="str">
        <x:v>repository_particle_dynamics_on_frozen_qubo</x:v>
      </x:c>
      <x:c r="O91" s="9" t="str">
        <x:v>010</x:v>
      </x:c>
    </x:row>
    <x:row r="92" ht="18" customHeight="1">
      <x:c r="A92" s="2" t="str">
        <x:v>legacy_n4_07</x:v>
      </x:c>
      <x:c r="B92" s="2" t="str">
        <x:v>QAOA</x:v>
      </x:c>
      <x:c r="C92" s="2" t="n">
        <x:v>2026</x:v>
      </x:c>
      <x:c r="D92" s="2" t="str">
        <x:v>success</x:v>
      </x:c>
      <x:c r="E92" s="2" t="n">
        <x:v>3</x:v>
      </x:c>
      <x:c r="F92" s="7" t="n">
        <x:v>77.825</x:v>
      </x:c>
      <x:c r="G92" s="7" t="n">
        <x:v>56.01875</x:v>
      </x:c>
      <x:c r="H92" s="7" t="n">
        <x:f>IF(F92=0,"n.a.",100*(F92-G92)/F92)</x:f>
        <x:v>28.01959524574366</x:v>
      </x:c>
      <x:c r="I92" s="7" t="n">
        <x:f>F92-G92</x:f>
        <x:v>21.806250000000006</x:v>
      </x:c>
      <x:c r="J92" s="8" t="n">
        <x:v>0.11842824409659636</x:v>
      </x:c>
      <x:c r="K92" s="8" t="n">
        <x:v>0.11842824409659636</x:v>
      </x:c>
      <x:c r="L92" s="8" t="n">
        <x:v>0</x:v>
      </x:c>
      <x:c r="M92" s="7" t="n">
        <x:v>150.10090000578202</x:v>
      </x:c>
      <x:c r="N92" s="2" t="str">
        <x:v>qiskit.primitives.StatevectorSampler</x:v>
      </x:c>
      <x:c r="O92" s="9" t="str">
        <x:v>100</x:v>
      </x:c>
    </x:row>
    <x:row r="93" ht="18" customHeight="1">
      <x:c r="A93" s="2" t="str">
        <x:v>legacy_n4_08</x:v>
      </x:c>
      <x:c r="B93" s="2" t="str">
        <x:v>Unmanaged</x:v>
      </x:c>
      <x:c r="C93" s="2"/>
      <x:c r="D93" s="2" t="str">
        <x:v>baseline</x:v>
      </x:c>
      <x:c r="E93" s="2" t="n">
        <x:v>7</x:v>
      </x:c>
      <x:c r="F93" s="7" t="n">
        <x:v>77.01666666666667</x:v>
      </x:c>
      <x:c r="G93" s="7" t="n">
        <x:v>77.01666666666667</x:v>
      </x:c>
      <x:c r="H93" s="7" t="n">
        <x:f>IF(F93=0,"n.a.",100*(F93-G93)/F93)</x:f>
        <x:v>0</x:v>
      </x:c>
      <x:c r="I93" s="7" t="n">
        <x:f>F93-G93</x:f>
        <x:v>0</x:v>
      </x:c>
      <x:c r="J93" s="8"/>
      <x:c r="K93" s="8" t="n">
        <x:v>0.19588841221875858</x:v>
      </x:c>
      <x:c r="L93" s="8"/>
      <x:c r="M93" s="7"/>
      <x:c r="N93" s="2" t="str">
        <x:v>unmanaged_input</x:v>
      </x:c>
      <x:c r="O93" s="9"/>
    </x:row>
    <x:row r="94" ht="18" customHeight="1">
      <x:c r="A94" s="2" t="str">
        <x:v>legacy_n4_08</x:v>
      </x:c>
      <x:c r="B94" s="2" t="str">
        <x:v>Exact J</x:v>
      </x:c>
      <x:c r="C94" s="2"/>
      <x:c r="D94" s="2" t="str">
        <x:v>success</x:v>
      </x:c>
      <x:c r="E94" s="2" t="n">
        <x:v>7</x:v>
      </x:c>
      <x:c r="F94" s="7" t="n">
        <x:v>77.01666666666667</x:v>
      </x:c>
      <x:c r="G94" s="7" t="n">
        <x:v>67.025</x:v>
      </x:c>
      <x:c r="H94" s="7" t="n">
        <x:f>IF(F94=0,"n.a.",100*(F94-G94)/F94)</x:f>
        <x:v>12.973382384765195</x:v>
      </x:c>
      <x:c r="I94" s="7" t="n">
        <x:f>F94-G94</x:f>
        <x:v>9.99166666666666</x:v>
      </x:c>
      <x:c r="J94" s="8" t="n">
        <x:v>0.19588841221875858</x:v>
      </x:c>
      <x:c r="K94" s="8" t="n">
        <x:v>0.19588841221875858</x:v>
      </x:c>
      <x:c r="L94" s="8" t="n">
        <x:v>0</x:v>
      </x:c>
      <x:c r="M94" s="7"/>
      <x:c r="N94" s="2" t="str">
        <x:v>exhaustive_enumeration</x:v>
      </x:c>
      <x:c r="O94" s="9" t="str">
        <x:v>0011001</x:v>
      </x:c>
    </x:row>
    <x:row r="95" ht="18" customHeight="1">
      <x:c r="A95" s="2" t="str">
        <x:v>legacy_n4_08</x:v>
      </x:c>
      <x:c r="B95" s="2" t="str">
        <x:v>Exact peak</x:v>
      </x:c>
      <x:c r="C95" s="2"/>
      <x:c r="D95" s="2" t="str">
        <x:v>success</x:v>
      </x:c>
      <x:c r="E95" s="2" t="n">
        <x:v>7</x:v>
      </x:c>
      <x:c r="F95" s="7" t="n">
        <x:v>77.01666666666667</x:v>
      </x:c>
      <x:c r="G95" s="7" t="n">
        <x:v>66.69411764705883</x:v>
      </x:c>
      <x:c r="H95" s="7" t="n">
        <x:f>IF(F95=0,"n.a.",100*(F95-G95)/F95)</x:f>
        <x:v>13.403006733963862</x:v>
      </x:c>
      <x:c r="I95" s="7" t="n">
        <x:f>F95-G95</x:f>
        <x:v>10.322549019607834</x:v>
      </x:c>
      <x:c r="J95" s="8" t="n">
        <x:v>0.2181905077257938</x:v>
      </x:c>
      <x:c r="K95" s="8" t="n">
        <x:v>0.19588841221875858</x:v>
      </x:c>
      <x:c r="L95" s="8" t="n">
        <x:v>0.022302095507035213</x:v>
      </x:c>
      <x:c r="M95" s="7"/>
      <x:c r="N95" s="2" t="str">
        <x:v>exhaustive_enumeration</x:v>
      </x:c>
      <x:c r="O95" s="9" t="str">
        <x:v>0001011</x:v>
      </x:c>
    </x:row>
    <x:row r="96" ht="18" customHeight="1">
      <x:c r="A96" s="2" t="str">
        <x:v>legacy_n4_08</x:v>
      </x:c>
      <x:c r="B96" s="2" t="str">
        <x:v>BPSO</x:v>
      </x:c>
      <x:c r="C96" s="2" t="n">
        <x:v>42</x:v>
      </x:c>
      <x:c r="D96" s="2" t="str">
        <x:v>success</x:v>
      </x:c>
      <x:c r="E96" s="2" t="n">
        <x:v>7</x:v>
      </x:c>
      <x:c r="F96" s="7" t="n">
        <x:v>77.01666666666667</x:v>
      </x:c>
      <x:c r="G96" s="7" t="n">
        <x:v>67.025</x:v>
      </x:c>
      <x:c r="H96" s="7" t="n">
        <x:f>IF(F96=0,"n.a.",100*(F96-G96)/F96)</x:f>
        <x:v>12.973382384765195</x:v>
      </x:c>
      <x:c r="I96" s="7" t="n">
        <x:f>F96-G96</x:f>
        <x:v>9.99166666666666</x:v>
      </x:c>
      <x:c r="J96" s="8" t="n">
        <x:v>0.19588841221875858</x:v>
      </x:c>
      <x:c r="K96" s="8" t="n">
        <x:v>0.19588841221875858</x:v>
      </x:c>
      <x:c r="L96" s="8" t="n">
        <x:v>0</x:v>
      </x:c>
      <x:c r="M96" s="7" t="n">
        <x:v>19.175100009306334</x:v>
      </x:c>
      <x:c r="N96" s="2" t="str">
        <x:v>repository_particle_dynamics_on_frozen_qubo</x:v>
      </x:c>
      <x:c r="O96" s="9" t="str">
        <x:v>0101010</x:v>
      </x:c>
    </x:row>
    <x:row r="97" ht="18" customHeight="1">
      <x:c r="A97" s="2" t="str">
        <x:v>legacy_n4_08</x:v>
      </x:c>
      <x:c r="B97" s="2" t="str">
        <x:v>QAOA</x:v>
      </x:c>
      <x:c r="C97" s="2" t="n">
        <x:v>42</x:v>
      </x:c>
      <x:c r="D97" s="2" t="str">
        <x:v>success</x:v>
      </x:c>
      <x:c r="E97" s="2" t="n">
        <x:v>7</x:v>
      </x:c>
      <x:c r="F97" s="7" t="n">
        <x:v>77.01666666666667</x:v>
      </x:c>
      <x:c r="G97" s="7" t="n">
        <x:v>67.025</x:v>
      </x:c>
      <x:c r="H97" s="7" t="n">
        <x:f>IF(F97=0,"n.a.",100*(F97-G97)/F97)</x:f>
        <x:v>12.973382384765195</x:v>
      </x:c>
      <x:c r="I97" s="7" t="n">
        <x:f>F97-G97</x:f>
        <x:v>9.99166666666666</x:v>
      </x:c>
      <x:c r="J97" s="8" t="n">
        <x:v>0.19588841221875858</x:v>
      </x:c>
      <x:c r="K97" s="8" t="n">
        <x:v>0.19588841221875858</x:v>
      </x:c>
      <x:c r="L97" s="8" t="n">
        <x:v>0</x:v>
      </x:c>
      <x:c r="M97" s="7" t="n">
        <x:v>363.548900000751</x:v>
      </x:c>
      <x:c r="N97" s="2" t="str">
        <x:v>qiskit.primitives.StatevectorSampler</x:v>
      </x:c>
      <x:c r="O97" s="9" t="str">
        <x:v>1100100</x:v>
      </x:c>
    </x:row>
    <x:row r="98" ht="18" customHeight="1">
      <x:c r="A98" s="2" t="str">
        <x:v>legacy_n4_08</x:v>
      </x:c>
      <x:c r="B98" s="2" t="str">
        <x:v>BPSO</x:v>
      </x:c>
      <x:c r="C98" s="2" t="n">
        <x:v>123</x:v>
      </x:c>
      <x:c r="D98" s="2" t="str">
        <x:v>success</x:v>
      </x:c>
      <x:c r="E98" s="2" t="n">
        <x:v>7</x:v>
      </x:c>
      <x:c r="F98" s="7" t="n">
        <x:v>77.01666666666667</x:v>
      </x:c>
      <x:c r="G98" s="7" t="n">
        <x:v>67.025</x:v>
      </x:c>
      <x:c r="H98" s="7" t="n">
        <x:f>IF(F98=0,"n.a.",100*(F98-G98)/F98)</x:f>
        <x:v>12.973382384765195</x:v>
      </x:c>
      <x:c r="I98" s="7" t="n">
        <x:f>F98-G98</x:f>
        <x:v>9.99166666666666</x:v>
      </x:c>
      <x:c r="J98" s="8" t="n">
        <x:v>0.19588841221875858</x:v>
      </x:c>
      <x:c r="K98" s="8" t="n">
        <x:v>0.19588841221875858</x:v>
      </x:c>
      <x:c r="L98" s="8" t="n">
        <x:v>0</x:v>
      </x:c>
      <x:c r="M98" s="7" t="n">
        <x:v>16.833499990752898</x:v>
      </x:c>
      <x:c r="N98" s="2" t="str">
        <x:v>repository_particle_dynamics_on_frozen_qubo</x:v>
      </x:c>
      <x:c r="O98" s="9" t="str">
        <x:v>0101001</x:v>
      </x:c>
    </x:row>
    <x:row r="99" ht="18" customHeight="1">
      <x:c r="A99" s="2" t="str">
        <x:v>legacy_n4_08</x:v>
      </x:c>
      <x:c r="B99" s="2" t="str">
        <x:v>QAOA</x:v>
      </x:c>
      <x:c r="C99" s="2" t="n">
        <x:v>123</x:v>
      </x:c>
      <x:c r="D99" s="2" t="str">
        <x:v>success</x:v>
      </x:c>
      <x:c r="E99" s="2" t="n">
        <x:v>7</x:v>
      </x:c>
      <x:c r="F99" s="7" t="n">
        <x:v>77.01666666666667</x:v>
      </x:c>
      <x:c r="G99" s="7" t="n">
        <x:v>67.025</x:v>
      </x:c>
      <x:c r="H99" s="7" t="n">
        <x:f>IF(F99=0,"n.a.",100*(F99-G99)/F99)</x:f>
        <x:v>12.973382384765195</x:v>
      </x:c>
      <x:c r="I99" s="7" t="n">
        <x:f>F99-G99</x:f>
        <x:v>9.99166666666666</x:v>
      </x:c>
      <x:c r="J99" s="8" t="n">
        <x:v>0.19588841221875858</x:v>
      </x:c>
      <x:c r="K99" s="8" t="n">
        <x:v>0.19588841221875858</x:v>
      </x:c>
      <x:c r="L99" s="8" t="n">
        <x:v>0</x:v>
      </x:c>
      <x:c r="M99" s="7" t="n">
        <x:v>368.5232999996515</x:v>
      </x:c>
      <x:c r="N99" s="2" t="str">
        <x:v>qiskit.primitives.StatevectorSampler</x:v>
      </x:c>
      <x:c r="O99" s="9" t="str">
        <x:v>0101100</x:v>
      </x:c>
    </x:row>
    <x:row r="100" ht="18" customHeight="1">
      <x:c r="A100" s="2" t="str">
        <x:v>legacy_n4_08</x:v>
      </x:c>
      <x:c r="B100" s="2" t="str">
        <x:v>BPSO</x:v>
      </x:c>
      <x:c r="C100" s="2" t="n">
        <x:v>456</x:v>
      </x:c>
      <x:c r="D100" s="2" t="str">
        <x:v>success</x:v>
      </x:c>
      <x:c r="E100" s="2" t="n">
        <x:v>7</x:v>
      </x:c>
      <x:c r="F100" s="7" t="n">
        <x:v>77.01666666666667</x:v>
      </x:c>
      <x:c r="G100" s="7" t="n">
        <x:v>67.025</x:v>
      </x:c>
      <x:c r="H100" s="7" t="n">
        <x:f>IF(F100=0,"n.a.",100*(F100-G100)/F100)</x:f>
        <x:v>12.973382384765195</x:v>
      </x:c>
      <x:c r="I100" s="7" t="n">
        <x:f>F100-G100</x:f>
        <x:v>9.99166666666666</x:v>
      </x:c>
      <x:c r="J100" s="8" t="n">
        <x:v>0.19588841221875858</x:v>
      </x:c>
      <x:c r="K100" s="8" t="n">
        <x:v>0.19588841221875858</x:v>
      </x:c>
      <x:c r="L100" s="8" t="n">
        <x:v>0</x:v>
      </x:c>
      <x:c r="M100" s="7" t="n">
        <x:v>17.077399999834597</x:v>
      </x:c>
      <x:c r="N100" s="2" t="str">
        <x:v>repository_particle_dynamics_on_frozen_qubo</x:v>
      </x:c>
      <x:c r="O100" s="9" t="str">
        <x:v>0101001</x:v>
      </x:c>
    </x:row>
    <x:row r="101" ht="18" customHeight="1">
      <x:c r="A101" s="2" t="str">
        <x:v>legacy_n4_08</x:v>
      </x:c>
      <x:c r="B101" s="2" t="str">
        <x:v>QAOA</x:v>
      </x:c>
      <x:c r="C101" s="2" t="n">
        <x:v>456</x:v>
      </x:c>
      <x:c r="D101" s="2" t="str">
        <x:v>success</x:v>
      </x:c>
      <x:c r="E101" s="2" t="n">
        <x:v>7</x:v>
      </x:c>
      <x:c r="F101" s="7" t="n">
        <x:v>77.01666666666667</x:v>
      </x:c>
      <x:c r="G101" s="7" t="n">
        <x:v>67.025</x:v>
      </x:c>
      <x:c r="H101" s="7" t="n">
        <x:f>IF(F101=0,"n.a.",100*(F101-G101)/F101)</x:f>
        <x:v>12.973382384765195</x:v>
      </x:c>
      <x:c r="I101" s="7" t="n">
        <x:f>F101-G101</x:f>
        <x:v>9.99166666666666</x:v>
      </x:c>
      <x:c r="J101" s="8" t="n">
        <x:v>0.19588841221875858</x:v>
      </x:c>
      <x:c r="K101" s="8" t="n">
        <x:v>0.19588841221875858</x:v>
      </x:c>
      <x:c r="L101" s="8" t="n">
        <x:v>0</x:v>
      </x:c>
      <x:c r="M101" s="7" t="n">
        <x:v>340.4827999911504</x:v>
      </x:c>
      <x:c r="N101" s="2" t="str">
        <x:v>qiskit.primitives.StatevectorSampler</x:v>
      </x:c>
      <x:c r="O101" s="9" t="str">
        <x:v>1001100</x:v>
      </x:c>
    </x:row>
    <x:row r="102" ht="18" customHeight="1">
      <x:c r="A102" s="2" t="str">
        <x:v>legacy_n4_08</x:v>
      </x:c>
      <x:c r="B102" s="2" t="str">
        <x:v>BPSO</x:v>
      </x:c>
      <x:c r="C102" s="2" t="n">
        <x:v>789</x:v>
      </x:c>
      <x:c r="D102" s="2" t="str">
        <x:v>success</x:v>
      </x:c>
      <x:c r="E102" s="2" t="n">
        <x:v>7</x:v>
      </x:c>
      <x:c r="F102" s="7" t="n">
        <x:v>77.01666666666667</x:v>
      </x:c>
      <x:c r="G102" s="7" t="n">
        <x:v>67.025</x:v>
      </x:c>
      <x:c r="H102" s="7" t="n">
        <x:f>IF(F102=0,"n.a.",100*(F102-G102)/F102)</x:f>
        <x:v>12.973382384765195</x:v>
      </x:c>
      <x:c r="I102" s="7" t="n">
        <x:f>F102-G102</x:f>
        <x:v>9.99166666666666</x:v>
      </x:c>
      <x:c r="J102" s="8" t="n">
        <x:v>0.19588841221875858</x:v>
      </x:c>
      <x:c r="K102" s="8" t="n">
        <x:v>0.19588841221875858</x:v>
      </x:c>
      <x:c r="L102" s="8" t="n">
        <x:v>0</x:v>
      </x:c>
      <x:c r="M102" s="7" t="n">
        <x:v>18.060399990645237</x:v>
      </x:c>
      <x:c r="N102" s="2" t="str">
        <x:v>repository_particle_dynamics_on_frozen_qubo</x:v>
      </x:c>
      <x:c r="O102" s="9" t="str">
        <x:v>0110001</x:v>
      </x:c>
    </x:row>
    <x:row r="103" ht="18" customHeight="1">
      <x:c r="A103" s="2" t="str">
        <x:v>legacy_n4_08</x:v>
      </x:c>
      <x:c r="B103" s="2" t="str">
        <x:v>QAOA</x:v>
      </x:c>
      <x:c r="C103" s="2" t="n">
        <x:v>789</x:v>
      </x:c>
      <x:c r="D103" s="2" t="str">
        <x:v>success</x:v>
      </x:c>
      <x:c r="E103" s="2" t="n">
        <x:v>7</x:v>
      </x:c>
      <x:c r="F103" s="7" t="n">
        <x:v>77.01666666666667</x:v>
      </x:c>
      <x:c r="G103" s="7" t="n">
        <x:v>67.025</x:v>
      </x:c>
      <x:c r="H103" s="7" t="n">
        <x:f>IF(F103=0,"n.a.",100*(F103-G103)/F103)</x:f>
        <x:v>12.973382384765195</x:v>
      </x:c>
      <x:c r="I103" s="7" t="n">
        <x:f>F103-G103</x:f>
        <x:v>9.99166666666666</x:v>
      </x:c>
      <x:c r="J103" s="8" t="n">
        <x:v>0.19588841221875858</x:v>
      </x:c>
      <x:c r="K103" s="8" t="n">
        <x:v>0.19588841221875858</x:v>
      </x:c>
      <x:c r="L103" s="8" t="n">
        <x:v>0</x:v>
      </x:c>
      <x:c r="M103" s="7" t="n">
        <x:v>320.46589998935815</x:v>
      </x:c>
      <x:c r="N103" s="2" t="str">
        <x:v>qiskit.primitives.StatevectorSampler</x:v>
      </x:c>
      <x:c r="O103" s="9" t="str">
        <x:v>1100100</x:v>
      </x:c>
    </x:row>
    <x:row r="104" ht="18" customHeight="1">
      <x:c r="A104" s="2" t="str">
        <x:v>legacy_n4_08</x:v>
      </x:c>
      <x:c r="B104" s="2" t="str">
        <x:v>BPSO</x:v>
      </x:c>
      <x:c r="C104" s="2" t="n">
        <x:v>2026</x:v>
      </x:c>
      <x:c r="D104" s="2" t="str">
        <x:v>success</x:v>
      </x:c>
      <x:c r="E104" s="2" t="n">
        <x:v>7</x:v>
      </x:c>
      <x:c r="F104" s="7" t="n">
        <x:v>77.01666666666667</x:v>
      </x:c>
      <x:c r="G104" s="7" t="n">
        <x:v>67.025</x:v>
      </x:c>
      <x:c r="H104" s="7" t="n">
        <x:f>IF(F104=0,"n.a.",100*(F104-G104)/F104)</x:f>
        <x:v>12.973382384765195</x:v>
      </x:c>
      <x:c r="I104" s="7" t="n">
        <x:f>F104-G104</x:f>
        <x:v>9.99166666666666</x:v>
      </x:c>
      <x:c r="J104" s="8" t="n">
        <x:v>0.19588841221875858</x:v>
      </x:c>
      <x:c r="K104" s="8" t="n">
        <x:v>0.19588841221875858</x:v>
      </x:c>
      <x:c r="L104" s="8" t="n">
        <x:v>0</x:v>
      </x:c>
      <x:c r="M104" s="7" t="n">
        <x:v>17.428500010282733</x:v>
      </x:c>
      <x:c r="N104" s="2" t="str">
        <x:v>repository_particle_dynamics_on_frozen_qubo</x:v>
      </x:c>
      <x:c r="O104" s="9" t="str">
        <x:v>1100001</x:v>
      </x:c>
    </x:row>
    <x:row r="105" ht="18" customHeight="1">
      <x:c r="A105" s="2" t="str">
        <x:v>legacy_n4_08</x:v>
      </x:c>
      <x:c r="B105" s="2" t="str">
        <x:v>QAOA</x:v>
      </x:c>
      <x:c r="C105" s="2" t="n">
        <x:v>2026</x:v>
      </x:c>
      <x:c r="D105" s="2" t="str">
        <x:v>success</x:v>
      </x:c>
      <x:c r="E105" s="2" t="n">
        <x:v>7</x:v>
      </x:c>
      <x:c r="F105" s="7" t="n">
        <x:v>77.01666666666667</x:v>
      </x:c>
      <x:c r="G105" s="7" t="n">
        <x:v>67.025</x:v>
      </x:c>
      <x:c r="H105" s="7" t="n">
        <x:f>IF(F105=0,"n.a.",100*(F105-G105)/F105)</x:f>
        <x:v>12.973382384765195</x:v>
      </x:c>
      <x:c r="I105" s="7" t="n">
        <x:f>F105-G105</x:f>
        <x:v>9.99166666666666</x:v>
      </x:c>
      <x:c r="J105" s="8" t="n">
        <x:v>0.19588841221875858</x:v>
      </x:c>
      <x:c r="K105" s="8" t="n">
        <x:v>0.19588841221875858</x:v>
      </x:c>
      <x:c r="L105" s="8" t="n">
        <x:v>0</x:v>
      </x:c>
      <x:c r="M105" s="7" t="n">
        <x:v>380.66470000194386</x:v>
      </x:c>
      <x:c r="N105" s="2" t="str">
        <x:v>qiskit.primitives.StatevectorSampler</x:v>
      </x:c>
      <x:c r="O105" s="9" t="str">
        <x:v>0101100</x:v>
      </x:c>
    </x:row>
    <x:row r="106" ht="18" customHeight="1">
      <x:c r="A106" s="2" t="str">
        <x:v>legacy_n4_09</x:v>
      </x:c>
      <x:c r="B106" s="2" t="str">
        <x:v>Unmanaged</x:v>
      </x:c>
      <x:c r="C106" s="2"/>
      <x:c r="D106" s="2" t="str">
        <x:v>baseline</x:v>
      </x:c>
      <x:c r="E106" s="2" t="n">
        <x:v>10</x:v>
      </x:c>
      <x:c r="F106" s="7" t="n">
        <x:v>85.25714285714285</x:v>
      </x:c>
      <x:c r="G106" s="7" t="n">
        <x:v>85.25714285714285</x:v>
      </x:c>
      <x:c r="H106" s="7" t="n">
        <x:f>IF(F106=0,"n.a.",100*(F106-G106)/F106)</x:f>
        <x:v>0</x:v>
      </x:c>
      <x:c r="I106" s="7" t="n">
        <x:f>F106-G106</x:f>
        <x:v>0</x:v>
      </x:c>
      <x:c r="J106" s="8"/>
      <x:c r="K106" s="8" t="n">
        <x:v>0.37214609944733573</x:v>
      </x:c>
      <x:c r="L106" s="8"/>
      <x:c r="M106" s="7"/>
      <x:c r="N106" s="2" t="str">
        <x:v>unmanaged_input</x:v>
      </x:c>
      <x:c r="O106" s="9"/>
    </x:row>
    <x:row r="107" ht="18" customHeight="1">
      <x:c r="A107" s="2" t="str">
        <x:v>legacy_n4_09</x:v>
      </x:c>
      <x:c r="B107" s="2" t="str">
        <x:v>Exact J</x:v>
      </x:c>
      <x:c r="C107" s="2"/>
      <x:c r="D107" s="2" t="str">
        <x:v>success</x:v>
      </x:c>
      <x:c r="E107" s="2" t="n">
        <x:v>10</x:v>
      </x:c>
      <x:c r="F107" s="7" t="n">
        <x:v>85.25714285714285</x:v>
      </x:c>
      <x:c r="G107" s="7" t="n">
        <x:v>78.94500000000001</x:v>
      </x:c>
      <x:c r="H107" s="7" t="n">
        <x:f>IF(F107=0,"n.a.",100*(F107-G107)/F107)</x:f>
        <x:v>7.403652815013391</x:v>
      </x:c>
      <x:c r="I107" s="7" t="n">
        <x:f>F107-G107</x:f>
        <x:v>6.312142857142845</x:v>
      </x:c>
      <x:c r="J107" s="8" t="n">
        <x:v>0.37214609944733573</x:v>
      </x:c>
      <x:c r="K107" s="8" t="n">
        <x:v>0.37214609944733573</x:v>
      </x:c>
      <x:c r="L107" s="8" t="n">
        <x:v>0</x:v>
      </x:c>
      <x:c r="M107" s="7"/>
      <x:c r="N107" s="2" t="str">
        <x:v>exhaustive_enumeration</x:v>
      </x:c>
      <x:c r="O107" s="9" t="str">
        <x:v>0001100011</x:v>
      </x:c>
    </x:row>
    <x:row r="108" ht="18" customHeight="1">
      <x:c r="A108" s="2" t="str">
        <x:v>legacy_n4_09</x:v>
      </x:c>
      <x:c r="B108" s="2" t="str">
        <x:v>Exact peak</x:v>
      </x:c>
      <x:c r="C108" s="2"/>
      <x:c r="D108" s="2" t="str">
        <x:v>success</x:v>
      </x:c>
      <x:c r="E108" s="2" t="n">
        <x:v>10</x:v>
      </x:c>
      <x:c r="F108" s="7" t="n">
        <x:v>85.25714285714285</x:v>
      </x:c>
      <x:c r="G108" s="7" t="n">
        <x:v>72.78181818181818</x:v>
      </x:c>
      <x:c r="H108" s="7" t="n">
        <x:f>IF(F108=0,"n.a.",100*(F108-G108)/F108)</x:f>
        <x:v>14.632585912746766</x:v>
      </x:c>
      <x:c r="I108" s="7" t="n">
        <x:f>F108-G108</x:f>
        <x:v>12.475324675324671</x:v>
      </x:c>
      <x:c r="J108" s="8" t="n">
        <x:v>0.3820805652196544</x:v>
      </x:c>
      <x:c r="K108" s="8" t="n">
        <x:v>0.37214609944733573</x:v>
      </x:c>
      <x:c r="L108" s="8" t="n">
        <x:v>0.009934465772318657</x:v>
      </x:c>
      <x:c r="M108" s="7"/>
      <x:c r="N108" s="2" t="str">
        <x:v>exhaustive_enumeration</x:v>
      </x:c>
      <x:c r="O108" s="9" t="str">
        <x:v>0011100011</x:v>
      </x:c>
    </x:row>
    <x:row r="109" ht="18" customHeight="1">
      <x:c r="A109" s="2" t="str">
        <x:v>legacy_n4_09</x:v>
      </x:c>
      <x:c r="B109" s="2" t="str">
        <x:v>BPSO</x:v>
      </x:c>
      <x:c r="C109" s="2" t="n">
        <x:v>42</x:v>
      </x:c>
      <x:c r="D109" s="2" t="str">
        <x:v>success</x:v>
      </x:c>
      <x:c r="E109" s="2" t="n">
        <x:v>10</x:v>
      </x:c>
      <x:c r="F109" s="7" t="n">
        <x:v>85.25714285714285</x:v>
      </x:c>
      <x:c r="G109" s="7" t="n">
        <x:v>78.94500000000001</x:v>
      </x:c>
      <x:c r="H109" s="7" t="n">
        <x:f>IF(F109=0,"n.a.",100*(F109-G109)/F109)</x:f>
        <x:v>7.403652815013391</x:v>
      </x:c>
      <x:c r="I109" s="7" t="n">
        <x:f>F109-G109</x:f>
        <x:v>6.312142857142845</x:v>
      </x:c>
      <x:c r="J109" s="8" t="n">
        <x:v>0.37214609944733573</x:v>
      </x:c>
      <x:c r="K109" s="8" t="n">
        <x:v>0.37214609944733573</x:v>
      </x:c>
      <x:c r="L109" s="8" t="n">
        <x:v>0</x:v>
      </x:c>
      <x:c r="M109" s="7" t="n">
        <x:v>21.60189999267459</x:v>
      </x:c>
      <x:c r="N109" s="2" t="str">
        <x:v>repository_particle_dynamics_on_frozen_qubo</x:v>
      </x:c>
      <x:c r="O109" s="9" t="str">
        <x:v>1010001001</x:v>
      </x:c>
    </x:row>
    <x:row r="110" ht="18" customHeight="1">
      <x:c r="A110" s="2" t="str">
        <x:v>legacy_n4_09</x:v>
      </x:c>
      <x:c r="B110" s="2" t="str">
        <x:v>QAOA</x:v>
      </x:c>
      <x:c r="C110" s="2" t="n">
        <x:v>42</x:v>
      </x:c>
      <x:c r="D110" s="2" t="str">
        <x:v>success</x:v>
      </x:c>
      <x:c r="E110" s="2" t="n">
        <x:v>10</x:v>
      </x:c>
      <x:c r="F110" s="7" t="n">
        <x:v>85.25714285714285</x:v>
      </x:c>
      <x:c r="G110" s="7" t="n">
        <x:v>78.94500000000001</x:v>
      </x:c>
      <x:c r="H110" s="7" t="n">
        <x:f>IF(F110=0,"n.a.",100*(F110-G110)/F110)</x:f>
        <x:v>7.403652815013391</x:v>
      </x:c>
      <x:c r="I110" s="7" t="n">
        <x:f>F110-G110</x:f>
        <x:v>6.312142857142845</x:v>
      </x:c>
      <x:c r="J110" s="8" t="n">
        <x:v>0.3721460994473355</x:v>
      </x:c>
      <x:c r="K110" s="8" t="n">
        <x:v>0.37214609944733573</x:v>
      </x:c>
      <x:c r="L110" s="8" t="n">
        <x:v>0</x:v>
      </x:c>
      <x:c r="M110" s="7" t="n">
        <x:v>802.9978000122355</x:v>
      </x:c>
      <x:c r="N110" s="2" t="str">
        <x:v>qiskit.primitives.StatevectorSampler</x:v>
      </x:c>
      <x:c r="O110" s="9" t="str">
        <x:v>0010100011</x:v>
      </x:c>
    </x:row>
    <x:row r="111" ht="18" customHeight="1">
      <x:c r="A111" s="2" t="str">
        <x:v>legacy_n4_09</x:v>
      </x:c>
      <x:c r="B111" s="2" t="str">
        <x:v>BPSO</x:v>
      </x:c>
      <x:c r="C111" s="2" t="n">
        <x:v>123</x:v>
      </x:c>
      <x:c r="D111" s="2" t="str">
        <x:v>success</x:v>
      </x:c>
      <x:c r="E111" s="2" t="n">
        <x:v>10</x:v>
      </x:c>
      <x:c r="F111" s="7" t="n">
        <x:v>85.25714285714285</x:v>
      </x:c>
      <x:c r="G111" s="7" t="n">
        <x:v>78.94500000000001</x:v>
      </x:c>
      <x:c r="H111" s="7" t="n">
        <x:f>IF(F111=0,"n.a.",100*(F111-G111)/F111)</x:f>
        <x:v>7.403652815013391</x:v>
      </x:c>
      <x:c r="I111" s="7" t="n">
        <x:f>F111-G111</x:f>
        <x:v>6.312142857142845</x:v>
      </x:c>
      <x:c r="J111" s="8" t="n">
        <x:v>0.37214609944733573</x:v>
      </x:c>
      <x:c r="K111" s="8" t="n">
        <x:v>0.37214609944733573</x:v>
      </x:c>
      <x:c r="L111" s="8" t="n">
        <x:v>0</x:v>
      </x:c>
      <x:c r="M111" s="7" t="n">
        <x:v>21.734699999797158</x:v>
      </x:c>
      <x:c r="N111" s="2" t="str">
        <x:v>repository_particle_dynamics_on_frozen_qubo</x:v>
      </x:c>
      <x:c r="O111" s="9" t="str">
        <x:v>0110000110</x:v>
      </x:c>
    </x:row>
    <x:row r="112" ht="18" customHeight="1">
      <x:c r="A112" s="2" t="str">
        <x:v>legacy_n4_09</x:v>
      </x:c>
      <x:c r="B112" s="2" t="str">
        <x:v>QAOA</x:v>
      </x:c>
      <x:c r="C112" s="2" t="n">
        <x:v>123</x:v>
      </x:c>
      <x:c r="D112" s="2" t="str">
        <x:v>success</x:v>
      </x:c>
      <x:c r="E112" s="2" t="n">
        <x:v>10</x:v>
      </x:c>
      <x:c r="F112" s="7" t="n">
        <x:v>85.25714285714285</x:v>
      </x:c>
      <x:c r="G112" s="7" t="n">
        <x:v>78.94500000000001</x:v>
      </x:c>
      <x:c r="H112" s="7" t="n">
        <x:f>IF(F112=0,"n.a.",100*(F112-G112)/F112)</x:f>
        <x:v>7.403652815013391</x:v>
      </x:c>
      <x:c r="I112" s="7" t="n">
        <x:f>F112-G112</x:f>
        <x:v>6.312142857142845</x:v>
      </x:c>
      <x:c r="J112" s="8" t="n">
        <x:v>0.3721460994473355</x:v>
      </x:c>
      <x:c r="K112" s="8" t="n">
        <x:v>0.37214609944733573</x:v>
      </x:c>
      <x:c r="L112" s="8" t="n">
        <x:v>0</x:v>
      </x:c>
      <x:c r="M112" s="7" t="n">
        <x:v>780.8539999969071</x:v>
      </x:c>
      <x:c r="N112" s="2" t="str">
        <x:v>qiskit.primitives.StatevectorSampler</x:v>
      </x:c>
      <x:c r="O112" s="9" t="str">
        <x:v>1100011000</x:v>
      </x:c>
    </x:row>
    <x:row r="113" ht="18" customHeight="1">
      <x:c r="A113" s="2" t="str">
        <x:v>legacy_n4_09</x:v>
      </x:c>
      <x:c r="B113" s="2" t="str">
        <x:v>BPSO</x:v>
      </x:c>
      <x:c r="C113" s="2" t="n">
        <x:v>456</x:v>
      </x:c>
      <x:c r="D113" s="2" t="str">
        <x:v>success</x:v>
      </x:c>
      <x:c r="E113" s="2" t="n">
        <x:v>10</x:v>
      </x:c>
      <x:c r="F113" s="7" t="n">
        <x:v>85.25714285714285</x:v>
      </x:c>
      <x:c r="G113" s="7" t="n">
        <x:v>78.94500000000001</x:v>
      </x:c>
      <x:c r="H113" s="7" t="n">
        <x:f>IF(F113=0,"n.a.",100*(F113-G113)/F113)</x:f>
        <x:v>7.403652815013391</x:v>
      </x:c>
      <x:c r="I113" s="7" t="n">
        <x:f>F113-G113</x:f>
        <x:v>6.312142857142845</x:v>
      </x:c>
      <x:c r="J113" s="8" t="n">
        <x:v>0.37214609944733573</x:v>
      </x:c>
      <x:c r="K113" s="8" t="n">
        <x:v>0.37214609944733573</x:v>
      </x:c>
      <x:c r="L113" s="8" t="n">
        <x:v>0</x:v>
      </x:c>
      <x:c r="M113" s="7" t="n">
        <x:v>21.614199999021366</x:v>
      </x:c>
      <x:c r="N113" s="2" t="str">
        <x:v>repository_particle_dynamics_on_frozen_qubo</x:v>
      </x:c>
      <x:c r="O113" s="9" t="str">
        <x:v>0001100101</x:v>
      </x:c>
    </x:row>
    <x:row r="114" ht="18" customHeight="1">
      <x:c r="A114" s="2" t="str">
        <x:v>legacy_n4_09</x:v>
      </x:c>
      <x:c r="B114" s="2" t="str">
        <x:v>QAOA</x:v>
      </x:c>
      <x:c r="C114" s="2" t="n">
        <x:v>456</x:v>
      </x:c>
      <x:c r="D114" s="2" t="str">
        <x:v>success</x:v>
      </x:c>
      <x:c r="E114" s="2" t="n">
        <x:v>10</x:v>
      </x:c>
      <x:c r="F114" s="7" t="n">
        <x:v>85.25714285714285</x:v>
      </x:c>
      <x:c r="G114" s="7" t="n">
        <x:v>78.94500000000001</x:v>
      </x:c>
      <x:c r="H114" s="7" t="n">
        <x:f>IF(F114=0,"n.a.",100*(F114-G114)/F114)</x:f>
        <x:v>7.403652815013391</x:v>
      </x:c>
      <x:c r="I114" s="7" t="n">
        <x:f>F114-G114</x:f>
        <x:v>6.312142857142845</x:v>
      </x:c>
      <x:c r="J114" s="8" t="n">
        <x:v>0.3721460994473355</x:v>
      </x:c>
      <x:c r="K114" s="8" t="n">
        <x:v>0.37214609944733573</x:v>
      </x:c>
      <x:c r="L114" s="8" t="n">
        <x:v>0</x:v>
      </x:c>
      <x:c r="M114" s="7" t="n">
        <x:v>671.9091999984812</x:v>
      </x:c>
      <x:c r="N114" s="2" t="str">
        <x:v>qiskit.primitives.StatevectorSampler</x:v>
      </x:c>
      <x:c r="O114" s="9" t="str">
        <x:v>1000110001</x:v>
      </x:c>
    </x:row>
    <x:row r="115" ht="18" customHeight="1">
      <x:c r="A115" s="2" t="str">
        <x:v>legacy_n4_09</x:v>
      </x:c>
      <x:c r="B115" s="2" t="str">
        <x:v>BPSO</x:v>
      </x:c>
      <x:c r="C115" s="2" t="n">
        <x:v>789</x:v>
      </x:c>
      <x:c r="D115" s="2" t="str">
        <x:v>success</x:v>
      </x:c>
      <x:c r="E115" s="2" t="n">
        <x:v>10</x:v>
      </x:c>
      <x:c r="F115" s="7" t="n">
        <x:v>85.25714285714285</x:v>
      </x:c>
      <x:c r="G115" s="7" t="n">
        <x:v>78.94500000000001</x:v>
      </x:c>
      <x:c r="H115" s="7" t="n">
        <x:f>IF(F115=0,"n.a.",100*(F115-G115)/F115)</x:f>
        <x:v>7.403652815013391</x:v>
      </x:c>
      <x:c r="I115" s="7" t="n">
        <x:f>F115-G115</x:f>
        <x:v>6.312142857142845</x:v>
      </x:c>
      <x:c r="J115" s="8" t="n">
        <x:v>0.37214609944733573</x:v>
      </x:c>
      <x:c r="K115" s="8" t="n">
        <x:v>0.37214609944733573</x:v>
      </x:c>
      <x:c r="L115" s="8" t="n">
        <x:v>0</x:v>
      </x:c>
      <x:c r="M115" s="7" t="n">
        <x:v>20.779999991646037</x:v>
      </x:c>
      <x:c r="N115" s="2" t="str">
        <x:v>repository_particle_dynamics_on_frozen_qubo</x:v>
      </x:c>
      <x:c r="O115" s="9" t="str">
        <x:v>0011001100</x:v>
      </x:c>
    </x:row>
    <x:row r="116" ht="18" customHeight="1">
      <x:c r="A116" s="2" t="str">
        <x:v>legacy_n4_09</x:v>
      </x:c>
      <x:c r="B116" s="2" t="str">
        <x:v>QAOA</x:v>
      </x:c>
      <x:c r="C116" s="2" t="n">
        <x:v>789</x:v>
      </x:c>
      <x:c r="D116" s="2" t="str">
        <x:v>success</x:v>
      </x:c>
      <x:c r="E116" s="2" t="n">
        <x:v>10</x:v>
      </x:c>
      <x:c r="F116" s="7" t="n">
        <x:v>85.25714285714285</x:v>
      </x:c>
      <x:c r="G116" s="7" t="n">
        <x:v>78.94500000000001</x:v>
      </x:c>
      <x:c r="H116" s="7" t="n">
        <x:f>IF(F116=0,"n.a.",100*(F116-G116)/F116)</x:f>
        <x:v>7.403652815013391</x:v>
      </x:c>
      <x:c r="I116" s="7" t="n">
        <x:f>F116-G116</x:f>
        <x:v>6.312142857142845</x:v>
      </x:c>
      <x:c r="J116" s="8" t="n">
        <x:v>0.3721460994473355</x:v>
      </x:c>
      <x:c r="K116" s="8" t="n">
        <x:v>0.37214609944733573</x:v>
      </x:c>
      <x:c r="L116" s="8" t="n">
        <x:v>0</x:v>
      </x:c>
      <x:c r="M116" s="7" t="n">
        <x:v>738.9370000018971</x:v>
      </x:c>
      <x:c r="N116" s="2" t="str">
        <x:v>qiskit.primitives.StatevectorSampler</x:v>
      </x:c>
      <x:c r="O116" s="9" t="str">
        <x:v>0100110100</x:v>
      </x:c>
    </x:row>
    <x:row r="117" ht="18" customHeight="1">
      <x:c r="A117" s="2" t="str">
        <x:v>legacy_n4_09</x:v>
      </x:c>
      <x:c r="B117" s="2" t="str">
        <x:v>BPSO</x:v>
      </x:c>
      <x:c r="C117" s="2" t="n">
        <x:v>2026</x:v>
      </x:c>
      <x:c r="D117" s="2" t="str">
        <x:v>success</x:v>
      </x:c>
      <x:c r="E117" s="2" t="n">
        <x:v>10</x:v>
      </x:c>
      <x:c r="F117" s="7" t="n">
        <x:v>85.25714285714285</x:v>
      </x:c>
      <x:c r="G117" s="7" t="n">
        <x:v>78.94500000000001</x:v>
      </x:c>
      <x:c r="H117" s="7" t="n">
        <x:f>IF(F117=0,"n.a.",100*(F117-G117)/F117)</x:f>
        <x:v>7.403652815013391</x:v>
      </x:c>
      <x:c r="I117" s="7" t="n">
        <x:f>F117-G117</x:f>
        <x:v>6.312142857142845</x:v>
      </x:c>
      <x:c r="J117" s="8" t="n">
        <x:v>0.37214609944733573</x:v>
      </x:c>
      <x:c r="K117" s="8" t="n">
        <x:v>0.37214609944733573</x:v>
      </x:c>
      <x:c r="L117" s="8" t="n">
        <x:v>0</x:v>
      </x:c>
      <x:c r="M117" s="7" t="n">
        <x:v>21.496900008060038</x:v>
      </x:c>
      <x:c r="N117" s="2" t="str">
        <x:v>repository_particle_dynamics_on_frozen_qubo</x:v>
      </x:c>
      <x:c r="O117" s="9" t="str">
        <x:v>1000110010</x:v>
      </x:c>
    </x:row>
    <x:row r="118" ht="18" customHeight="1">
      <x:c r="A118" s="2" t="str">
        <x:v>legacy_n4_09</x:v>
      </x:c>
      <x:c r="B118" s="2" t="str">
        <x:v>QAOA</x:v>
      </x:c>
      <x:c r="C118" s="2" t="n">
        <x:v>2026</x:v>
      </x:c>
      <x:c r="D118" s="2" t="str">
        <x:v>success</x:v>
      </x:c>
      <x:c r="E118" s="2" t="n">
        <x:v>10</x:v>
      </x:c>
      <x:c r="F118" s="7" t="n">
        <x:v>85.25714285714285</x:v>
      </x:c>
      <x:c r="G118" s="7" t="n">
        <x:v>78.94500000000001</x:v>
      </x:c>
      <x:c r="H118" s="7" t="n">
        <x:f>IF(F118=0,"n.a.",100*(F118-G118)/F118)</x:f>
        <x:v>7.403652815013391</x:v>
      </x:c>
      <x:c r="I118" s="7" t="n">
        <x:f>F118-G118</x:f>
        <x:v>6.312142857142845</x:v>
      </x:c>
      <x:c r="J118" s="8" t="n">
        <x:v>0.3721460994473355</x:v>
      </x:c>
      <x:c r="K118" s="8" t="n">
        <x:v>0.37214609944733573</x:v>
      </x:c>
      <x:c r="L118" s="8" t="n">
        <x:v>0</x:v>
      </x:c>
      <x:c r="M118" s="7" t="n">
        <x:v>686.865099996794</x:v>
      </x:c>
      <x:c r="N118" s="2" t="str">
        <x:v>qiskit.primitives.StatevectorSampler</x:v>
      </x:c>
      <x:c r="O118" s="9" t="str">
        <x:v>0010100110</x:v>
      </x:c>
    </x:row>
    <x:row r="119" ht="18" customHeight="1">
      <x:c r="A119" s="2" t="str">
        <x:v>legacy_n4_10</x:v>
      </x:c>
      <x:c r="B119" s="2" t="str">
        <x:v>Unmanaged</x:v>
      </x:c>
      <x:c r="C119" s="2"/>
      <x:c r="D119" s="2" t="str">
        <x:v>baseline</x:v>
      </x:c>
      <x:c r="E119" s="2" t="n">
        <x:v>9</x:v>
      </x:c>
      <x:c r="F119" s="7" t="n">
        <x:v>84.46666666666667</x:v>
      </x:c>
      <x:c r="G119" s="7" t="n">
        <x:v>84.46666666666667</x:v>
      </x:c>
      <x:c r="H119" s="7" t="n">
        <x:f>IF(F119=0,"n.a.",100*(F119-G119)/F119)</x:f>
        <x:v>0</x:v>
      </x:c>
      <x:c r="I119" s="7" t="n">
        <x:f>F119-G119</x:f>
        <x:v>0</x:v>
      </x:c>
      <x:c r="J119" s="8"/>
      <x:c r="K119" s="8" t="n">
        <x:v>0.3795414216396299</x:v>
      </x:c>
      <x:c r="L119" s="8"/>
      <x:c r="M119" s="7"/>
      <x:c r="N119" s="2" t="str">
        <x:v>unmanaged_input</x:v>
      </x:c>
      <x:c r="O119" s="9"/>
    </x:row>
    <x:row r="120" ht="18" customHeight="1">
      <x:c r="A120" s="2" t="str">
        <x:v>legacy_n4_10</x:v>
      </x:c>
      <x:c r="B120" s="2" t="str">
        <x:v>Exact J</x:v>
      </x:c>
      <x:c r="C120" s="2"/>
      <x:c r="D120" s="2" t="str">
        <x:v>success</x:v>
      </x:c>
      <x:c r="E120" s="2" t="n">
        <x:v>9</x:v>
      </x:c>
      <x:c r="F120" s="7" t="n">
        <x:v>84.46666666666667</x:v>
      </x:c>
      <x:c r="G120" s="7" t="n">
        <x:v>75.96000000000001</x:v>
      </x:c>
      <x:c r="H120" s="7" t="n">
        <x:f>IF(F120=0,"n.a.",100*(F120-G120)/F120)</x:f>
        <x:v>10.071033938437246</x:v>
      </x:c>
      <x:c r="I120" s="7" t="n">
        <x:f>F120-G120</x:f>
        <x:v>8.50666666666666</x:v>
      </x:c>
      <x:c r="J120" s="8" t="n">
        <x:v>0.3795414216396299</x:v>
      </x:c>
      <x:c r="K120" s="8" t="n">
        <x:v>0.3795414216396299</x:v>
      </x:c>
      <x:c r="L120" s="8" t="n">
        <x:v>0</x:v>
      </x:c>
      <x:c r="M120" s="7"/>
      <x:c r="N120" s="2" t="str">
        <x:v>exhaustive_enumeration</x:v>
      </x:c>
      <x:c r="O120" s="9" t="str">
        <x:v>001100011</x:v>
      </x:c>
    </x:row>
    <x:row r="121" ht="18" customHeight="1">
      <x:c r="A121" s="2" t="str">
        <x:v>legacy_n4_10</x:v>
      </x:c>
      <x:c r="B121" s="2" t="str">
        <x:v>Exact peak</x:v>
      </x:c>
      <x:c r="C121" s="2"/>
      <x:c r="D121" s="2" t="str">
        <x:v>success</x:v>
      </x:c>
      <x:c r="E121" s="2" t="n">
        <x:v>9</x:v>
      </x:c>
      <x:c r="F121" s="7" t="n">
        <x:v>84.46666666666667</x:v>
      </x:c>
      <x:c r="G121" s="7" t="n">
        <x:v>71.98636363636363</x:v>
      </x:c>
      <x:c r="H121" s="7" t="n">
        <x:f>IF(F121=0,"n.a.",100*(F121-G121)/F121)</x:f>
        <x:v>14.775417952213537</x:v>
      </x:c>
      <x:c r="I121" s="7" t="n">
        <x:f>F121-G121</x:f>
        <x:v>12.480303030303034</x:v>
      </x:c>
      <x:c r="J121" s="8" t="n">
        <x:v>0.42981661740195365</x:v>
      </x:c>
      <x:c r="K121" s="8" t="n">
        <x:v>0.3795414216396299</x:v>
      </x:c>
      <x:c r="L121" s="8" t="n">
        <x:v>0.050275195762323754</x:v>
      </x:c>
      <x:c r="M121" s="7"/>
      <x:c r="N121" s="2" t="str">
        <x:v>exhaustive_enumeration</x:v>
      </x:c>
      <x:c r="O121" s="9" t="str">
        <x:v>001100111</x:v>
      </x:c>
    </x:row>
    <x:row r="122" ht="18" customHeight="1">
      <x:c r="A122" s="2" t="str">
        <x:v>legacy_n4_10</x:v>
      </x:c>
      <x:c r="B122" s="2" t="str">
        <x:v>BPSO</x:v>
      </x:c>
      <x:c r="C122" s="2" t="n">
        <x:v>42</x:v>
      </x:c>
      <x:c r="D122" s="2" t="str">
        <x:v>success</x:v>
      </x:c>
      <x:c r="E122" s="2" t="n">
        <x:v>9</x:v>
      </x:c>
      <x:c r="F122" s="7" t="n">
        <x:v>84.46666666666667</x:v>
      </x:c>
      <x:c r="G122" s="7" t="n">
        <x:v>75.96000000000001</x:v>
      </x:c>
      <x:c r="H122" s="7" t="n">
        <x:f>IF(F122=0,"n.a.",100*(F122-G122)/F122)</x:f>
        <x:v>10.071033938437246</x:v>
      </x:c>
      <x:c r="I122" s="7" t="n">
        <x:f>F122-G122</x:f>
        <x:v>8.50666666666666</x:v>
      </x:c>
      <x:c r="J122" s="8" t="n">
        <x:v>0.3795414216396299</x:v>
      </x:c>
      <x:c r="K122" s="8" t="n">
        <x:v>0.3795414216396299</x:v>
      </x:c>
      <x:c r="L122" s="8" t="n">
        <x:v>0</x:v>
      </x:c>
      <x:c r="M122" s="7" t="n">
        <x:v>19.192899999325164</x:v>
      </x:c>
      <x:c r="N122" s="2" t="str">
        <x:v>repository_particle_dynamics_on_frozen_qubo</x:v>
      </x:c>
      <x:c r="O122" s="9" t="str">
        <x:v>011000101</x:v>
      </x:c>
    </x:row>
    <x:row r="123" ht="18" customHeight="1">
      <x:c r="A123" s="2" t="str">
        <x:v>legacy_n4_10</x:v>
      </x:c>
      <x:c r="B123" s="2" t="str">
        <x:v>QAOA</x:v>
      </x:c>
      <x:c r="C123" s="2" t="n">
        <x:v>42</x:v>
      </x:c>
      <x:c r="D123" s="2" t="str">
        <x:v>success</x:v>
      </x:c>
      <x:c r="E123" s="2" t="n">
        <x:v>9</x:v>
      </x:c>
      <x:c r="F123" s="7" t="n">
        <x:v>84.46666666666667</x:v>
      </x:c>
      <x:c r="G123" s="7" t="n">
        <x:v>75.96000000000001</x:v>
      </x:c>
      <x:c r="H123" s="7" t="n">
        <x:f>IF(F123=0,"n.a.",100*(F123-G123)/F123)</x:f>
        <x:v>10.071033938437246</x:v>
      </x:c>
      <x:c r="I123" s="7" t="n">
        <x:f>F123-G123</x:f>
        <x:v>8.50666666666666</x:v>
      </x:c>
      <x:c r="J123" s="8" t="n">
        <x:v>0.3795414216396302</x:v>
      </x:c>
      <x:c r="K123" s="8" t="n">
        <x:v>0.3795414216396299</x:v>
      </x:c>
      <x:c r="L123" s="8" t="n">
        <x:v>3.3306690738754696e-16</x:v>
      </x:c>
      <x:c r="M123" s="7" t="n">
        <x:v>615.2558000030695</x:v>
      </x:c>
      <x:c r="N123" s="2" t="str">
        <x:v>qiskit.primitives.StatevectorSampler</x:v>
      </x:c>
      <x:c r="O123" s="9" t="str">
        <x:v>100100011</x:v>
      </x:c>
    </x:row>
    <x:row r="124" ht="18" customHeight="1">
      <x:c r="A124" s="2" t="str">
        <x:v>legacy_n4_10</x:v>
      </x:c>
      <x:c r="B124" s="2" t="str">
        <x:v>BPSO</x:v>
      </x:c>
      <x:c r="C124" s="2" t="n">
        <x:v>123</x:v>
      </x:c>
      <x:c r="D124" s="2" t="str">
        <x:v>success</x:v>
      </x:c>
      <x:c r="E124" s="2" t="n">
        <x:v>9</x:v>
      </x:c>
      <x:c r="F124" s="7" t="n">
        <x:v>84.46666666666667</x:v>
      </x:c>
      <x:c r="G124" s="7" t="n">
        <x:v>75.96000000000001</x:v>
      </x:c>
      <x:c r="H124" s="7" t="n">
        <x:f>IF(F124=0,"n.a.",100*(F124-G124)/F124)</x:f>
        <x:v>10.071033938437246</x:v>
      </x:c>
      <x:c r="I124" s="7" t="n">
        <x:f>F124-G124</x:f>
        <x:v>8.50666666666666</x:v>
      </x:c>
      <x:c r="J124" s="8" t="n">
        <x:v>0.3795414216396299</x:v>
      </x:c>
      <x:c r="K124" s="8" t="n">
        <x:v>0.3795414216396299</x:v>
      </x:c>
      <x:c r="L124" s="8" t="n">
        <x:v>0</x:v>
      </x:c>
      <x:c r="M124" s="7" t="n">
        <x:v>19.101300000329502</x:v>
      </x:c>
      <x:c r="N124" s="2" t="str">
        <x:v>repository_particle_dynamics_on_frozen_qubo</x:v>
      </x:c>
      <x:c r="O124" s="9" t="str">
        <x:v>101001001</x:v>
      </x:c>
    </x:row>
    <x:row r="125" ht="18" customHeight="1">
      <x:c r="A125" s="2" t="str">
        <x:v>legacy_n4_10</x:v>
      </x:c>
      <x:c r="B125" s="2" t="str">
        <x:v>QAOA</x:v>
      </x:c>
      <x:c r="C125" s="2" t="n">
        <x:v>123</x:v>
      </x:c>
      <x:c r="D125" s="2" t="str">
        <x:v>success</x:v>
      </x:c>
      <x:c r="E125" s="2" t="n">
        <x:v>9</x:v>
      </x:c>
      <x:c r="F125" s="7" t="n">
        <x:v>84.46666666666667</x:v>
      </x:c>
      <x:c r="G125" s="7" t="n">
        <x:v>75.96000000000001</x:v>
      </x:c>
      <x:c r="H125" s="7" t="n">
        <x:f>IF(F125=0,"n.a.",100*(F125-G125)/F125)</x:f>
        <x:v>10.071033938437246</x:v>
      </x:c>
      <x:c r="I125" s="7" t="n">
        <x:f>F125-G125</x:f>
        <x:v>8.50666666666666</x:v>
      </x:c>
      <x:c r="J125" s="8" t="n">
        <x:v>0.3795414216396302</x:v>
      </x:c>
      <x:c r="K125" s="8" t="n">
        <x:v>0.3795414216396299</x:v>
      </x:c>
      <x:c r="L125" s="8" t="n">
        <x:v>3.3306690738754696e-16</x:v>
      </x:c>
      <x:c r="M125" s="7" t="n">
        <x:v>679.5136000000639</x:v>
      </x:c>
      <x:c r="N125" s="2" t="str">
        <x:v>qiskit.primitives.StatevectorSampler</x:v>
      </x:c>
      <x:c r="O125" s="9" t="str">
        <x:v>011001100</x:v>
      </x:c>
    </x:row>
    <x:row r="126" ht="18" customHeight="1">
      <x:c r="A126" s="2" t="str">
        <x:v>legacy_n4_10</x:v>
      </x:c>
      <x:c r="B126" s="2" t="str">
        <x:v>BPSO</x:v>
      </x:c>
      <x:c r="C126" s="2" t="n">
        <x:v>456</x:v>
      </x:c>
      <x:c r="D126" s="2" t="str">
        <x:v>success</x:v>
      </x:c>
      <x:c r="E126" s="2" t="n">
        <x:v>9</x:v>
      </x:c>
      <x:c r="F126" s="7" t="n">
        <x:v>84.46666666666667</x:v>
      </x:c>
      <x:c r="G126" s="7" t="n">
        <x:v>75.96000000000001</x:v>
      </x:c>
      <x:c r="H126" s="7" t="n">
        <x:f>IF(F126=0,"n.a.",100*(F126-G126)/F126)</x:f>
        <x:v>10.071033938437246</x:v>
      </x:c>
      <x:c r="I126" s="7" t="n">
        <x:f>F126-G126</x:f>
        <x:v>8.50666666666666</x:v>
      </x:c>
      <x:c r="J126" s="8" t="n">
        <x:v>0.3795414216396299</x:v>
      </x:c>
      <x:c r="K126" s="8" t="n">
        <x:v>0.3795414216396299</x:v>
      </x:c>
      <x:c r="L126" s="8" t="n">
        <x:v>0</x:v>
      </x:c>
      <x:c r="M126" s="7" t="n">
        <x:v>19.094700008281507</x:v>
      </x:c>
      <x:c r="N126" s="2" t="str">
        <x:v>repository_particle_dynamics_on_frozen_qubo</x:v>
      </x:c>
      <x:c r="O126" s="9" t="str">
        <x:v>100101100</x:v>
      </x:c>
    </x:row>
    <x:row r="127" ht="18" customHeight="1">
      <x:c r="A127" s="2" t="str">
        <x:v>legacy_n4_10</x:v>
      </x:c>
      <x:c r="B127" s="2" t="str">
        <x:v>QAOA</x:v>
      </x:c>
      <x:c r="C127" s="2" t="n">
        <x:v>456</x:v>
      </x:c>
      <x:c r="D127" s="2" t="str">
        <x:v>success</x:v>
      </x:c>
      <x:c r="E127" s="2" t="n">
        <x:v>9</x:v>
      </x:c>
      <x:c r="F127" s="7" t="n">
        <x:v>84.46666666666667</x:v>
      </x:c>
      <x:c r="G127" s="7" t="n">
        <x:v>75.96000000000001</x:v>
      </x:c>
      <x:c r="H127" s="7" t="n">
        <x:f>IF(F127=0,"n.a.",100*(F127-G127)/F127)</x:f>
        <x:v>10.071033938437246</x:v>
      </x:c>
      <x:c r="I127" s="7" t="n">
        <x:f>F127-G127</x:f>
        <x:v>8.50666666666666</x:v>
      </x:c>
      <x:c r="J127" s="8" t="n">
        <x:v>0.3795414216396302</x:v>
      </x:c>
      <x:c r="K127" s="8" t="n">
        <x:v>0.3795414216396299</x:v>
      </x:c>
      <x:c r="L127" s="8" t="n">
        <x:v>3.3306690738754696e-16</x:v>
      </x:c>
      <x:c r="M127" s="7" t="n">
        <x:v>548.3360000071116</x:v>
      </x:c>
      <x:c r="N127" s="2" t="str">
        <x:v>qiskit.primitives.StatevectorSampler</x:v>
      </x:c>
      <x:c r="O127" s="9" t="str">
        <x:v>101010001</x:v>
      </x:c>
    </x:row>
    <x:row r="128" ht="18" customHeight="1">
      <x:c r="A128" s="2" t="str">
        <x:v>legacy_n4_10</x:v>
      </x:c>
      <x:c r="B128" s="2" t="str">
        <x:v>BPSO</x:v>
      </x:c>
      <x:c r="C128" s="2" t="n">
        <x:v>789</x:v>
      </x:c>
      <x:c r="D128" s="2" t="str">
        <x:v>success</x:v>
      </x:c>
      <x:c r="E128" s="2" t="n">
        <x:v>9</x:v>
      </x:c>
      <x:c r="F128" s="7" t="n">
        <x:v>84.46666666666667</x:v>
      </x:c>
      <x:c r="G128" s="7" t="n">
        <x:v>75.96000000000001</x:v>
      </x:c>
      <x:c r="H128" s="7" t="n">
        <x:f>IF(F128=0,"n.a.",100*(F128-G128)/F128)</x:f>
        <x:v>10.071033938437246</x:v>
      </x:c>
      <x:c r="I128" s="7" t="n">
        <x:f>F128-G128</x:f>
        <x:v>8.50666666666666</x:v>
      </x:c>
      <x:c r="J128" s="8" t="n">
        <x:v>0.3795414216396299</x:v>
      </x:c>
      <x:c r="K128" s="8" t="n">
        <x:v>0.3795414216396299</x:v>
      </x:c>
      <x:c r="L128" s="8" t="n">
        <x:v>0</x:v>
      </x:c>
      <x:c r="M128" s="7" t="n">
        <x:v>19.037600010051392</x:v>
      </x:c>
      <x:c r="N128" s="2" t="str">
        <x:v>repository_particle_dynamics_on_frozen_qubo</x:v>
      </x:c>
      <x:c r="O128" s="9" t="str">
        <x:v>010110001</x:v>
      </x:c>
    </x:row>
    <x:row r="129" ht="18" customHeight="1">
      <x:c r="A129" s="2" t="str">
        <x:v>legacy_n4_10</x:v>
      </x:c>
      <x:c r="B129" s="2" t="str">
        <x:v>QAOA</x:v>
      </x:c>
      <x:c r="C129" s="2" t="n">
        <x:v>789</x:v>
      </x:c>
      <x:c r="D129" s="2" t="str">
        <x:v>success</x:v>
      </x:c>
      <x:c r="E129" s="2" t="n">
        <x:v>9</x:v>
      </x:c>
      <x:c r="F129" s="7" t="n">
        <x:v>84.46666666666667</x:v>
      </x:c>
      <x:c r="G129" s="7" t="n">
        <x:v>75.96000000000001</x:v>
      </x:c>
      <x:c r="H129" s="7" t="n">
        <x:f>IF(F129=0,"n.a.",100*(F129-G129)/F129)</x:f>
        <x:v>10.071033938437246</x:v>
      </x:c>
      <x:c r="I129" s="7" t="n">
        <x:f>F129-G129</x:f>
        <x:v>8.50666666666666</x:v>
      </x:c>
      <x:c r="J129" s="8" t="n">
        <x:v>0.3795414216396302</x:v>
      </x:c>
      <x:c r="K129" s="8" t="n">
        <x:v>0.3795414216396299</x:v>
      </x:c>
      <x:c r="L129" s="8" t="n">
        <x:v>3.3306690738754696e-16</x:v>
      </x:c>
      <x:c r="M129" s="7" t="n">
        <x:v>531.2654000008479</x:v>
      </x:c>
      <x:c r="N129" s="2" t="str">
        <x:v>qiskit.primitives.StatevectorSampler</x:v>
      </x:c>
      <x:c r="O129" s="9" t="str">
        <x:v>101000101</x:v>
      </x:c>
    </x:row>
    <x:row r="130" ht="18" customHeight="1">
      <x:c r="A130" s="2" t="str">
        <x:v>legacy_n4_10</x:v>
      </x:c>
      <x:c r="B130" s="2" t="str">
        <x:v>BPSO</x:v>
      </x:c>
      <x:c r="C130" s="2" t="n">
        <x:v>2026</x:v>
      </x:c>
      <x:c r="D130" s="2" t="str">
        <x:v>success</x:v>
      </x:c>
      <x:c r="E130" s="2" t="n">
        <x:v>9</x:v>
      </x:c>
      <x:c r="F130" s="7" t="n">
        <x:v>84.46666666666667</x:v>
      </x:c>
      <x:c r="G130" s="7" t="n">
        <x:v>75.96000000000001</x:v>
      </x:c>
      <x:c r="H130" s="7" t="n">
        <x:f>IF(F130=0,"n.a.",100*(F130-G130)/F130)</x:f>
        <x:v>10.071033938437246</x:v>
      </x:c>
      <x:c r="I130" s="7" t="n">
        <x:f>F130-G130</x:f>
        <x:v>8.50666666666666</x:v>
      </x:c>
      <x:c r="J130" s="8" t="n">
        <x:v>0.3795414216396299</x:v>
      </x:c>
      <x:c r="K130" s="8" t="n">
        <x:v>0.3795414216396299</x:v>
      </x:c>
      <x:c r="L130" s="8" t="n">
        <x:v>0</x:v>
      </x:c>
      <x:c r="M130" s="7" t="n">
        <x:v>19.077399992966093</x:v>
      </x:c>
      <x:c r="N130" s="2" t="str">
        <x:v>repository_particle_dynamics_on_frozen_qubo</x:v>
      </x:c>
      <x:c r="O130" s="9" t="str">
        <x:v>101010010</x:v>
      </x:c>
    </x:row>
    <x:row r="131" ht="18" customHeight="1">
      <x:c r="A131" s="2" t="str">
        <x:v>legacy_n4_10</x:v>
      </x:c>
      <x:c r="B131" s="2" t="str">
        <x:v>QAOA</x:v>
      </x:c>
      <x:c r="C131" s="2" t="n">
        <x:v>2026</x:v>
      </x:c>
      <x:c r="D131" s="2" t="str">
        <x:v>success</x:v>
      </x:c>
      <x:c r="E131" s="2" t="n">
        <x:v>9</x:v>
      </x:c>
      <x:c r="F131" s="7" t="n">
        <x:v>84.46666666666667</x:v>
      </x:c>
      <x:c r="G131" s="7" t="n">
        <x:v>75.96000000000001</x:v>
      </x:c>
      <x:c r="H131" s="7" t="n">
        <x:f>IF(F131=0,"n.a.",100*(F131-G131)/F131)</x:f>
        <x:v>10.071033938437246</x:v>
      </x:c>
      <x:c r="I131" s="7" t="n">
        <x:f>F131-G131</x:f>
        <x:v>8.50666666666666</x:v>
      </x:c>
      <x:c r="J131" s="8" t="n">
        <x:v>0.3795414216396302</x:v>
      </x:c>
      <x:c r="K131" s="8" t="n">
        <x:v>0.3795414216396299</x:v>
      </x:c>
      <x:c r="L131" s="8" t="n">
        <x:v>3.3306690738754696e-16</x:v>
      </x:c>
      <x:c r="M131" s="7" t="n">
        <x:v>606.9406000024173</x:v>
      </x:c>
      <x:c r="N131" s="2" t="str">
        <x:v>qiskit.primitives.StatevectorSampler</x:v>
      </x:c>
      <x:c r="O131" s="9" t="str">
        <x:v>110010001</x:v>
      </x:c>
    </x:row>
    <x:row r="132" ht="18" customHeight="1">
      <x:c r="A132" s="2" t="str">
        <x:v>legacy_n4_11</x:v>
      </x:c>
      <x:c r="B132" s="2" t="str">
        <x:v>Unmanaged</x:v>
      </x:c>
      <x:c r="C132" s="2"/>
      <x:c r="D132" s="2" t="str">
        <x:v>baseline</x:v>
      </x:c>
      <x:c r="E132" s="2" t="n">
        <x:v>10</x:v>
      </x:c>
      <x:c r="F132" s="7" t="n">
        <x:v>84.8409090909091</x:v>
      </x:c>
      <x:c r="G132" s="7" t="n">
        <x:v>84.8409090909091</x:v>
      </x:c>
      <x:c r="H132" s="7" t="n">
        <x:f>IF(F132=0,"n.a.",100*(F132-G132)/F132)</x:f>
        <x:v>0</x:v>
      </x:c>
      <x:c r="I132" s="7" t="n">
        <x:f>F132-G132</x:f>
        <x:v>0</x:v>
      </x:c>
      <x:c r="J132" s="8"/>
      <x:c r="K132" s="8" t="n">
        <x:v>1.4579372594653697</x:v>
      </x:c>
      <x:c r="L132" s="8"/>
      <x:c r="M132" s="7"/>
      <x:c r="N132" s="2" t="str">
        <x:v>unmanaged_input</x:v>
      </x:c>
      <x:c r="O132" s="9"/>
    </x:row>
    <x:row r="133" ht="18" customHeight="1">
      <x:c r="A133" s="2" t="str">
        <x:v>legacy_n4_11</x:v>
      </x:c>
      <x:c r="B133" s="2" t="str">
        <x:v>Exact J</x:v>
      </x:c>
      <x:c r="C133" s="2"/>
      <x:c r="D133" s="2" t="str">
        <x:v>success</x:v>
      </x:c>
      <x:c r="E133" s="2" t="n">
        <x:v>10</x:v>
      </x:c>
      <x:c r="F133" s="7" t="n">
        <x:v>84.8409090909091</x:v>
      </x:c>
      <x:c r="G133" s="7" t="n">
        <x:v>91.6590909090909</x:v>
      </x:c>
      <x:c r="H133" s="7" t="n">
        <x:f>IF(F133=0,"n.a.",100*(F133-G133)/F133)</x:f>
        <x:v>-8.036431824270018</x:v>
      </x:c>
      <x:c r="I133" s="7" t="n">
        <x:f>F133-G133</x:f>
        <x:v>-6.818181818181813</x:v>
      </x:c>
      <x:c r="J133" s="8" t="n">
        <x:v>1.4579372594653697</x:v>
      </x:c>
      <x:c r="K133" s="8" t="n">
        <x:v>1.4579372594653697</x:v>
      </x:c>
      <x:c r="L133" s="8" t="n">
        <x:v>0</x:v>
      </x:c>
      <x:c r="M133" s="7"/>
      <x:c r="N133" s="2" t="str">
        <x:v>exhaustive_enumeration</x:v>
      </x:c>
      <x:c r="O133" s="9" t="str">
        <x:v>0001100001</x:v>
      </x:c>
    </x:row>
    <x:row r="134" ht="18" customHeight="1">
      <x:c r="A134" s="2" t="str">
        <x:v>legacy_n4_11</x:v>
      </x:c>
      <x:c r="B134" s="2" t="str">
        <x:v>Exact peak</x:v>
      </x:c>
      <x:c r="C134" s="2"/>
      <x:c r="D134" s="2" t="str">
        <x:v>success</x:v>
      </x:c>
      <x:c r="E134" s="2" t="n">
        <x:v>10</x:v>
      </x:c>
      <x:c r="F134" s="7" t="n">
        <x:v>84.8409090909091</x:v>
      </x:c>
      <x:c r="G134" s="7" t="n">
        <x:v>91.6590909090909</x:v>
      </x:c>
      <x:c r="H134" s="7" t="n">
        <x:f>IF(F134=0,"n.a.",100*(F134-G134)/F134)</x:f>
        <x:v>-8.036431824270018</x:v>
      </x:c>
      <x:c r="I134" s="7" t="n">
        <x:f>F134-G134</x:f>
        <x:v>-6.818181818181813</x:v>
      </x:c>
      <x:c r="J134" s="8" t="n">
        <x:v>1.4579372594653697</x:v>
      </x:c>
      <x:c r="K134" s="8" t="n">
        <x:v>1.4579372594653697</x:v>
      </x:c>
      <x:c r="L134" s="8" t="n">
        <x:v>0</x:v>
      </x:c>
      <x:c r="M134" s="7"/>
      <x:c r="N134" s="2" t="str">
        <x:v>exhaustive_enumeration</x:v>
      </x:c>
      <x:c r="O134" s="9" t="str">
        <x:v>0001100001</x:v>
      </x:c>
    </x:row>
    <x:row r="135" ht="18" customHeight="1">
      <x:c r="A135" s="2" t="str">
        <x:v>legacy_n4_11</x:v>
      </x:c>
      <x:c r="B135" s="2" t="str">
        <x:v>BPSO</x:v>
      </x:c>
      <x:c r="C135" s="2" t="n">
        <x:v>42</x:v>
      </x:c>
      <x:c r="D135" s="2" t="str">
        <x:v>success</x:v>
      </x:c>
      <x:c r="E135" s="2" t="n">
        <x:v>10</x:v>
      </x:c>
      <x:c r="F135" s="7" t="n">
        <x:v>84.8409090909091</x:v>
      </x:c>
      <x:c r="G135" s="7" t="n">
        <x:v>91.6590909090909</x:v>
      </x:c>
      <x:c r="H135" s="7" t="n">
        <x:f>IF(F135=0,"n.a.",100*(F135-G135)/F135)</x:f>
        <x:v>-8.036431824270018</x:v>
      </x:c>
      <x:c r="I135" s="7" t="n">
        <x:f>F135-G135</x:f>
        <x:v>-6.818181818181813</x:v>
      </x:c>
      <x:c r="J135" s="8" t="n">
        <x:v>1.4579372594653697</x:v>
      </x:c>
      <x:c r="K135" s="8" t="n">
        <x:v>1.4579372594653697</x:v>
      </x:c>
      <x:c r="L135" s="8" t="n">
        <x:v>0</x:v>
      </x:c>
      <x:c r="M135" s="7" t="n">
        <x:v>20.41270000336226</x:v>
      </x:c>
      <x:c r="N135" s="2" t="str">
        <x:v>repository_particle_dynamics_on_frozen_qubo</x:v>
      </x:c>
      <x:c r="O135" s="9" t="str">
        <x:v>1100000001</x:v>
      </x:c>
    </x:row>
    <x:row r="136" ht="18" customHeight="1">
      <x:c r="A136" s="2" t="str">
        <x:v>legacy_n4_11</x:v>
      </x:c>
      <x:c r="B136" s="2" t="str">
        <x:v>QAOA</x:v>
      </x:c>
      <x:c r="C136" s="2" t="n">
        <x:v>42</x:v>
      </x:c>
      <x:c r="D136" s="2" t="str">
        <x:v>success</x:v>
      </x:c>
      <x:c r="E136" s="2" t="n">
        <x:v>10</x:v>
      </x:c>
      <x:c r="F136" s="7" t="n">
        <x:v>84.8409090909091</x:v>
      </x:c>
      <x:c r="G136" s="7" t="n">
        <x:v>91.6590909090909</x:v>
      </x:c>
      <x:c r="H136" s="7" t="n">
        <x:f>IF(F136=0,"n.a.",100*(F136-G136)/F136)</x:f>
        <x:v>-8.036431824270018</x:v>
      </x:c>
      <x:c r="I136" s="7" t="n">
        <x:f>F136-G136</x:f>
        <x:v>-6.818181818181813</x:v>
      </x:c>
      <x:c r="J136" s="8" t="n">
        <x:v>1.4579372594653697</x:v>
      </x:c>
      <x:c r="K136" s="8" t="n">
        <x:v>1.4579372594653697</x:v>
      </x:c>
      <x:c r="L136" s="8" t="n">
        <x:v>0</x:v>
      </x:c>
      <x:c r="M136" s="7" t="n">
        <x:v>728.6151000007521</x:v>
      </x:c>
      <x:c r="N136" s="2" t="str">
        <x:v>qiskit.primitives.StatevectorSampler</x:v>
      </x:c>
      <x:c r="O136" s="9" t="str">
        <x:v>0100100001</x:v>
      </x:c>
    </x:row>
    <x:row r="137" ht="18" customHeight="1">
      <x:c r="A137" s="2" t="str">
        <x:v>legacy_n4_11</x:v>
      </x:c>
      <x:c r="B137" s="2" t="str">
        <x:v>BPSO</x:v>
      </x:c>
      <x:c r="C137" s="2" t="n">
        <x:v>123</x:v>
      </x:c>
      <x:c r="D137" s="2" t="str">
        <x:v>success</x:v>
      </x:c>
      <x:c r="E137" s="2" t="n">
        <x:v>10</x:v>
      </x:c>
      <x:c r="F137" s="7" t="n">
        <x:v>84.8409090909091</x:v>
      </x:c>
      <x:c r="G137" s="7" t="n">
        <x:v>91.6590909090909</x:v>
      </x:c>
      <x:c r="H137" s="7" t="n">
        <x:f>IF(F137=0,"n.a.",100*(F137-G137)/F137)</x:f>
        <x:v>-8.036431824270018</x:v>
      </x:c>
      <x:c r="I137" s="7" t="n">
        <x:f>F137-G137</x:f>
        <x:v>-6.818181818181813</x:v>
      </x:c>
      <x:c r="J137" s="8" t="n">
        <x:v>1.4579372594653697</x:v>
      </x:c>
      <x:c r="K137" s="8" t="n">
        <x:v>1.4579372594653697</x:v>
      </x:c>
      <x:c r="L137" s="8" t="n">
        <x:v>0</x:v>
      </x:c>
      <x:c r="M137" s="7" t="n">
        <x:v>21.515499989618547</x:v>
      </x:c>
      <x:c r="N137" s="2" t="str">
        <x:v>repository_particle_dynamics_on_frozen_qubo</x:v>
      </x:c>
      <x:c r="O137" s="9" t="str">
        <x:v>1100000001</x:v>
      </x:c>
    </x:row>
    <x:row r="138" ht="18" customHeight="1">
      <x:c r="A138" s="2" t="str">
        <x:v>legacy_n4_11</x:v>
      </x:c>
      <x:c r="B138" s="2" t="str">
        <x:v>QAOA</x:v>
      </x:c>
      <x:c r="C138" s="2" t="n">
        <x:v>123</x:v>
      </x:c>
      <x:c r="D138" s="2" t="str">
        <x:v>success</x:v>
      </x:c>
      <x:c r="E138" s="2" t="n">
        <x:v>10</x:v>
      </x:c>
      <x:c r="F138" s="7" t="n">
        <x:v>84.8409090909091</x:v>
      </x:c>
      <x:c r="G138" s="7" t="n">
        <x:v>91.6590909090909</x:v>
      </x:c>
      <x:c r="H138" s="7" t="n">
        <x:f>IF(F138=0,"n.a.",100*(F138-G138)/F138)</x:f>
        <x:v>-8.036431824270018</x:v>
      </x:c>
      <x:c r="I138" s="7" t="n">
        <x:f>F138-G138</x:f>
        <x:v>-6.818181818181813</x:v>
      </x:c>
      <x:c r="J138" s="8" t="n">
        <x:v>1.4579372594653697</x:v>
      </x:c>
      <x:c r="K138" s="8" t="n">
        <x:v>1.4579372594653697</x:v>
      </x:c>
      <x:c r="L138" s="8" t="n">
        <x:v>0</x:v>
      </x:c>
      <x:c r="M138" s="7" t="n">
        <x:v>867.7230999892345</x:v>
      </x:c>
      <x:c r="N138" s="2" t="str">
        <x:v>qiskit.primitives.StatevectorSampler</x:v>
      </x:c>
      <x:c r="O138" s="9" t="str">
        <x:v>1001000001</x:v>
      </x:c>
    </x:row>
    <x:row r="139" ht="18" customHeight="1">
      <x:c r="A139" s="2" t="str">
        <x:v>legacy_n4_11</x:v>
      </x:c>
      <x:c r="B139" s="2" t="str">
        <x:v>BPSO</x:v>
      </x:c>
      <x:c r="C139" s="2" t="n">
        <x:v>456</x:v>
      </x:c>
      <x:c r="D139" s="2" t="str">
        <x:v>success</x:v>
      </x:c>
      <x:c r="E139" s="2" t="n">
        <x:v>10</x:v>
      </x:c>
      <x:c r="F139" s="7" t="n">
        <x:v>84.8409090909091</x:v>
      </x:c>
      <x:c r="G139" s="7" t="n">
        <x:v>91.6590909090909</x:v>
      </x:c>
      <x:c r="H139" s="7" t="n">
        <x:f>IF(F139=0,"n.a.",100*(F139-G139)/F139)</x:f>
        <x:v>-8.036431824270018</x:v>
      </x:c>
      <x:c r="I139" s="7" t="n">
        <x:f>F139-G139</x:f>
        <x:v>-6.818181818181813</x:v>
      </x:c>
      <x:c r="J139" s="8" t="n">
        <x:v>1.4579372594653697</x:v>
      </x:c>
      <x:c r="K139" s="8" t="n">
        <x:v>1.4579372594653697</x:v>
      </x:c>
      <x:c r="L139" s="8" t="n">
        <x:v>0</x:v>
      </x:c>
      <x:c r="M139" s="7" t="n">
        <x:v>22.26090000476688</x:v>
      </x:c>
      <x:c r="N139" s="2" t="str">
        <x:v>repository_particle_dynamics_on_frozen_qubo</x:v>
      </x:c>
      <x:c r="O139" s="9" t="str">
        <x:v>0001100001</x:v>
      </x:c>
    </x:row>
    <x:row r="140" ht="18" customHeight="1">
      <x:c r="A140" s="2" t="str">
        <x:v>legacy_n4_11</x:v>
      </x:c>
      <x:c r="B140" s="2" t="str">
        <x:v>QAOA</x:v>
      </x:c>
      <x:c r="C140" s="2" t="n">
        <x:v>456</x:v>
      </x:c>
      <x:c r="D140" s="2" t="str">
        <x:v>success</x:v>
      </x:c>
      <x:c r="E140" s="2" t="n">
        <x:v>10</x:v>
      </x:c>
      <x:c r="F140" s="7" t="n">
        <x:v>84.8409090909091</x:v>
      </x:c>
      <x:c r="G140" s="7" t="n">
        <x:v>91.6590909090909</x:v>
      </x:c>
      <x:c r="H140" s="7" t="n">
        <x:f>IF(F140=0,"n.a.",100*(F140-G140)/F140)</x:f>
        <x:v>-8.036431824270018</x:v>
      </x:c>
      <x:c r="I140" s="7" t="n">
        <x:f>F140-G140</x:f>
        <x:v>-6.818181818181813</x:v>
      </x:c>
      <x:c r="J140" s="8" t="n">
        <x:v>1.4579372594653697</x:v>
      </x:c>
      <x:c r="K140" s="8" t="n">
        <x:v>1.4579372594653697</x:v>
      </x:c>
      <x:c r="L140" s="8" t="n">
        <x:v>0</x:v>
      </x:c>
      <x:c r="M140" s="7" t="n">
        <x:v>652.2678000037558</x:v>
      </x:c>
      <x:c r="N140" s="2" t="str">
        <x:v>qiskit.primitives.StatevectorSampler</x:v>
      </x:c>
      <x:c r="O140" s="9" t="str">
        <x:v>1000100001</x:v>
      </x:c>
    </x:row>
    <x:row r="141" ht="18" customHeight="1">
      <x:c r="A141" s="2" t="str">
        <x:v>legacy_n4_11</x:v>
      </x:c>
      <x:c r="B141" s="2" t="str">
        <x:v>BPSO</x:v>
      </x:c>
      <x:c r="C141" s="2" t="n">
        <x:v>789</x:v>
      </x:c>
      <x:c r="D141" s="2" t="str">
        <x:v>success</x:v>
      </x:c>
      <x:c r="E141" s="2" t="n">
        <x:v>10</x:v>
      </x:c>
      <x:c r="F141" s="7" t="n">
        <x:v>84.8409090909091</x:v>
      </x:c>
      <x:c r="G141" s="7" t="n">
        <x:v>91.6590909090909</x:v>
      </x:c>
      <x:c r="H141" s="7" t="n">
        <x:f>IF(F141=0,"n.a.",100*(F141-G141)/F141)</x:f>
        <x:v>-8.036431824270018</x:v>
      </x:c>
      <x:c r="I141" s="7" t="n">
        <x:f>F141-G141</x:f>
        <x:v>-6.818181818181813</x:v>
      </x:c>
      <x:c r="J141" s="8" t="n">
        <x:v>1.4579372594653697</x:v>
      </x:c>
      <x:c r="K141" s="8" t="n">
        <x:v>1.4579372594653697</x:v>
      </x:c>
      <x:c r="L141" s="8" t="n">
        <x:v>0</x:v>
      </x:c>
      <x:c r="M141" s="7" t="n">
        <x:v>21.29879999847617</x:v>
      </x:c>
      <x:c r="N141" s="2" t="str">
        <x:v>repository_particle_dynamics_on_frozen_qubo</x:v>
      </x:c>
      <x:c r="O141" s="9" t="str">
        <x:v>1010000001</x:v>
      </x:c>
    </x:row>
    <x:row r="142" ht="18" customHeight="1">
      <x:c r="A142" s="2" t="str">
        <x:v>legacy_n4_11</x:v>
      </x:c>
      <x:c r="B142" s="2" t="str">
        <x:v>QAOA</x:v>
      </x:c>
      <x:c r="C142" s="2" t="n">
        <x:v>789</x:v>
      </x:c>
      <x:c r="D142" s="2" t="str">
        <x:v>success</x:v>
      </x:c>
      <x:c r="E142" s="2" t="n">
        <x:v>10</x:v>
      </x:c>
      <x:c r="F142" s="7" t="n">
        <x:v>84.8409090909091</x:v>
      </x:c>
      <x:c r="G142" s="7" t="n">
        <x:v>91.6590909090909</x:v>
      </x:c>
      <x:c r="H142" s="7" t="n">
        <x:f>IF(F142=0,"n.a.",100*(F142-G142)/F142)</x:f>
        <x:v>-8.036431824270018</x:v>
      </x:c>
      <x:c r="I142" s="7" t="n">
        <x:f>F142-G142</x:f>
        <x:v>-6.818181818181813</x:v>
      </x:c>
      <x:c r="J142" s="8" t="n">
        <x:v>1.4579372594653697</x:v>
      </x:c>
      <x:c r="K142" s="8" t="n">
        <x:v>1.4579372594653697</x:v>
      </x:c>
      <x:c r="L142" s="8" t="n">
        <x:v>0</x:v>
      </x:c>
      <x:c r="M142" s="7" t="n">
        <x:v>921.7447000119137</x:v>
      </x:c>
      <x:c r="N142" s="2" t="str">
        <x:v>qiskit.primitives.StatevectorSampler</x:v>
      </x:c>
      <x:c r="O142" s="9" t="str">
        <x:v>0100100001</x:v>
      </x:c>
    </x:row>
    <x:row r="143" ht="18" customHeight="1">
      <x:c r="A143" s="2" t="str">
        <x:v>legacy_n4_11</x:v>
      </x:c>
      <x:c r="B143" s="2" t="str">
        <x:v>BPSO</x:v>
      </x:c>
      <x:c r="C143" s="2" t="n">
        <x:v>2026</x:v>
      </x:c>
      <x:c r="D143" s="2" t="str">
        <x:v>success</x:v>
      </x:c>
      <x:c r="E143" s="2" t="n">
        <x:v>10</x:v>
      </x:c>
      <x:c r="F143" s="7" t="n">
        <x:v>84.8409090909091</x:v>
      </x:c>
      <x:c r="G143" s="7" t="n">
        <x:v>91.6590909090909</x:v>
      </x:c>
      <x:c r="H143" s="7" t="n">
        <x:f>IF(F143=0,"n.a.",100*(F143-G143)/F143)</x:f>
        <x:v>-8.036431824270018</x:v>
      </x:c>
      <x:c r="I143" s="7" t="n">
        <x:f>F143-G143</x:f>
        <x:v>-6.818181818181813</x:v>
      </x:c>
      <x:c r="J143" s="8" t="n">
        <x:v>1.4579372594653697</x:v>
      </x:c>
      <x:c r="K143" s="8" t="n">
        <x:v>1.4579372594653697</x:v>
      </x:c>
      <x:c r="L143" s="8" t="n">
        <x:v>0</x:v>
      </x:c>
      <x:c r="M143" s="7" t="n">
        <x:v>21.238400004222058</x:v>
      </x:c>
      <x:c r="N143" s="2" t="str">
        <x:v>repository_particle_dynamics_on_frozen_qubo</x:v>
      </x:c>
      <x:c r="O143" s="9" t="str">
        <x:v>1010000001</x:v>
      </x:c>
    </x:row>
    <x:row r="144" ht="18" customHeight="1">
      <x:c r="A144" s="2" t="str">
        <x:v>legacy_n4_11</x:v>
      </x:c>
      <x:c r="B144" s="2" t="str">
        <x:v>QAOA</x:v>
      </x:c>
      <x:c r="C144" s="2" t="n">
        <x:v>2026</x:v>
      </x:c>
      <x:c r="D144" s="2" t="str">
        <x:v>success</x:v>
      </x:c>
      <x:c r="E144" s="2" t="n">
        <x:v>10</x:v>
      </x:c>
      <x:c r="F144" s="7" t="n">
        <x:v>84.8409090909091</x:v>
      </x:c>
      <x:c r="G144" s="7" t="n">
        <x:v>91.6590909090909</x:v>
      </x:c>
      <x:c r="H144" s="7" t="n">
        <x:f>IF(F144=0,"n.a.",100*(F144-G144)/F144)</x:f>
        <x:v>-8.036431824270018</x:v>
      </x:c>
      <x:c r="I144" s="7" t="n">
        <x:f>F144-G144</x:f>
        <x:v>-6.818181818181813</x:v>
      </x:c>
      <x:c r="J144" s="8" t="n">
        <x:v>1.4579372594653697</x:v>
      </x:c>
      <x:c r="K144" s="8" t="n">
        <x:v>1.4579372594653697</x:v>
      </x:c>
      <x:c r="L144" s="8" t="n">
        <x:v>0</x:v>
      </x:c>
      <x:c r="M144" s="7" t="n">
        <x:v>776.0454999952344</x:v>
      </x:c>
      <x:c r="N144" s="2" t="str">
        <x:v>qiskit.primitives.StatevectorSampler</x:v>
      </x:c>
      <x:c r="O144" s="9" t="str">
        <x:v>0101000001</x:v>
      </x:c>
    </x:row>
    <x:row r="145" ht="18" customHeight="1">
      <x:c r="A145" s="2" t="str">
        <x:v>legacy_n4_12</x:v>
      </x:c>
      <x:c r="B145" s="2" t="str">
        <x:v>Unmanaged</x:v>
      </x:c>
      <x:c r="C145" s="2"/>
      <x:c r="D145" s="2" t="str">
        <x:v>baseline</x:v>
      </x:c>
      <x:c r="E145" s="2" t="n">
        <x:v>9</x:v>
      </x:c>
      <x:c r="F145" s="7" t="n">
        <x:v>84</x:v>
      </x:c>
      <x:c r="G145" s="7" t="n">
        <x:v>84</x:v>
      </x:c>
      <x:c r="H145" s="7" t="n">
        <x:f>IF(F145=0,"n.a.",100*(F145-G145)/F145)</x:f>
        <x:v>0</x:v>
      </x:c>
      <x:c r="I145" s="7" t="n">
        <x:f>F145-G145</x:f>
        <x:v>0</x:v>
      </x:c>
      <x:c r="J145" s="8"/>
      <x:c r="K145" s="8" t="n">
        <x:v>0.4870779245861113</x:v>
      </x:c>
      <x:c r="L145" s="8"/>
      <x:c r="M145" s="7"/>
      <x:c r="N145" s="2" t="str">
        <x:v>unmanaged_input</x:v>
      </x:c>
      <x:c r="O145" s="9"/>
    </x:row>
    <x:row r="146" ht="18" customHeight="1">
      <x:c r="A146" s="2" t="str">
        <x:v>legacy_n4_12</x:v>
      </x:c>
      <x:c r="B146" s="2" t="str">
        <x:v>Exact J</x:v>
      </x:c>
      <x:c r="C146" s="2"/>
      <x:c r="D146" s="2" t="str">
        <x:v>success</x:v>
      </x:c>
      <x:c r="E146" s="2" t="n">
        <x:v>9</x:v>
      </x:c>
      <x:c r="F146" s="7" t="n">
        <x:v>84</x:v>
      </x:c>
      <x:c r="G146" s="7" t="n">
        <x:v>77.825</x:v>
      </x:c>
      <x:c r="H146" s="7" t="n">
        <x:f>IF(F146=0,"n.a.",100*(F146-G146)/F146)</x:f>
        <x:v>7.351190476190474</x:v>
      </x:c>
      <x:c r="I146" s="7" t="n">
        <x:f>F146-G146</x:f>
        <x:v>6.174999999999997</x:v>
      </x:c>
      <x:c r="J146" s="8" t="n">
        <x:v>0.4870779245861113</x:v>
      </x:c>
      <x:c r="K146" s="8" t="n">
        <x:v>0.4870779245861113</x:v>
      </x:c>
      <x:c r="L146" s="8" t="n">
        <x:v>0</x:v>
      </x:c>
      <x:c r="M146" s="7"/>
      <x:c r="N146" s="2" t="str">
        <x:v>exhaustive_enumeration</x:v>
      </x:c>
      <x:c r="O146" s="9" t="str">
        <x:v>001100011</x:v>
      </x:c>
    </x:row>
    <x:row r="147" ht="18" customHeight="1">
      <x:c r="A147" s="2" t="str">
        <x:v>legacy_n4_12</x:v>
      </x:c>
      <x:c r="B147" s="2" t="str">
        <x:v>Exact peak</x:v>
      </x:c>
      <x:c r="C147" s="2"/>
      <x:c r="D147" s="2" t="str">
        <x:v>success</x:v>
      </x:c>
      <x:c r="E147" s="2" t="n">
        <x:v>9</x:v>
      </x:c>
      <x:c r="F147" s="7" t="n">
        <x:v>84</x:v>
      </x:c>
      <x:c r="G147" s="7" t="n">
        <x:v>77.825</x:v>
      </x:c>
      <x:c r="H147" s="7" t="n">
        <x:f>IF(F147=0,"n.a.",100*(F147-G147)/F147)</x:f>
        <x:v>7.351190476190474</x:v>
      </x:c>
      <x:c r="I147" s="7" t="n">
        <x:f>F147-G147</x:f>
        <x:v>6.174999999999997</x:v>
      </x:c>
      <x:c r="J147" s="8" t="n">
        <x:v>0.4870779245861113</x:v>
      </x:c>
      <x:c r="K147" s="8" t="n">
        <x:v>0.4870779245861113</x:v>
      </x:c>
      <x:c r="L147" s="8" t="n">
        <x:v>0</x:v>
      </x:c>
      <x:c r="M147" s="7"/>
      <x:c r="N147" s="2" t="str">
        <x:v>exhaustive_enumeration</x:v>
      </x:c>
      <x:c r="O147" s="9" t="str">
        <x:v>001100011</x:v>
      </x:c>
    </x:row>
    <x:row r="148" ht="18" customHeight="1">
      <x:c r="A148" s="2" t="str">
        <x:v>legacy_n4_12</x:v>
      </x:c>
      <x:c r="B148" s="2" t="str">
        <x:v>BPSO</x:v>
      </x:c>
      <x:c r="C148" s="2" t="n">
        <x:v>42</x:v>
      </x:c>
      <x:c r="D148" s="2" t="str">
        <x:v>success</x:v>
      </x:c>
      <x:c r="E148" s="2" t="n">
        <x:v>9</x:v>
      </x:c>
      <x:c r="F148" s="7" t="n">
        <x:v>84</x:v>
      </x:c>
      <x:c r="G148" s="7" t="n">
        <x:v>77.825</x:v>
      </x:c>
      <x:c r="H148" s="7" t="n">
        <x:f>IF(F148=0,"n.a.",100*(F148-G148)/F148)</x:f>
        <x:v>7.351190476190474</x:v>
      </x:c>
      <x:c r="I148" s="7" t="n">
        <x:f>F148-G148</x:f>
        <x:v>6.174999999999997</x:v>
      </x:c>
      <x:c r="J148" s="8" t="n">
        <x:v>0.4870779245861113</x:v>
      </x:c>
      <x:c r="K148" s="8" t="n">
        <x:v>0.4870779245861113</x:v>
      </x:c>
      <x:c r="L148" s="8" t="n">
        <x:v>0</x:v>
      </x:c>
      <x:c r="M148" s="7" t="n">
        <x:v>19.30549999815412</x:v>
      </x:c>
      <x:c r="N148" s="2" t="str">
        <x:v>repository_particle_dynamics_on_frozen_qubo</x:v>
      </x:c>
      <x:c r="O148" s="9" t="str">
        <x:v>011000101</x:v>
      </x:c>
    </x:row>
    <x:row r="149" ht="18" customHeight="1">
      <x:c r="A149" s="2" t="str">
        <x:v>legacy_n4_12</x:v>
      </x:c>
      <x:c r="B149" s="2" t="str">
        <x:v>QAOA</x:v>
      </x:c>
      <x:c r="C149" s="2" t="n">
        <x:v>42</x:v>
      </x:c>
      <x:c r="D149" s="2" t="str">
        <x:v>success</x:v>
      </x:c>
      <x:c r="E149" s="2" t="n">
        <x:v>9</x:v>
      </x:c>
      <x:c r="F149" s="7" t="n">
        <x:v>84</x:v>
      </x:c>
      <x:c r="G149" s="7" t="n">
        <x:v>77.825</x:v>
      </x:c>
      <x:c r="H149" s="7" t="n">
        <x:f>IF(F149=0,"n.a.",100*(F149-G149)/F149)</x:f>
        <x:v>7.351190476190474</x:v>
      </x:c>
      <x:c r="I149" s="7" t="n">
        <x:f>F149-G149</x:f>
        <x:v>6.174999999999997</x:v>
      </x:c>
      <x:c r="J149" s="8" t="n">
        <x:v>0.4870779245861113</x:v>
      </x:c>
      <x:c r="K149" s="8" t="n">
        <x:v>0.4870779245861113</x:v>
      </x:c>
      <x:c r="L149" s="8" t="n">
        <x:v>0</x:v>
      </x:c>
      <x:c r="M149" s="7" t="n">
        <x:v>647.7653999900213</x:v>
      </x:c>
      <x:c r="N149" s="2" t="str">
        <x:v>qiskit.primitives.StatevectorSampler</x:v>
      </x:c>
      <x:c r="O149" s="9" t="str">
        <x:v>011001010</x:v>
      </x:c>
    </x:row>
    <x:row r="150" ht="18" customHeight="1">
      <x:c r="A150" s="2" t="str">
        <x:v>legacy_n4_12</x:v>
      </x:c>
      <x:c r="B150" s="2" t="str">
        <x:v>BPSO</x:v>
      </x:c>
      <x:c r="C150" s="2" t="n">
        <x:v>123</x:v>
      </x:c>
      <x:c r="D150" s="2" t="str">
        <x:v>success</x:v>
      </x:c>
      <x:c r="E150" s="2" t="n">
        <x:v>9</x:v>
      </x:c>
      <x:c r="F150" s="7" t="n">
        <x:v>84</x:v>
      </x:c>
      <x:c r="G150" s="7" t="n">
        <x:v>77.825</x:v>
      </x:c>
      <x:c r="H150" s="7" t="n">
        <x:f>IF(F150=0,"n.a.",100*(F150-G150)/F150)</x:f>
        <x:v>7.351190476190474</x:v>
      </x:c>
      <x:c r="I150" s="7" t="n">
        <x:f>F150-G150</x:f>
        <x:v>6.174999999999997</x:v>
      </x:c>
      <x:c r="J150" s="8" t="n">
        <x:v>0.4870779245861113</x:v>
      </x:c>
      <x:c r="K150" s="8" t="n">
        <x:v>0.4870779245861113</x:v>
      </x:c>
      <x:c r="L150" s="8" t="n">
        <x:v>0</x:v>
      </x:c>
      <x:c r="M150" s="7" t="n">
        <x:v>19.42810000036843</x:v>
      </x:c>
      <x:c r="N150" s="2" t="str">
        <x:v>repository_particle_dynamics_on_frozen_qubo</x:v>
      </x:c>
      <x:c r="O150" s="9" t="str">
        <x:v>101001001</x:v>
      </x:c>
    </x:row>
    <x:row r="151" ht="18" customHeight="1">
      <x:c r="A151" s="2" t="str">
        <x:v>legacy_n4_12</x:v>
      </x:c>
      <x:c r="B151" s="2" t="str">
        <x:v>QAOA</x:v>
      </x:c>
      <x:c r="C151" s="2" t="n">
        <x:v>123</x:v>
      </x:c>
      <x:c r="D151" s="2" t="str">
        <x:v>success</x:v>
      </x:c>
      <x:c r="E151" s="2" t="n">
        <x:v>9</x:v>
      </x:c>
      <x:c r="F151" s="7" t="n">
        <x:v>84</x:v>
      </x:c>
      <x:c r="G151" s="7" t="n">
        <x:v>77.825</x:v>
      </x:c>
      <x:c r="H151" s="7" t="n">
        <x:f>IF(F151=0,"n.a.",100*(F151-G151)/F151)</x:f>
        <x:v>7.351190476190474</x:v>
      </x:c>
      <x:c r="I151" s="7" t="n">
        <x:f>F151-G151</x:f>
        <x:v>6.174999999999997</x:v>
      </x:c>
      <x:c r="J151" s="8" t="n">
        <x:v>0.4870779245861113</x:v>
      </x:c>
      <x:c r="K151" s="8" t="n">
        <x:v>0.4870779245861113</x:v>
      </x:c>
      <x:c r="L151" s="8" t="n">
        <x:v>0</x:v>
      </x:c>
      <x:c r="M151" s="7" t="n">
        <x:v>636.6056999977445</x:v>
      </x:c>
      <x:c r="N151" s="2" t="str">
        <x:v>qiskit.primitives.StatevectorSampler</x:v>
      </x:c>
      <x:c r="O151" s="9" t="str">
        <x:v>110001001</x:v>
      </x:c>
    </x:row>
    <x:row r="152" ht="18" customHeight="1">
      <x:c r="A152" s="2" t="str">
        <x:v>legacy_n4_12</x:v>
      </x:c>
      <x:c r="B152" s="2" t="str">
        <x:v>BPSO</x:v>
      </x:c>
      <x:c r="C152" s="2" t="n">
        <x:v>456</x:v>
      </x:c>
      <x:c r="D152" s="2" t="str">
        <x:v>success</x:v>
      </x:c>
      <x:c r="E152" s="2" t="n">
        <x:v>9</x:v>
      </x:c>
      <x:c r="F152" s="7" t="n">
        <x:v>84</x:v>
      </x:c>
      <x:c r="G152" s="7" t="n">
        <x:v>77.825</x:v>
      </x:c>
      <x:c r="H152" s="7" t="n">
        <x:f>IF(F152=0,"n.a.",100*(F152-G152)/F152)</x:f>
        <x:v>7.351190476190474</x:v>
      </x:c>
      <x:c r="I152" s="7" t="n">
        <x:f>F152-G152</x:f>
        <x:v>6.174999999999997</x:v>
      </x:c>
      <x:c r="J152" s="8" t="n">
        <x:v>0.4870779245861113</x:v>
      </x:c>
      <x:c r="K152" s="8" t="n">
        <x:v>0.4870779245861113</x:v>
      </x:c>
      <x:c r="L152" s="8" t="n">
        <x:v>0</x:v>
      </x:c>
      <x:c r="M152" s="7" t="n">
        <x:v>20.04470000974834</x:v>
      </x:c>
      <x:c r="N152" s="2" t="str">
        <x:v>repository_particle_dynamics_on_frozen_qubo</x:v>
      </x:c>
      <x:c r="O152" s="9" t="str">
        <x:v>100101100</x:v>
      </x:c>
    </x:row>
    <x:row r="153" ht="18" customHeight="1">
      <x:c r="A153" s="2" t="str">
        <x:v>legacy_n4_12</x:v>
      </x:c>
      <x:c r="B153" s="2" t="str">
        <x:v>QAOA</x:v>
      </x:c>
      <x:c r="C153" s="2" t="n">
        <x:v>456</x:v>
      </x:c>
      <x:c r="D153" s="2" t="str">
        <x:v>success</x:v>
      </x:c>
      <x:c r="E153" s="2" t="n">
        <x:v>9</x:v>
      </x:c>
      <x:c r="F153" s="7" t="n">
        <x:v>84</x:v>
      </x:c>
      <x:c r="G153" s="7" t="n">
        <x:v>77.825</x:v>
      </x:c>
      <x:c r="H153" s="7" t="n">
        <x:f>IF(F153=0,"n.a.",100*(F153-G153)/F153)</x:f>
        <x:v>7.351190476190474</x:v>
      </x:c>
      <x:c r="I153" s="7" t="n">
        <x:f>F153-G153</x:f>
        <x:v>6.174999999999997</x:v>
      </x:c>
      <x:c r="J153" s="8" t="n">
        <x:v>0.4870779245861113</x:v>
      </x:c>
      <x:c r="K153" s="8" t="n">
        <x:v>0.4870779245861113</x:v>
      </x:c>
      <x:c r="L153" s="8" t="n">
        <x:v>0</x:v>
      </x:c>
      <x:c r="M153" s="7" t="n">
        <x:v>548.0072999926051</x:v>
      </x:c>
      <x:c r="N153" s="2" t="str">
        <x:v>qiskit.primitives.StatevectorSampler</x:v>
      </x:c>
      <x:c r="O153" s="9" t="str">
        <x:v>101010001</x:v>
      </x:c>
    </x:row>
    <x:row r="154" ht="18" customHeight="1">
      <x:c r="A154" s="2" t="str">
        <x:v>legacy_n4_12</x:v>
      </x:c>
      <x:c r="B154" s="2" t="str">
        <x:v>BPSO</x:v>
      </x:c>
      <x:c r="C154" s="2" t="n">
        <x:v>789</x:v>
      </x:c>
      <x:c r="D154" s="2" t="str">
        <x:v>success</x:v>
      </x:c>
      <x:c r="E154" s="2" t="n">
        <x:v>9</x:v>
      </x:c>
      <x:c r="F154" s="7" t="n">
        <x:v>84</x:v>
      </x:c>
      <x:c r="G154" s="7" t="n">
        <x:v>77.825</x:v>
      </x:c>
      <x:c r="H154" s="7" t="n">
        <x:f>IF(F154=0,"n.a.",100*(F154-G154)/F154)</x:f>
        <x:v>7.351190476190474</x:v>
      </x:c>
      <x:c r="I154" s="7" t="n">
        <x:f>F154-G154</x:f>
        <x:v>6.174999999999997</x:v>
      </x:c>
      <x:c r="J154" s="8" t="n">
        <x:v>0.4870779245861113</x:v>
      </x:c>
      <x:c r="K154" s="8" t="n">
        <x:v>0.4870779245861113</x:v>
      </x:c>
      <x:c r="L154" s="8" t="n">
        <x:v>0</x:v>
      </x:c>
      <x:c r="M154" s="7" t="n">
        <x:v>19.03130000573583</x:v>
      </x:c>
      <x:c r="N154" s="2" t="str">
        <x:v>repository_particle_dynamics_on_frozen_qubo</x:v>
      </x:c>
      <x:c r="O154" s="9" t="str">
        <x:v>010110001</x:v>
      </x:c>
    </x:row>
    <x:row r="155" ht="18" customHeight="1">
      <x:c r="A155" s="2" t="str">
        <x:v>legacy_n4_12</x:v>
      </x:c>
      <x:c r="B155" s="2" t="str">
        <x:v>QAOA</x:v>
      </x:c>
      <x:c r="C155" s="2" t="n">
        <x:v>789</x:v>
      </x:c>
      <x:c r="D155" s="2" t="str">
        <x:v>success</x:v>
      </x:c>
      <x:c r="E155" s="2" t="n">
        <x:v>9</x:v>
      </x:c>
      <x:c r="F155" s="7" t="n">
        <x:v>84</x:v>
      </x:c>
      <x:c r="G155" s="7" t="n">
        <x:v>77.825</x:v>
      </x:c>
      <x:c r="H155" s="7" t="n">
        <x:f>IF(F155=0,"n.a.",100*(F155-G155)/F155)</x:f>
        <x:v>7.351190476190474</x:v>
      </x:c>
      <x:c r="I155" s="7" t="n">
        <x:f>F155-G155</x:f>
        <x:v>6.174999999999997</x:v>
      </x:c>
      <x:c r="J155" s="8" t="n">
        <x:v>0.4870779245861113</x:v>
      </x:c>
      <x:c r="K155" s="8" t="n">
        <x:v>0.4870779245861113</x:v>
      </x:c>
      <x:c r="L155" s="8" t="n">
        <x:v>0</x:v>
      </x:c>
      <x:c r="M155" s="7" t="n">
        <x:v>587.5183000025572</x:v>
      </x:c>
      <x:c r="N155" s="2" t="str">
        <x:v>qiskit.primitives.StatevectorSampler</x:v>
      </x:c>
      <x:c r="O155" s="9" t="str">
        <x:v>011000011</x:v>
      </x:c>
    </x:row>
    <x:row r="156" ht="18" customHeight="1">
      <x:c r="A156" s="2" t="str">
        <x:v>legacy_n4_12</x:v>
      </x:c>
      <x:c r="B156" s="2" t="str">
        <x:v>BPSO</x:v>
      </x:c>
      <x:c r="C156" s="2" t="n">
        <x:v>2026</x:v>
      </x:c>
      <x:c r="D156" s="2" t="str">
        <x:v>success</x:v>
      </x:c>
      <x:c r="E156" s="2" t="n">
        <x:v>9</x:v>
      </x:c>
      <x:c r="F156" s="7" t="n">
        <x:v>84</x:v>
      </x:c>
      <x:c r="G156" s="7" t="n">
        <x:v>77.825</x:v>
      </x:c>
      <x:c r="H156" s="7" t="n">
        <x:f>IF(F156=0,"n.a.",100*(F156-G156)/F156)</x:f>
        <x:v>7.351190476190474</x:v>
      </x:c>
      <x:c r="I156" s="7" t="n">
        <x:f>F156-G156</x:f>
        <x:v>6.174999999999997</x:v>
      </x:c>
      <x:c r="J156" s="8" t="n">
        <x:v>0.4870779245861113</x:v>
      </x:c>
      <x:c r="K156" s="8" t="n">
        <x:v>0.4870779245861113</x:v>
      </x:c>
      <x:c r="L156" s="8" t="n">
        <x:v>0</x:v>
      </x:c>
      <x:c r="M156" s="7" t="n">
        <x:v>19.749699989915825</x:v>
      </x:c>
      <x:c r="N156" s="2" t="str">
        <x:v>repository_particle_dynamics_on_frozen_qubo</x:v>
      </x:c>
      <x:c r="O156" s="9" t="str">
        <x:v>101010010</x:v>
      </x:c>
    </x:row>
    <x:row r="157" ht="18" customHeight="1">
      <x:c r="A157" s="2" t="str">
        <x:v>legacy_n4_12</x:v>
      </x:c>
      <x:c r="B157" s="2" t="str">
        <x:v>QAOA</x:v>
      </x:c>
      <x:c r="C157" s="2" t="n">
        <x:v>2026</x:v>
      </x:c>
      <x:c r="D157" s="2" t="str">
        <x:v>success</x:v>
      </x:c>
      <x:c r="E157" s="2" t="n">
        <x:v>9</x:v>
      </x:c>
      <x:c r="F157" s="7" t="n">
        <x:v>84</x:v>
      </x:c>
      <x:c r="G157" s="7" t="n">
        <x:v>77.825</x:v>
      </x:c>
      <x:c r="H157" s="7" t="n">
        <x:f>IF(F157=0,"n.a.",100*(F157-G157)/F157)</x:f>
        <x:v>7.351190476190474</x:v>
      </x:c>
      <x:c r="I157" s="7" t="n">
        <x:f>F157-G157</x:f>
        <x:v>6.174999999999997</x:v>
      </x:c>
      <x:c r="J157" s="8" t="n">
        <x:v>0.4870779245861113</x:v>
      </x:c>
      <x:c r="K157" s="8" t="n">
        <x:v>0.4870779245861113</x:v>
      </x:c>
      <x:c r="L157" s="8" t="n">
        <x:v>0</x:v>
      </x:c>
      <x:c r="M157" s="7" t="n">
        <x:v>614.7353000123985</x:v>
      </x:c>
      <x:c r="N157" s="2" t="str">
        <x:v>qiskit.primitives.StatevectorSampler</x:v>
      </x:c>
      <x:c r="O157" s="9" t="str">
        <x:v>010100011</x:v>
      </x:c>
    </x:row>
    <x:row r="158" ht="18" customHeight="1">
      <x:c r="A158" s="2" t="str">
        <x:v>legacy_n4_13</x:v>
      </x:c>
      <x:c r="B158" s="2" t="str">
        <x:v>Unmanaged</x:v>
      </x:c>
      <x:c r="C158" s="2"/>
      <x:c r="D158" s="2" t="str">
        <x:v>baseline</x:v>
      </x:c>
      <x:c r="E158" s="2" t="n">
        <x:v>5</x:v>
      </x:c>
      <x:c r="F158" s="7" t="n">
        <x:v>76.73478260869565</x:v>
      </x:c>
      <x:c r="G158" s="7" t="n">
        <x:v>76.73478260869565</x:v>
      </x:c>
      <x:c r="H158" s="7" t="n">
        <x:f>IF(F158=0,"n.a.",100*(F158-G158)/F158)</x:f>
        <x:v>0</x:v>
      </x:c>
      <x:c r="I158" s="7" t="n">
        <x:f>F158-G158</x:f>
        <x:v>0</x:v>
      </x:c>
      <x:c r="J158" s="8"/>
      <x:c r="K158" s="8" t="n">
        <x:v>0.1337206567465386</x:v>
      </x:c>
      <x:c r="L158" s="8"/>
      <x:c r="M158" s="7"/>
      <x:c r="N158" s="2" t="str">
        <x:v>unmanaged_input</x:v>
      </x:c>
      <x:c r="O158" s="9"/>
    </x:row>
    <x:row r="159" ht="18" customHeight="1">
      <x:c r="A159" s="2" t="str">
        <x:v>legacy_n4_13</x:v>
      </x:c>
      <x:c r="B159" s="2" t="str">
        <x:v>Exact J</x:v>
      </x:c>
      <x:c r="C159" s="2"/>
      <x:c r="D159" s="2" t="str">
        <x:v>success</x:v>
      </x:c>
      <x:c r="E159" s="2" t="n">
        <x:v>5</x:v>
      </x:c>
      <x:c r="F159" s="7" t="n">
        <x:v>76.73478260869565</x:v>
      </x:c>
      <x:c r="G159" s="7" t="n">
        <x:v>56.794444444444444</x:v>
      </x:c>
      <x:c r="H159" s="7" t="n">
        <x:f>IF(F159=0,"n.a.",100*(F159-G159)/F159)</x:f>
        <x:v>25.986048942023785</x:v>
      </x:c>
      <x:c r="I159" s="7" t="n">
        <x:f>F159-G159</x:f>
        <x:v>19.94033816425121</x:v>
      </x:c>
      <x:c r="J159" s="8" t="n">
        <x:v>0.1337206567465386</x:v>
      </x:c>
      <x:c r="K159" s="8" t="n">
        <x:v>0.1337206567465386</x:v>
      </x:c>
      <x:c r="L159" s="8" t="n">
        <x:v>0</x:v>
      </x:c>
      <x:c r="M159" s="7"/>
      <x:c r="N159" s="2" t="str">
        <x:v>exhaustive_enumeration</x:v>
      </x:c>
      <x:c r="O159" s="9" t="str">
        <x:v>00011</x:v>
      </x:c>
    </x:row>
    <x:row r="160" ht="18" customHeight="1">
      <x:c r="A160" s="2" t="str">
        <x:v>legacy_n4_13</x:v>
      </x:c>
      <x:c r="B160" s="2" t="str">
        <x:v>Exact peak</x:v>
      </x:c>
      <x:c r="C160" s="2"/>
      <x:c r="D160" s="2" t="str">
        <x:v>success</x:v>
      </x:c>
      <x:c r="E160" s="2" t="n">
        <x:v>5</x:v>
      </x:c>
      <x:c r="F160" s="7" t="n">
        <x:v>76.73478260869565</x:v>
      </x:c>
      <x:c r="G160" s="7" t="n">
        <x:v>56.794444444444444</x:v>
      </x:c>
      <x:c r="H160" s="7" t="n">
        <x:f>IF(F160=0,"n.a.",100*(F160-G160)/F160)</x:f>
        <x:v>25.986048942023785</x:v>
      </x:c>
      <x:c r="I160" s="7" t="n">
        <x:f>F160-G160</x:f>
        <x:v>19.94033816425121</x:v>
      </x:c>
      <x:c r="J160" s="8" t="n">
        <x:v>0.1337206567465386</x:v>
      </x:c>
      <x:c r="K160" s="8" t="n">
        <x:v>0.1337206567465386</x:v>
      </x:c>
      <x:c r="L160" s="8" t="n">
        <x:v>0</x:v>
      </x:c>
      <x:c r="M160" s="7"/>
      <x:c r="N160" s="2" t="str">
        <x:v>exhaustive_enumeration</x:v>
      </x:c>
      <x:c r="O160" s="9" t="str">
        <x:v>00011</x:v>
      </x:c>
    </x:row>
    <x:row r="161" ht="18" customHeight="1">
      <x:c r="A161" s="2" t="str">
        <x:v>legacy_n4_13</x:v>
      </x:c>
      <x:c r="B161" s="2" t="str">
        <x:v>BPSO</x:v>
      </x:c>
      <x:c r="C161" s="2" t="n">
        <x:v>42</x:v>
      </x:c>
      <x:c r="D161" s="2" t="str">
        <x:v>success</x:v>
      </x:c>
      <x:c r="E161" s="2" t="n">
        <x:v>5</x:v>
      </x:c>
      <x:c r="F161" s="7" t="n">
        <x:v>76.73478260869565</x:v>
      </x:c>
      <x:c r="G161" s="7" t="n">
        <x:v>56.794444444444444</x:v>
      </x:c>
      <x:c r="H161" s="7" t="n">
        <x:f>IF(F161=0,"n.a.",100*(F161-G161)/F161)</x:f>
        <x:v>25.986048942023785</x:v>
      </x:c>
      <x:c r="I161" s="7" t="n">
        <x:f>F161-G161</x:f>
        <x:v>19.94033816425121</x:v>
      </x:c>
      <x:c r="J161" s="8" t="n">
        <x:v>0.1337206567465386</x:v>
      </x:c>
      <x:c r="K161" s="8" t="n">
        <x:v>0.1337206567465386</x:v>
      </x:c>
      <x:c r="L161" s="8" t="n">
        <x:v>0</x:v>
      </x:c>
      <x:c r="M161" s="7" t="n">
        <x:v>15.474400002858602</x:v>
      </x:c>
      <x:c r="N161" s="2" t="str">
        <x:v>repository_particle_dynamics_on_frozen_qubo</x:v>
      </x:c>
      <x:c r="O161" s="9" t="str">
        <x:v>11000</x:v>
      </x:c>
    </x:row>
    <x:row r="162" ht="18" customHeight="1">
      <x:c r="A162" s="2" t="str">
        <x:v>legacy_n4_13</x:v>
      </x:c>
      <x:c r="B162" s="2" t="str">
        <x:v>QAOA</x:v>
      </x:c>
      <x:c r="C162" s="2" t="n">
        <x:v>42</x:v>
      </x:c>
      <x:c r="D162" s="2" t="str">
        <x:v>success</x:v>
      </x:c>
      <x:c r="E162" s="2" t="n">
        <x:v>5</x:v>
      </x:c>
      <x:c r="F162" s="7" t="n">
        <x:v>76.73478260869565</x:v>
      </x:c>
      <x:c r="G162" s="7" t="n">
        <x:v>56.794444444444444</x:v>
      </x:c>
      <x:c r="H162" s="7" t="n">
        <x:f>IF(F162=0,"n.a.",100*(F162-G162)/F162)</x:f>
        <x:v>25.986048942023785</x:v>
      </x:c>
      <x:c r="I162" s="7" t="n">
        <x:f>F162-G162</x:f>
        <x:v>19.94033816425121</x:v>
      </x:c>
      <x:c r="J162" s="8" t="n">
        <x:v>0.1337206567465386</x:v>
      </x:c>
      <x:c r="K162" s="8" t="n">
        <x:v>0.1337206567465386</x:v>
      </x:c>
      <x:c r="L162" s="8" t="n">
        <x:v>0</x:v>
      </x:c>
      <x:c r="M162" s="7" t="n">
        <x:v>197.2581000009086</x:v>
      </x:c>
      <x:c r="N162" s="2" t="str">
        <x:v>qiskit.primitives.StatevectorSampler</x:v>
      </x:c>
      <x:c r="O162" s="9" t="str">
        <x:v>10100</x:v>
      </x:c>
    </x:row>
    <x:row r="163" ht="18" customHeight="1">
      <x:c r="A163" s="2" t="str">
        <x:v>legacy_n4_13</x:v>
      </x:c>
      <x:c r="B163" s="2" t="str">
        <x:v>BPSO</x:v>
      </x:c>
      <x:c r="C163" s="2" t="n">
        <x:v>123</x:v>
      </x:c>
      <x:c r="D163" s="2" t="str">
        <x:v>success</x:v>
      </x:c>
      <x:c r="E163" s="2" t="n">
        <x:v>5</x:v>
      </x:c>
      <x:c r="F163" s="7" t="n">
        <x:v>76.73478260869565</x:v>
      </x:c>
      <x:c r="G163" s="7" t="n">
        <x:v>56.794444444444444</x:v>
      </x:c>
      <x:c r="H163" s="7" t="n">
        <x:f>IF(F163=0,"n.a.",100*(F163-G163)/F163)</x:f>
        <x:v>25.986048942023785</x:v>
      </x:c>
      <x:c r="I163" s="7" t="n">
        <x:f>F163-G163</x:f>
        <x:v>19.94033816425121</x:v>
      </x:c>
      <x:c r="J163" s="8" t="n">
        <x:v>0.1337206567465386</x:v>
      </x:c>
      <x:c r="K163" s="8" t="n">
        <x:v>0.1337206567465386</x:v>
      </x:c>
      <x:c r="L163" s="8" t="n">
        <x:v>0</x:v>
      </x:c>
      <x:c r="M163" s="7" t="n">
        <x:v>15.179200010607019</x:v>
      </x:c>
      <x:c r="N163" s="2" t="str">
        <x:v>repository_particle_dynamics_on_frozen_qubo</x:v>
      </x:c>
      <x:c r="O163" s="9" t="str">
        <x:v>01010</x:v>
      </x:c>
    </x:row>
    <x:row r="164" ht="18" customHeight="1">
      <x:c r="A164" s="2" t="str">
        <x:v>legacy_n4_13</x:v>
      </x:c>
      <x:c r="B164" s="2" t="str">
        <x:v>QAOA</x:v>
      </x:c>
      <x:c r="C164" s="2" t="n">
        <x:v>123</x:v>
      </x:c>
      <x:c r="D164" s="2" t="str">
        <x:v>success</x:v>
      </x:c>
      <x:c r="E164" s="2" t="n">
        <x:v>5</x:v>
      </x:c>
      <x:c r="F164" s="7" t="n">
        <x:v>76.73478260869565</x:v>
      </x:c>
      <x:c r="G164" s="7" t="n">
        <x:v>56.794444444444444</x:v>
      </x:c>
      <x:c r="H164" s="7" t="n">
        <x:f>IF(F164=0,"n.a.",100*(F164-G164)/F164)</x:f>
        <x:v>25.986048942023785</x:v>
      </x:c>
      <x:c r="I164" s="7" t="n">
        <x:f>F164-G164</x:f>
        <x:v>19.94033816425121</x:v>
      </x:c>
      <x:c r="J164" s="8" t="n">
        <x:v>0.1337206567465386</x:v>
      </x:c>
      <x:c r="K164" s="8" t="n">
        <x:v>0.1337206567465386</x:v>
      </x:c>
      <x:c r="L164" s="8" t="n">
        <x:v>0</x:v>
      </x:c>
      <x:c r="M164" s="7" t="n">
        <x:v>268.1630999868503</x:v>
      </x:c>
      <x:c r="N164" s="2" t="str">
        <x:v>qiskit.primitives.StatevectorSampler</x:v>
      </x:c>
      <x:c r="O164" s="9" t="str">
        <x:v>01001</x:v>
      </x:c>
    </x:row>
    <x:row r="165" ht="18" customHeight="1">
      <x:c r="A165" s="2" t="str">
        <x:v>legacy_n4_13</x:v>
      </x:c>
      <x:c r="B165" s="2" t="str">
        <x:v>BPSO</x:v>
      </x:c>
      <x:c r="C165" s="2" t="n">
        <x:v>456</x:v>
      </x:c>
      <x:c r="D165" s="2" t="str">
        <x:v>success</x:v>
      </x:c>
      <x:c r="E165" s="2" t="n">
        <x:v>5</x:v>
      </x:c>
      <x:c r="F165" s="7" t="n">
        <x:v>76.73478260869565</x:v>
      </x:c>
      <x:c r="G165" s="7" t="n">
        <x:v>56.794444444444444</x:v>
      </x:c>
      <x:c r="H165" s="7" t="n">
        <x:f>IF(F165=0,"n.a.",100*(F165-G165)/F165)</x:f>
        <x:v>25.986048942023785</x:v>
      </x:c>
      <x:c r="I165" s="7" t="n">
        <x:f>F165-G165</x:f>
        <x:v>19.94033816425121</x:v>
      </x:c>
      <x:c r="J165" s="8" t="n">
        <x:v>0.1337206567465386</x:v>
      </x:c>
      <x:c r="K165" s="8" t="n">
        <x:v>0.1337206567465386</x:v>
      </x:c>
      <x:c r="L165" s="8" t="n">
        <x:v>0</x:v>
      </x:c>
      <x:c r="M165" s="7" t="n">
        <x:v>15.375100003439002</x:v>
      </x:c>
      <x:c r="N165" s="2" t="str">
        <x:v>repository_particle_dynamics_on_frozen_qubo</x:v>
      </x:c>
      <x:c r="O165" s="9" t="str">
        <x:v>00011</x:v>
      </x:c>
    </x:row>
    <x:row r="166" ht="18" customHeight="1">
      <x:c r="A166" s="2" t="str">
        <x:v>legacy_n4_13</x:v>
      </x:c>
      <x:c r="B166" s="2" t="str">
        <x:v>QAOA</x:v>
      </x:c>
      <x:c r="C166" s="2" t="n">
        <x:v>456</x:v>
      </x:c>
      <x:c r="D166" s="2" t="str">
        <x:v>success</x:v>
      </x:c>
      <x:c r="E166" s="2" t="n">
        <x:v>5</x:v>
      </x:c>
      <x:c r="F166" s="7" t="n">
        <x:v>76.73478260869565</x:v>
      </x:c>
      <x:c r="G166" s="7" t="n">
        <x:v>56.794444444444444</x:v>
      </x:c>
      <x:c r="H166" s="7" t="n">
        <x:f>IF(F166=0,"n.a.",100*(F166-G166)/F166)</x:f>
        <x:v>25.986048942023785</x:v>
      </x:c>
      <x:c r="I166" s="7" t="n">
        <x:f>F166-G166</x:f>
        <x:v>19.94033816425121</x:v>
      </x:c>
      <x:c r="J166" s="8" t="n">
        <x:v>0.1337206567465386</x:v>
      </x:c>
      <x:c r="K166" s="8" t="n">
        <x:v>0.1337206567465386</x:v>
      </x:c>
      <x:c r="L166" s="8" t="n">
        <x:v>0</x:v>
      </x:c>
      <x:c r="M166" s="7" t="n">
        <x:v>214.64199999172706</x:v>
      </x:c>
      <x:c r="N166" s="2" t="str">
        <x:v>qiskit.primitives.StatevectorSampler</x:v>
      </x:c>
      <x:c r="O166" s="9" t="str">
        <x:v>01010</x:v>
      </x:c>
    </x:row>
    <x:row r="167" ht="18" customHeight="1">
      <x:c r="A167" s="2" t="str">
        <x:v>legacy_n4_13</x:v>
      </x:c>
      <x:c r="B167" s="2" t="str">
        <x:v>BPSO</x:v>
      </x:c>
      <x:c r="C167" s="2" t="n">
        <x:v>789</x:v>
      </x:c>
      <x:c r="D167" s="2" t="str">
        <x:v>success</x:v>
      </x:c>
      <x:c r="E167" s="2" t="n">
        <x:v>5</x:v>
      </x:c>
      <x:c r="F167" s="7" t="n">
        <x:v>76.73478260869565</x:v>
      </x:c>
      <x:c r="G167" s="7" t="n">
        <x:v>56.794444444444444</x:v>
      </x:c>
      <x:c r="H167" s="7" t="n">
        <x:f>IF(F167=0,"n.a.",100*(F167-G167)/F167)</x:f>
        <x:v>25.986048942023785</x:v>
      </x:c>
      <x:c r="I167" s="7" t="n">
        <x:f>F167-G167</x:f>
        <x:v>19.94033816425121</x:v>
      </x:c>
      <x:c r="J167" s="8" t="n">
        <x:v>0.1337206567465386</x:v>
      </x:c>
      <x:c r="K167" s="8" t="n">
        <x:v>0.1337206567465386</x:v>
      </x:c>
      <x:c r="L167" s="8" t="n">
        <x:v>0</x:v>
      </x:c>
      <x:c r="M167" s="7" t="n">
        <x:v>14.82719999330584</x:v>
      </x:c>
      <x:c r="N167" s="2" t="str">
        <x:v>repository_particle_dynamics_on_frozen_qubo</x:v>
      </x:c>
      <x:c r="O167" s="9" t="str">
        <x:v>01100</x:v>
      </x:c>
    </x:row>
    <x:row r="168" ht="18" customHeight="1">
      <x:c r="A168" s="2" t="str">
        <x:v>legacy_n4_13</x:v>
      </x:c>
      <x:c r="B168" s="2" t="str">
        <x:v>QAOA</x:v>
      </x:c>
      <x:c r="C168" s="2" t="n">
        <x:v>789</x:v>
      </x:c>
      <x:c r="D168" s="2" t="str">
        <x:v>success</x:v>
      </x:c>
      <x:c r="E168" s="2" t="n">
        <x:v>5</x:v>
      </x:c>
      <x:c r="F168" s="7" t="n">
        <x:v>76.73478260869565</x:v>
      </x:c>
      <x:c r="G168" s="7" t="n">
        <x:v>56.794444444444444</x:v>
      </x:c>
      <x:c r="H168" s="7" t="n">
        <x:f>IF(F168=0,"n.a.",100*(F168-G168)/F168)</x:f>
        <x:v>25.986048942023785</x:v>
      </x:c>
      <x:c r="I168" s="7" t="n">
        <x:f>F168-G168</x:f>
        <x:v>19.94033816425121</x:v>
      </x:c>
      <x:c r="J168" s="8" t="n">
        <x:v>0.1337206567465386</x:v>
      </x:c>
      <x:c r="K168" s="8" t="n">
        <x:v>0.1337206567465386</x:v>
      </x:c>
      <x:c r="L168" s="8" t="n">
        <x:v>0</x:v>
      </x:c>
      <x:c r="M168" s="7" t="n">
        <x:v>240.0764999911189</x:v>
      </x:c>
      <x:c r="N168" s="2" t="str">
        <x:v>qiskit.primitives.StatevectorSampler</x:v>
      </x:c>
      <x:c r="O168" s="9" t="str">
        <x:v>10100</x:v>
      </x:c>
    </x:row>
    <x:row r="169" ht="18" customHeight="1">
      <x:c r="A169" s="2" t="str">
        <x:v>legacy_n4_13</x:v>
      </x:c>
      <x:c r="B169" s="2" t="str">
        <x:v>BPSO</x:v>
      </x:c>
      <x:c r="C169" s="2" t="n">
        <x:v>2026</x:v>
      </x:c>
      <x:c r="D169" s="2" t="str">
        <x:v>success</x:v>
      </x:c>
      <x:c r="E169" s="2" t="n">
        <x:v>5</x:v>
      </x:c>
      <x:c r="F169" s="7" t="n">
        <x:v>76.73478260869565</x:v>
      </x:c>
      <x:c r="G169" s="7" t="n">
        <x:v>56.794444444444444</x:v>
      </x:c>
      <x:c r="H169" s="7" t="n">
        <x:f>IF(F169=0,"n.a.",100*(F169-G169)/F169)</x:f>
        <x:v>25.986048942023785</x:v>
      </x:c>
      <x:c r="I169" s="7" t="n">
        <x:f>F169-G169</x:f>
        <x:v>19.94033816425121</x:v>
      </x:c>
      <x:c r="J169" s="8" t="n">
        <x:v>0.1337206567465386</x:v>
      </x:c>
      <x:c r="K169" s="8" t="n">
        <x:v>0.1337206567465386</x:v>
      </x:c>
      <x:c r="L169" s="8" t="n">
        <x:v>0</x:v>
      </x:c>
      <x:c r="M169" s="7" t="n">
        <x:v>14.588799997000024</x:v>
      </x:c>
      <x:c r="N169" s="2" t="str">
        <x:v>repository_particle_dynamics_on_frozen_qubo</x:v>
      </x:c>
      <x:c r="O169" s="9" t="str">
        <x:v>10100</x:v>
      </x:c>
    </x:row>
    <x:row r="170" ht="18" customHeight="1">
      <x:c r="A170" s="2" t="str">
        <x:v>legacy_n4_13</x:v>
      </x:c>
      <x:c r="B170" s="2" t="str">
        <x:v>QAOA</x:v>
      </x:c>
      <x:c r="C170" s="2" t="n">
        <x:v>2026</x:v>
      </x:c>
      <x:c r="D170" s="2" t="str">
        <x:v>success</x:v>
      </x:c>
      <x:c r="E170" s="2" t="n">
        <x:v>5</x:v>
      </x:c>
      <x:c r="F170" s="7" t="n">
        <x:v>76.73478260869565</x:v>
      </x:c>
      <x:c r="G170" s="7" t="n">
        <x:v>56.794444444444444</x:v>
      </x:c>
      <x:c r="H170" s="7" t="n">
        <x:f>IF(F170=0,"n.a.",100*(F170-G170)/F170)</x:f>
        <x:v>25.986048942023785</x:v>
      </x:c>
      <x:c r="I170" s="7" t="n">
        <x:f>F170-G170</x:f>
        <x:v>19.94033816425121</x:v>
      </x:c>
      <x:c r="J170" s="8" t="n">
        <x:v>0.1337206567465386</x:v>
      </x:c>
      <x:c r="K170" s="8" t="n">
        <x:v>0.1337206567465386</x:v>
      </x:c>
      <x:c r="L170" s="8" t="n">
        <x:v>0</x:v>
      </x:c>
      <x:c r="M170" s="7" t="n">
        <x:v>240.3828000096837</x:v>
      </x:c>
      <x:c r="N170" s="2" t="str">
        <x:v>qiskit.primitives.StatevectorSampler</x:v>
      </x:c>
      <x:c r="O170" s="9" t="str">
        <x:v>10100</x:v>
      </x:c>
    </x:row>
    <x:row r="171" ht="18" customHeight="1">
      <x:c r="A171" s="2" t="str">
        <x:v>legacy_n4_14</x:v>
      </x:c>
      <x:c r="B171" s="2" t="str">
        <x:v>Unmanaged</x:v>
      </x:c>
      <x:c r="C171" s="2"/>
      <x:c r="D171" s="2" t="str">
        <x:v>baseline</x:v>
      </x:c>
      <x:c r="E171" s="2" t="n">
        <x:v>10</x:v>
      </x:c>
      <x:c r="F171" s="7" t="n">
        <x:v>84.33684210526316</x:v>
      </x:c>
      <x:c r="G171" s="7" t="n">
        <x:v>84.33684210526316</x:v>
      </x:c>
      <x:c r="H171" s="7" t="n">
        <x:f>IF(F171=0,"n.a.",100*(F171-G171)/F171)</x:f>
        <x:v>0</x:v>
      </x:c>
      <x:c r="I171" s="7" t="n">
        <x:f>F171-G171</x:f>
        <x:v>0</x:v>
      </x:c>
      <x:c r="J171" s="8"/>
      <x:c r="K171" s="8" t="n">
        <x:v>1.1075238293618923</x:v>
      </x:c>
      <x:c r="L171" s="8"/>
      <x:c r="M171" s="7"/>
      <x:c r="N171" s="2" t="str">
        <x:v>unmanaged_input</x:v>
      </x:c>
      <x:c r="O171" s="9"/>
    </x:row>
    <x:row r="172" ht="18" customHeight="1">
      <x:c r="A172" s="2" t="str">
        <x:v>legacy_n4_14</x:v>
      </x:c>
      <x:c r="B172" s="2" t="str">
        <x:v>Exact J</x:v>
      </x:c>
      <x:c r="C172" s="2"/>
      <x:c r="D172" s="2" t="str">
        <x:v>success</x:v>
      </x:c>
      <x:c r="E172" s="2" t="n">
        <x:v>10</x:v>
      </x:c>
      <x:c r="F172" s="7" t="n">
        <x:v>84.33684210526316</x:v>
      </x:c>
      <x:c r="G172" s="7" t="n">
        <x:v>89.43684210526315</x:v>
      </x:c>
      <x:c r="H172" s="7" t="n">
        <x:f>IF(F172=0,"n.a.",100*(F172-G172)/F172)</x:f>
        <x:v>-6.0471792311532635</x:v>
      </x:c>
      <x:c r="I172" s="7" t="n">
        <x:f>F172-G172</x:f>
        <x:v>-5.099999999999994</x:v>
      </x:c>
      <x:c r="J172" s="8" t="n">
        <x:v>1.1075238293618925</x:v>
      </x:c>
      <x:c r="K172" s="8" t="n">
        <x:v>1.1075238293618923</x:v>
      </x:c>
      <x:c r="L172" s="8" t="n">
        <x:v>2.220446049250313e-16</x:v>
      </x:c>
      <x:c r="M172" s="7"/>
      <x:c r="N172" s="2" t="str">
        <x:v>exhaustive_enumeration</x:v>
      </x:c>
      <x:c r="O172" s="9" t="str">
        <x:v>0000111100</x:v>
      </x:c>
    </x:row>
    <x:row r="173" ht="18" customHeight="1">
      <x:c r="A173" s="2" t="str">
        <x:v>legacy_n4_14</x:v>
      </x:c>
      <x:c r="B173" s="2" t="str">
        <x:v>Exact peak</x:v>
      </x:c>
      <x:c r="C173" s="2"/>
      <x:c r="D173" s="2" t="str">
        <x:v>success</x:v>
      </x:c>
      <x:c r="E173" s="2" t="n">
        <x:v>10</x:v>
      </x:c>
      <x:c r="F173" s="7" t="n">
        <x:v>84.33684210526316</x:v>
      </x:c>
      <x:c r="G173" s="7" t="n">
        <x:v>81.5421052631579</x:v>
      </x:c>
      <x:c r="H173" s="7" t="n">
        <x:f>IF(F173=0,"n.a.",100*(F173-G173)/F173)</x:f>
        <x:v>3.3137793310034978</x:v>
      </x:c>
      <x:c r="I173" s="7" t="n">
        <x:f>F173-G173</x:f>
        <x:v>2.794736842105266</x:v>
      </x:c>
      <x:c r="J173" s="8" t="n">
        <x:v>1.1191665771383255</x:v>
      </x:c>
      <x:c r="K173" s="8" t="n">
        <x:v>1.1075238293618923</x:v>
      </x:c>
      <x:c r="L173" s="8" t="n">
        <x:v>0.011642747776433149</x:v>
      </x:c>
      <x:c r="M173" s="7"/>
      <x:c r="N173" s="2" t="str">
        <x:v>exhaustive_enumeration</x:v>
      </x:c>
      <x:c r="O173" s="9" t="str">
        <x:v>0001111101</x:v>
      </x:c>
    </x:row>
    <x:row r="174" ht="18" customHeight="1">
      <x:c r="A174" s="2" t="str">
        <x:v>legacy_n4_14</x:v>
      </x:c>
      <x:c r="B174" s="2" t="str">
        <x:v>BPSO</x:v>
      </x:c>
      <x:c r="C174" s="2" t="n">
        <x:v>42</x:v>
      </x:c>
      <x:c r="D174" s="2" t="str">
        <x:v>success</x:v>
      </x:c>
      <x:c r="E174" s="2" t="n">
        <x:v>10</x:v>
      </x:c>
      <x:c r="F174" s="7" t="n">
        <x:v>84.33684210526316</x:v>
      </x:c>
      <x:c r="G174" s="7" t="n">
        <x:v>89.43684210526315</x:v>
      </x:c>
      <x:c r="H174" s="7" t="n">
        <x:f>IF(F174=0,"n.a.",100*(F174-G174)/F174)</x:f>
        <x:v>-6.0471792311532635</x:v>
      </x:c>
      <x:c r="I174" s="7" t="n">
        <x:f>F174-G174</x:f>
        <x:v>-5.099999999999994</x:v>
      </x:c>
      <x:c r="J174" s="8" t="n">
        <x:v>1.1075238293618923</x:v>
      </x:c>
      <x:c r="K174" s="8" t="n">
        <x:v>1.1075238293618923</x:v>
      </x:c>
      <x:c r="L174" s="8" t="n">
        <x:v>0</x:v>
      </x:c>
      <x:c r="M174" s="7" t="n">
        <x:v>20.381300011649728</x:v>
      </x:c>
      <x:c r="N174" s="2" t="str">
        <x:v>repository_particle_dynamics_on_frozen_qubo</x:v>
      </x:c>
      <x:c r="O174" s="9" t="str">
        <x:v>0100101101</x:v>
      </x:c>
    </x:row>
    <x:row r="175" ht="18" customHeight="1">
      <x:c r="A175" s="2" t="str">
        <x:v>legacy_n4_14</x:v>
      </x:c>
      <x:c r="B175" s="2" t="str">
        <x:v>QAOA</x:v>
      </x:c>
      <x:c r="C175" s="2" t="n">
        <x:v>42</x:v>
      </x:c>
      <x:c r="D175" s="2" t="str">
        <x:v>success</x:v>
      </x:c>
      <x:c r="E175" s="2" t="n">
        <x:v>10</x:v>
      </x:c>
      <x:c r="F175" s="7" t="n">
        <x:v>84.33684210526316</x:v>
      </x:c>
      <x:c r="G175" s="7" t="n">
        <x:v>89.43684210526315</x:v>
      </x:c>
      <x:c r="H175" s="7" t="n">
        <x:f>IF(F175=0,"n.a.",100*(F175-G175)/F175)</x:f>
        <x:v>-6.0471792311532635</x:v>
      </x:c>
      <x:c r="I175" s="7" t="n">
        <x:f>F175-G175</x:f>
        <x:v>-5.099999999999994</x:v>
      </x:c>
      <x:c r="J175" s="8" t="n">
        <x:v>1.1075238293618923</x:v>
      </x:c>
      <x:c r="K175" s="8" t="n">
        <x:v>1.1075238293618923</x:v>
      </x:c>
      <x:c r="L175" s="8" t="n">
        <x:v>0</x:v>
      </x:c>
      <x:c r="M175" s="7" t="n">
        <x:v>688.5742000013124</x:v>
      </x:c>
      <x:c r="N175" s="2" t="str">
        <x:v>qiskit.primitives.StatevectorSampler</x:v>
      </x:c>
      <x:c r="O175" s="9" t="str">
        <x:v>0110110011</x:v>
      </x:c>
    </x:row>
    <x:row r="176" ht="18" customHeight="1">
      <x:c r="A176" s="2" t="str">
        <x:v>legacy_n4_14</x:v>
      </x:c>
      <x:c r="B176" s="2" t="str">
        <x:v>BPSO</x:v>
      </x:c>
      <x:c r="C176" s="2" t="n">
        <x:v>123</x:v>
      </x:c>
      <x:c r="D176" s="2" t="str">
        <x:v>success</x:v>
      </x:c>
      <x:c r="E176" s="2" t="n">
        <x:v>10</x:v>
      </x:c>
      <x:c r="F176" s="7" t="n">
        <x:v>84.33684210526316</x:v>
      </x:c>
      <x:c r="G176" s="7" t="n">
        <x:v>89.43684210526315</x:v>
      </x:c>
      <x:c r="H176" s="7" t="n">
        <x:f>IF(F176=0,"n.a.",100*(F176-G176)/F176)</x:f>
        <x:v>-6.0471792311532635</x:v>
      </x:c>
      <x:c r="I176" s="7" t="n">
        <x:f>F176-G176</x:f>
        <x:v>-5.099999999999994</x:v>
      </x:c>
      <x:c r="J176" s="8" t="n">
        <x:v>1.1075238293618923</x:v>
      </x:c>
      <x:c r="K176" s="8" t="n">
        <x:v>1.1075238293618923</x:v>
      </x:c>
      <x:c r="L176" s="8" t="n">
        <x:v>0</x:v>
      </x:c>
      <x:c r="M176" s="7" t="n">
        <x:v>21.323699998902157</x:v>
      </x:c>
      <x:c r="N176" s="2" t="str">
        <x:v>repository_particle_dynamics_on_frozen_qubo</x:v>
      </x:c>
      <x:c r="O176" s="9" t="str">
        <x:v>1010011010</x:v>
      </x:c>
    </x:row>
    <x:row r="177" ht="18" customHeight="1">
      <x:c r="A177" s="2" t="str">
        <x:v>legacy_n4_14</x:v>
      </x:c>
      <x:c r="B177" s="2" t="str">
        <x:v>QAOA</x:v>
      </x:c>
      <x:c r="C177" s="2" t="n">
        <x:v>123</x:v>
      </x:c>
      <x:c r="D177" s="2" t="str">
        <x:v>success</x:v>
      </x:c>
      <x:c r="E177" s="2" t="n">
        <x:v>10</x:v>
      </x:c>
      <x:c r="F177" s="7" t="n">
        <x:v>84.33684210526316</x:v>
      </x:c>
      <x:c r="G177" s="7" t="n">
        <x:v>89.43684210526315</x:v>
      </x:c>
      <x:c r="H177" s="7" t="n">
        <x:f>IF(F177=0,"n.a.",100*(F177-G177)/F177)</x:f>
        <x:v>-6.0471792311532635</x:v>
      </x:c>
      <x:c r="I177" s="7" t="n">
        <x:f>F177-G177</x:f>
        <x:v>-5.099999999999994</x:v>
      </x:c>
      <x:c r="J177" s="8" t="n">
        <x:v>1.1075238293618923</x:v>
      </x:c>
      <x:c r="K177" s="8" t="n">
        <x:v>1.1075238293618923</x:v>
      </x:c>
      <x:c r="L177" s="8" t="n">
        <x:v>0</x:v>
      </x:c>
      <x:c r="M177" s="7" t="n">
        <x:v>838.8435999950161</x:v>
      </x:c>
      <x:c r="N177" s="2" t="str">
        <x:v>qiskit.primitives.StatevectorSampler</x:v>
      </x:c>
      <x:c r="O177" s="9" t="str">
        <x:v>0101101011</x:v>
      </x:c>
    </x:row>
    <x:row r="178" ht="18" customHeight="1">
      <x:c r="A178" s="2" t="str">
        <x:v>legacy_n4_14</x:v>
      </x:c>
      <x:c r="B178" s="2" t="str">
        <x:v>BPSO</x:v>
      </x:c>
      <x:c r="C178" s="2" t="n">
        <x:v>456</x:v>
      </x:c>
      <x:c r="D178" s="2" t="str">
        <x:v>success</x:v>
      </x:c>
      <x:c r="E178" s="2" t="n">
        <x:v>10</x:v>
      </x:c>
      <x:c r="F178" s="7" t="n">
        <x:v>84.33684210526316</x:v>
      </x:c>
      <x:c r="G178" s="7" t="n">
        <x:v>89.43684210526315</x:v>
      </x:c>
      <x:c r="H178" s="7" t="n">
        <x:f>IF(F178=0,"n.a.",100*(F178-G178)/F178)</x:f>
        <x:v>-6.0471792311532635</x:v>
      </x:c>
      <x:c r="I178" s="7" t="n">
        <x:f>F178-G178</x:f>
        <x:v>-5.099999999999994</x:v>
      </x:c>
      <x:c r="J178" s="8" t="n">
        <x:v>1.1075238293618923</x:v>
      </x:c>
      <x:c r="K178" s="8" t="n">
        <x:v>1.1075238293618923</x:v>
      </x:c>
      <x:c r="L178" s="8" t="n">
        <x:v>0</x:v>
      </x:c>
      <x:c r="M178" s="7" t="n">
        <x:v>20.373599996673875</x:v>
      </x:c>
      <x:c r="N178" s="2" t="str">
        <x:v>repository_particle_dynamics_on_frozen_qubo</x:v>
      </x:c>
      <x:c r="O178" s="9" t="str">
        <x:v>0110011010</x:v>
      </x:c>
    </x:row>
    <x:row r="179" ht="18" customHeight="1">
      <x:c r="A179" s="2" t="str">
        <x:v>legacy_n4_14</x:v>
      </x:c>
      <x:c r="B179" s="2" t="str">
        <x:v>QAOA</x:v>
      </x:c>
      <x:c r="C179" s="2" t="n">
        <x:v>456</x:v>
      </x:c>
      <x:c r="D179" s="2" t="str">
        <x:v>success</x:v>
      </x:c>
      <x:c r="E179" s="2" t="n">
        <x:v>10</x:v>
      </x:c>
      <x:c r="F179" s="7" t="n">
        <x:v>84.33684210526316</x:v>
      </x:c>
      <x:c r="G179" s="7" t="n">
        <x:v>89.43684210526315</x:v>
      </x:c>
      <x:c r="H179" s="7" t="n">
        <x:f>IF(F179=0,"n.a.",100*(F179-G179)/F179)</x:f>
        <x:v>-6.0471792311532635</x:v>
      </x:c>
      <x:c r="I179" s="7" t="n">
        <x:f>F179-G179</x:f>
        <x:v>-5.099999999999994</x:v>
      </x:c>
      <x:c r="J179" s="8" t="n">
        <x:v>1.1075238293618923</x:v>
      </x:c>
      <x:c r="K179" s="8" t="n">
        <x:v>1.1075238293618923</x:v>
      </x:c>
      <x:c r="L179" s="8" t="n">
        <x:v>0</x:v>
      </x:c>
      <x:c r="M179" s="7" t="n">
        <x:v>763.229100004537</x:v>
      </x:c>
      <x:c r="N179" s="2" t="str">
        <x:v>qiskit.primitives.StatevectorSampler</x:v>
      </x:c>
      <x:c r="O179" s="9" t="str">
        <x:v>0011100111</x:v>
      </x:c>
    </x:row>
    <x:row r="180" ht="18" customHeight="1">
      <x:c r="A180" s="2" t="str">
        <x:v>legacy_n4_14</x:v>
      </x:c>
      <x:c r="B180" s="2" t="str">
        <x:v>BPSO</x:v>
      </x:c>
      <x:c r="C180" s="2" t="n">
        <x:v>789</x:v>
      </x:c>
      <x:c r="D180" s="2" t="str">
        <x:v>success</x:v>
      </x:c>
      <x:c r="E180" s="2" t="n">
        <x:v>10</x:v>
      </x:c>
      <x:c r="F180" s="7" t="n">
        <x:v>84.33684210526316</x:v>
      </x:c>
      <x:c r="G180" s="7" t="n">
        <x:v>89.43684210526315</x:v>
      </x:c>
      <x:c r="H180" s="7" t="n">
        <x:f>IF(F180=0,"n.a.",100*(F180-G180)/F180)</x:f>
        <x:v>-6.0471792311532635</x:v>
      </x:c>
      <x:c r="I180" s="7" t="n">
        <x:f>F180-G180</x:f>
        <x:v>-5.099999999999994</x:v>
      </x:c>
      <x:c r="J180" s="8" t="n">
        <x:v>1.1075238293618923</x:v>
      </x:c>
      <x:c r="K180" s="8" t="n">
        <x:v>1.1075238293618923</x:v>
      </x:c>
      <x:c r="L180" s="8" t="n">
        <x:v>0</x:v>
      </x:c>
      <x:c r="M180" s="7" t="n">
        <x:v>20.376699991174974</x:v>
      </x:c>
      <x:c r="N180" s="2" t="str">
        <x:v>repository_particle_dynamics_on_frozen_qubo</x:v>
      </x:c>
      <x:c r="O180" s="9" t="str">
        <x:v>0010111001</x:v>
      </x:c>
    </x:row>
    <x:row r="181" ht="18" customHeight="1">
      <x:c r="A181" s="2" t="str">
        <x:v>legacy_n4_14</x:v>
      </x:c>
      <x:c r="B181" s="2" t="str">
        <x:v>QAOA</x:v>
      </x:c>
      <x:c r="C181" s="2" t="n">
        <x:v>789</x:v>
      </x:c>
      <x:c r="D181" s="2" t="str">
        <x:v>success</x:v>
      </x:c>
      <x:c r="E181" s="2" t="n">
        <x:v>10</x:v>
      </x:c>
      <x:c r="F181" s="7" t="n">
        <x:v>84.33684210526316</x:v>
      </x:c>
      <x:c r="G181" s="7" t="n">
        <x:v>89.43684210526315</x:v>
      </x:c>
      <x:c r="H181" s="7" t="n">
        <x:f>IF(F181=0,"n.a.",100*(F181-G181)/F181)</x:f>
        <x:v>-6.0471792311532635</x:v>
      </x:c>
      <x:c r="I181" s="7" t="n">
        <x:f>F181-G181</x:f>
        <x:v>-5.099999999999994</x:v>
      </x:c>
      <x:c r="J181" s="8" t="n">
        <x:v>1.1075238293618923</x:v>
      </x:c>
      <x:c r="K181" s="8" t="n">
        <x:v>1.1075238293618923</x:v>
      </x:c>
      <x:c r="L181" s="8" t="n">
        <x:v>0</x:v>
      </x:c>
      <x:c r="M181" s="7" t="n">
        <x:v>673.7461000011535</x:v>
      </x:c>
      <x:c r="N181" s="2" t="str">
        <x:v>qiskit.primitives.StatevectorSampler</x:v>
      </x:c>
      <x:c r="O181" s="9" t="str">
        <x:v>1100110011</x:v>
      </x:c>
    </x:row>
    <x:row r="182" ht="18" customHeight="1">
      <x:c r="A182" s="2" t="str">
        <x:v>legacy_n4_14</x:v>
      </x:c>
      <x:c r="B182" s="2" t="str">
        <x:v>BPSO</x:v>
      </x:c>
      <x:c r="C182" s="2" t="n">
        <x:v>2026</x:v>
      </x:c>
      <x:c r="D182" s="2" t="str">
        <x:v>success</x:v>
      </x:c>
      <x:c r="E182" s="2" t="n">
        <x:v>10</x:v>
      </x:c>
      <x:c r="F182" s="7" t="n">
        <x:v>84.33684210526316</x:v>
      </x:c>
      <x:c r="G182" s="7" t="n">
        <x:v>89.43684210526315</x:v>
      </x:c>
      <x:c r="H182" s="7" t="n">
        <x:f>IF(F182=0,"n.a.",100*(F182-G182)/F182)</x:f>
        <x:v>-6.0471792311532635</x:v>
      </x:c>
      <x:c r="I182" s="7" t="n">
        <x:f>F182-G182</x:f>
        <x:v>-5.099999999999994</x:v>
      </x:c>
      <x:c r="J182" s="8" t="n">
        <x:v>1.1075238293618923</x:v>
      </x:c>
      <x:c r="K182" s="8" t="n">
        <x:v>1.1075238293618923</x:v>
      </x:c>
      <x:c r="L182" s="8" t="n">
        <x:v>0</x:v>
      </x:c>
      <x:c r="M182" s="7" t="n">
        <x:v>20.225899992510676</x:v>
      </x:c>
      <x:c r="N182" s="2" t="str">
        <x:v>repository_particle_dynamics_on_frozen_qubo</x:v>
      </x:c>
      <x:c r="O182" s="9" t="str">
        <x:v>1100001101</x:v>
      </x:c>
    </x:row>
    <x:row r="183" ht="18" customHeight="1">
      <x:c r="A183" s="2" t="str">
        <x:v>legacy_n4_14</x:v>
      </x:c>
      <x:c r="B183" s="2" t="str">
        <x:v>QAOA</x:v>
      </x:c>
      <x:c r="C183" s="2" t="n">
        <x:v>2026</x:v>
      </x:c>
      <x:c r="D183" s="2" t="str">
        <x:v>success</x:v>
      </x:c>
      <x:c r="E183" s="2" t="n">
        <x:v>10</x:v>
      </x:c>
      <x:c r="F183" s="7" t="n">
        <x:v>84.33684210526316</x:v>
      </x:c>
      <x:c r="G183" s="7" t="n">
        <x:v>89.43684210526315</x:v>
      </x:c>
      <x:c r="H183" s="7" t="n">
        <x:f>IF(F183=0,"n.a.",100*(F183-G183)/F183)</x:f>
        <x:v>-6.0471792311532635</x:v>
      </x:c>
      <x:c r="I183" s="7" t="n">
        <x:f>F183-G183</x:f>
        <x:v>-5.099999999999994</x:v>
      </x:c>
      <x:c r="J183" s="8" t="n">
        <x:v>1.1075238293618923</x:v>
      </x:c>
      <x:c r="K183" s="8" t="n">
        <x:v>1.1075238293618923</x:v>
      </x:c>
      <x:c r="L183" s="8" t="n">
        <x:v>0</x:v>
      </x:c>
      <x:c r="M183" s="7" t="n">
        <x:v>695.3310999961104</x:v>
      </x:c>
      <x:c r="N183" s="2" t="str">
        <x:v>qiskit.primitives.StatevectorSampler</x:v>
      </x:c>
      <x:c r="O183" s="9" t="str">
        <x:v>0101110011</x:v>
      </x:c>
    </x:row>
    <x:row r="184" ht="18" customHeight="1">
      <x:c r="A184" s="2" t="str">
        <x:v>legacy_n4_15</x:v>
      </x:c>
      <x:c r="B184" s="2" t="str">
        <x:v>Unmanaged</x:v>
      </x:c>
      <x:c r="C184" s="2"/>
      <x:c r="D184" s="2" t="str">
        <x:v>baseline</x:v>
      </x:c>
      <x:c r="E184" s="2" t="n">
        <x:v>4</x:v>
      </x:c>
      <x:c r="F184" s="7" t="n">
        <x:v>81.78235294117647</x:v>
      </x:c>
      <x:c r="G184" s="7" t="n">
        <x:v>81.78235294117647</x:v>
      </x:c>
      <x:c r="H184" s="7" t="n">
        <x:f>IF(F184=0,"n.a.",100*(F184-G184)/F184)</x:f>
        <x:v>0</x:v>
      </x:c>
      <x:c r="I184" s="7" t="n">
        <x:f>F184-G184</x:f>
        <x:v>0</x:v>
      </x:c>
      <x:c r="J184" s="8"/>
      <x:c r="K184" s="8" t="n">
        <x:v>0.06745078224332397</x:v>
      </x:c>
      <x:c r="L184" s="8"/>
      <x:c r="M184" s="7"/>
      <x:c r="N184" s="2" t="str">
        <x:v>unmanaged_input</x:v>
      </x:c>
      <x:c r="O184" s="9"/>
    </x:row>
    <x:row r="185" ht="18" customHeight="1">
      <x:c r="A185" s="2" t="str">
        <x:v>legacy_n4_15</x:v>
      </x:c>
      <x:c r="B185" s="2" t="str">
        <x:v>Exact J</x:v>
      </x:c>
      <x:c r="C185" s="2"/>
      <x:c r="D185" s="2" t="str">
        <x:v>success</x:v>
      </x:c>
      <x:c r="E185" s="2" t="n">
        <x:v>4</x:v>
      </x:c>
      <x:c r="F185" s="7" t="n">
        <x:v>81.78235294117647</x:v>
      </x:c>
      <x:c r="G185" s="7" t="n">
        <x:v>59.210526315789465</x:v>
      </x:c>
      <x:c r="H185" s="7" t="n">
        <x:f>IF(F185=0,"n.a.",100*(F185-G185)/F185)</x:f>
        <x:v>27.599874317167448</x:v>
      </x:c>
      <x:c r="I185" s="7" t="n">
        <x:f>F185-G185</x:f>
        <x:v>22.571826625387004</x:v>
      </x:c>
      <x:c r="J185" s="8" t="n">
        <x:v>0.06745078224332397</x:v>
      </x:c>
      <x:c r="K185" s="8" t="n">
        <x:v>0.06745078224332397</x:v>
      </x:c>
      <x:c r="L185" s="8" t="n">
        <x:v>0</x:v>
      </x:c>
      <x:c r="M185" s="7"/>
      <x:c r="N185" s="2" t="str">
        <x:v>exhaustive_enumeration</x:v>
      </x:c>
      <x:c r="O185" s="9" t="str">
        <x:v>0011</x:v>
      </x:c>
    </x:row>
    <x:row r="186" ht="18" customHeight="1">
      <x:c r="A186" s="2" t="str">
        <x:v>legacy_n4_15</x:v>
      </x:c>
      <x:c r="B186" s="2" t="str">
        <x:v>Exact peak</x:v>
      </x:c>
      <x:c r="C186" s="2"/>
      <x:c r="D186" s="2" t="str">
        <x:v>success</x:v>
      </x:c>
      <x:c r="E186" s="2" t="n">
        <x:v>4</x:v>
      </x:c>
      <x:c r="F186" s="7" t="n">
        <x:v>81.78235294117647</x:v>
      </x:c>
      <x:c r="G186" s="7" t="n">
        <x:v>59.210526315789465</x:v>
      </x:c>
      <x:c r="H186" s="7" t="n">
        <x:f>IF(F186=0,"n.a.",100*(F186-G186)/F186)</x:f>
        <x:v>27.599874317167448</x:v>
      </x:c>
      <x:c r="I186" s="7" t="n">
        <x:f>F186-G186</x:f>
        <x:v>22.571826625387004</x:v>
      </x:c>
      <x:c r="J186" s="8" t="n">
        <x:v>0.06745078224332397</x:v>
      </x:c>
      <x:c r="K186" s="8" t="n">
        <x:v>0.06745078224332397</x:v>
      </x:c>
      <x:c r="L186" s="8" t="n">
        <x:v>0</x:v>
      </x:c>
      <x:c r="M186" s="7"/>
      <x:c r="N186" s="2" t="str">
        <x:v>exhaustive_enumeration</x:v>
      </x:c>
      <x:c r="O186" s="9" t="str">
        <x:v>0011</x:v>
      </x:c>
    </x:row>
    <x:row r="187" ht="18" customHeight="1">
      <x:c r="A187" s="2" t="str">
        <x:v>legacy_n4_15</x:v>
      </x:c>
      <x:c r="B187" s="2" t="str">
        <x:v>BPSO</x:v>
      </x:c>
      <x:c r="C187" s="2" t="n">
        <x:v>42</x:v>
      </x:c>
      <x:c r="D187" s="2" t="str">
        <x:v>success</x:v>
      </x:c>
      <x:c r="E187" s="2" t="n">
        <x:v>4</x:v>
      </x:c>
      <x:c r="F187" s="7" t="n">
        <x:v>81.78235294117647</x:v>
      </x:c>
      <x:c r="G187" s="7" t="n">
        <x:v>59.210526315789465</x:v>
      </x:c>
      <x:c r="H187" s="7" t="n">
        <x:f>IF(F187=0,"n.a.",100*(F187-G187)/F187)</x:f>
        <x:v>27.599874317167448</x:v>
      </x:c>
      <x:c r="I187" s="7" t="n">
        <x:f>F187-G187</x:f>
        <x:v>22.571826625387004</x:v>
      </x:c>
      <x:c r="J187" s="8" t="n">
        <x:v>0.06745078224332397</x:v>
      </x:c>
      <x:c r="K187" s="8" t="n">
        <x:v>0.06745078224332397</x:v>
      </x:c>
      <x:c r="L187" s="8" t="n">
        <x:v>0</x:v>
      </x:c>
      <x:c r="M187" s="7" t="n">
        <x:v>13.99380000657402</x:v>
      </x:c>
      <x:c r="N187" s="2" t="str">
        <x:v>repository_particle_dynamics_on_frozen_qubo</x:v>
      </x:c>
      <x:c r="O187" s="9" t="str">
        <x:v>0110</x:v>
      </x:c>
    </x:row>
    <x:row r="188" ht="18" customHeight="1">
      <x:c r="A188" s="2" t="str">
        <x:v>legacy_n4_15</x:v>
      </x:c>
      <x:c r="B188" s="2" t="str">
        <x:v>QAOA</x:v>
      </x:c>
      <x:c r="C188" s="2" t="n">
        <x:v>42</x:v>
      </x:c>
      <x:c r="D188" s="2" t="str">
        <x:v>success</x:v>
      </x:c>
      <x:c r="E188" s="2" t="n">
        <x:v>4</x:v>
      </x:c>
      <x:c r="F188" s="7" t="n">
        <x:v>81.78235294117647</x:v>
      </x:c>
      <x:c r="G188" s="7" t="n">
        <x:v>59.210526315789465</x:v>
      </x:c>
      <x:c r="H188" s="7" t="n">
        <x:f>IF(F188=0,"n.a.",100*(F188-G188)/F188)</x:f>
        <x:v>27.599874317167448</x:v>
      </x:c>
      <x:c r="I188" s="7" t="n">
        <x:f>F188-G188</x:f>
        <x:v>22.571826625387004</x:v>
      </x:c>
      <x:c r="J188" s="8" t="n">
        <x:v>0.06745078224332397</x:v>
      </x:c>
      <x:c r="K188" s="8" t="n">
        <x:v>0.06745078224332397</x:v>
      </x:c>
      <x:c r="L188" s="8" t="n">
        <x:v>0</x:v>
      </x:c>
      <x:c r="M188" s="7" t="n">
        <x:v>253.22319999395404</x:v>
      </x:c>
      <x:c r="N188" s="2" t="str">
        <x:v>qiskit.primitives.StatevectorSampler</x:v>
      </x:c>
      <x:c r="O188" s="9" t="str">
        <x:v>0011</x:v>
      </x:c>
    </x:row>
    <x:row r="189" ht="18" customHeight="1">
      <x:c r="A189" s="2" t="str">
        <x:v>legacy_n4_15</x:v>
      </x:c>
      <x:c r="B189" s="2" t="str">
        <x:v>BPSO</x:v>
      </x:c>
      <x:c r="C189" s="2" t="n">
        <x:v>123</x:v>
      </x:c>
      <x:c r="D189" s="2" t="str">
        <x:v>success</x:v>
      </x:c>
      <x:c r="E189" s="2" t="n">
        <x:v>4</x:v>
      </x:c>
      <x:c r="F189" s="7" t="n">
        <x:v>81.78235294117647</x:v>
      </x:c>
      <x:c r="G189" s="7" t="n">
        <x:v>59.210526315789465</x:v>
      </x:c>
      <x:c r="H189" s="7" t="n">
        <x:f>IF(F189=0,"n.a.",100*(F189-G189)/F189)</x:f>
        <x:v>27.599874317167448</x:v>
      </x:c>
      <x:c r="I189" s="7" t="n">
        <x:f>F189-G189</x:f>
        <x:v>22.571826625387004</x:v>
      </x:c>
      <x:c r="J189" s="8" t="n">
        <x:v>0.06745078224332397</x:v>
      </x:c>
      <x:c r="K189" s="8" t="n">
        <x:v>0.06745078224332397</x:v>
      </x:c>
      <x:c r="L189" s="8" t="n">
        <x:v>0</x:v>
      </x:c>
      <x:c r="M189" s="7" t="n">
        <x:v>14.828400002443232</x:v>
      </x:c>
      <x:c r="N189" s="2" t="str">
        <x:v>repository_particle_dynamics_on_frozen_qubo</x:v>
      </x:c>
      <x:c r="O189" s="9" t="str">
        <x:v>0110</x:v>
      </x:c>
    </x:row>
    <x:row r="190" ht="18" customHeight="1">
      <x:c r="A190" s="2" t="str">
        <x:v>legacy_n4_15</x:v>
      </x:c>
      <x:c r="B190" s="2" t="str">
        <x:v>QAOA</x:v>
      </x:c>
      <x:c r="C190" s="2" t="n">
        <x:v>123</x:v>
      </x:c>
      <x:c r="D190" s="2" t="str">
        <x:v>success</x:v>
      </x:c>
      <x:c r="E190" s="2" t="n">
        <x:v>4</x:v>
      </x:c>
      <x:c r="F190" s="7" t="n">
        <x:v>81.78235294117647</x:v>
      </x:c>
      <x:c r="G190" s="7" t="n">
        <x:v>59.210526315789465</x:v>
      </x:c>
      <x:c r="H190" s="7" t="n">
        <x:f>IF(F190=0,"n.a.",100*(F190-G190)/F190)</x:f>
        <x:v>27.599874317167448</x:v>
      </x:c>
      <x:c r="I190" s="7" t="n">
        <x:f>F190-G190</x:f>
        <x:v>22.571826625387004</x:v>
      </x:c>
      <x:c r="J190" s="8" t="n">
        <x:v>0.06745078224332397</x:v>
      </x:c>
      <x:c r="K190" s="8" t="n">
        <x:v>0.06745078224332397</x:v>
      </x:c>
      <x:c r="L190" s="8" t="n">
        <x:v>0</x:v>
      </x:c>
      <x:c r="M190" s="7" t="n">
        <x:v>264.3700000044191</x:v>
      </x:c>
      <x:c r="N190" s="2" t="str">
        <x:v>qiskit.primitives.StatevectorSampler</x:v>
      </x:c>
      <x:c r="O190" s="9" t="str">
        <x:v>0101</x:v>
      </x:c>
    </x:row>
    <x:row r="191" ht="18" customHeight="1">
      <x:c r="A191" s="2" t="str">
        <x:v>legacy_n4_15</x:v>
      </x:c>
      <x:c r="B191" s="2" t="str">
        <x:v>BPSO</x:v>
      </x:c>
      <x:c r="C191" s="2" t="n">
        <x:v>456</x:v>
      </x:c>
      <x:c r="D191" s="2" t="str">
        <x:v>success</x:v>
      </x:c>
      <x:c r="E191" s="2" t="n">
        <x:v>4</x:v>
      </x:c>
      <x:c r="F191" s="7" t="n">
        <x:v>81.78235294117647</x:v>
      </x:c>
      <x:c r="G191" s="7" t="n">
        <x:v>59.210526315789465</x:v>
      </x:c>
      <x:c r="H191" s="7" t="n">
        <x:f>IF(F191=0,"n.a.",100*(F191-G191)/F191)</x:f>
        <x:v>27.599874317167448</x:v>
      </x:c>
      <x:c r="I191" s="7" t="n">
        <x:f>F191-G191</x:f>
        <x:v>22.571826625387004</x:v>
      </x:c>
      <x:c r="J191" s="8" t="n">
        <x:v>0.06745078224332397</x:v>
      </x:c>
      <x:c r="K191" s="8" t="n">
        <x:v>0.06745078224332397</x:v>
      </x:c>
      <x:c r="L191" s="8" t="n">
        <x:v>0</x:v>
      </x:c>
      <x:c r="M191" s="7" t="n">
        <x:v>14.446200002566911</x:v>
      </x:c>
      <x:c r="N191" s="2" t="str">
        <x:v>repository_particle_dynamics_on_frozen_qubo</x:v>
      </x:c>
      <x:c r="O191" s="9" t="str">
        <x:v>0101</x:v>
      </x:c>
    </x:row>
    <x:row r="192" ht="18" customHeight="1">
      <x:c r="A192" s="2" t="str">
        <x:v>legacy_n4_15</x:v>
      </x:c>
      <x:c r="B192" s="2" t="str">
        <x:v>QAOA</x:v>
      </x:c>
      <x:c r="C192" s="2" t="n">
        <x:v>456</x:v>
      </x:c>
      <x:c r="D192" s="2" t="str">
        <x:v>success</x:v>
      </x:c>
      <x:c r="E192" s="2" t="n">
        <x:v>4</x:v>
      </x:c>
      <x:c r="F192" s="7" t="n">
        <x:v>81.78235294117647</x:v>
      </x:c>
      <x:c r="G192" s="7" t="n">
        <x:v>59.210526315789465</x:v>
      </x:c>
      <x:c r="H192" s="7" t="n">
        <x:f>IF(F192=0,"n.a.",100*(F192-G192)/F192)</x:f>
        <x:v>27.599874317167448</x:v>
      </x:c>
      <x:c r="I192" s="7" t="n">
        <x:f>F192-G192</x:f>
        <x:v>22.571826625387004</x:v>
      </x:c>
      <x:c r="J192" s="8" t="n">
        <x:v>0.06745078224332397</x:v>
      </x:c>
      <x:c r="K192" s="8" t="n">
        <x:v>0.06745078224332397</x:v>
      </x:c>
      <x:c r="L192" s="8" t="n">
        <x:v>0</x:v>
      </x:c>
      <x:c r="M192" s="7" t="n">
        <x:v>132.96890001220163</x:v>
      </x:c>
      <x:c r="N192" s="2" t="str">
        <x:v>qiskit.primitives.StatevectorSampler</x:v>
      </x:c>
      <x:c r="O192" s="9" t="str">
        <x:v>1100</x:v>
      </x:c>
    </x:row>
    <x:row r="193" ht="18" customHeight="1">
      <x:c r="A193" s="2" t="str">
        <x:v>legacy_n4_15</x:v>
      </x:c>
      <x:c r="B193" s="2" t="str">
        <x:v>BPSO</x:v>
      </x:c>
      <x:c r="C193" s="2" t="n">
        <x:v>789</x:v>
      </x:c>
      <x:c r="D193" s="2" t="str">
        <x:v>success</x:v>
      </x:c>
      <x:c r="E193" s="2" t="n">
        <x:v>4</x:v>
      </x:c>
      <x:c r="F193" s="7" t="n">
        <x:v>81.78235294117647</x:v>
      </x:c>
      <x:c r="G193" s="7" t="n">
        <x:v>59.210526315789465</x:v>
      </x:c>
      <x:c r="H193" s="7" t="n">
        <x:f>IF(F193=0,"n.a.",100*(F193-G193)/F193)</x:f>
        <x:v>27.599874317167448</x:v>
      </x:c>
      <x:c r="I193" s="7" t="n">
        <x:f>F193-G193</x:f>
        <x:v>22.571826625387004</x:v>
      </x:c>
      <x:c r="J193" s="8" t="n">
        <x:v>0.06745078224332397</x:v>
      </x:c>
      <x:c r="K193" s="8" t="n">
        <x:v>0.06745078224332397</x:v>
      </x:c>
      <x:c r="L193" s="8" t="n">
        <x:v>0</x:v>
      </x:c>
      <x:c r="M193" s="7" t="n">
        <x:v>13.939999989815988</x:v>
      </x:c>
      <x:c r="N193" s="2" t="str">
        <x:v>repository_particle_dynamics_on_frozen_qubo</x:v>
      </x:c>
      <x:c r="O193" s="9" t="str">
        <x:v>0110</x:v>
      </x:c>
    </x:row>
    <x:row r="194" ht="18" customHeight="1">
      <x:c r="A194" s="2" t="str">
        <x:v>legacy_n4_15</x:v>
      </x:c>
      <x:c r="B194" s="2" t="str">
        <x:v>QAOA</x:v>
      </x:c>
      <x:c r="C194" s="2" t="n">
        <x:v>789</x:v>
      </x:c>
      <x:c r="D194" s="2" t="str">
        <x:v>success</x:v>
      </x:c>
      <x:c r="E194" s="2" t="n">
        <x:v>4</x:v>
      </x:c>
      <x:c r="F194" s="7" t="n">
        <x:v>81.78235294117647</x:v>
      </x:c>
      <x:c r="G194" s="7" t="n">
        <x:v>59.210526315789465</x:v>
      </x:c>
      <x:c r="H194" s="7" t="n">
        <x:f>IF(F194=0,"n.a.",100*(F194-G194)/F194)</x:f>
        <x:v>27.599874317167448</x:v>
      </x:c>
      <x:c r="I194" s="7" t="n">
        <x:f>F194-G194</x:f>
        <x:v>22.571826625387004</x:v>
      </x:c>
      <x:c r="J194" s="8" t="n">
        <x:v>0.06745078224332397</x:v>
      </x:c>
      <x:c r="K194" s="8" t="n">
        <x:v>0.06745078224332397</x:v>
      </x:c>
      <x:c r="L194" s="8" t="n">
        <x:v>0</x:v>
      </x:c>
      <x:c r="M194" s="7" t="n">
        <x:v>149.1738000040641</x:v>
      </x:c>
      <x:c r="N194" s="2" t="str">
        <x:v>qiskit.primitives.StatevectorSampler</x:v>
      </x:c>
      <x:c r="O194" s="9" t="str">
        <x:v>0101</x:v>
      </x:c>
    </x:row>
    <x:row r="195" ht="18" customHeight="1">
      <x:c r="A195" s="2" t="str">
        <x:v>legacy_n4_15</x:v>
      </x:c>
      <x:c r="B195" s="2" t="str">
        <x:v>BPSO</x:v>
      </x:c>
      <x:c r="C195" s="2" t="n">
        <x:v>2026</x:v>
      </x:c>
      <x:c r="D195" s="2" t="str">
        <x:v>success</x:v>
      </x:c>
      <x:c r="E195" s="2" t="n">
        <x:v>4</x:v>
      </x:c>
      <x:c r="F195" s="7" t="n">
        <x:v>81.78235294117647</x:v>
      </x:c>
      <x:c r="G195" s="7" t="n">
        <x:v>59.210526315789465</x:v>
      </x:c>
      <x:c r="H195" s="7" t="n">
        <x:f>IF(F195=0,"n.a.",100*(F195-G195)/F195)</x:f>
        <x:v>27.599874317167448</x:v>
      </x:c>
      <x:c r="I195" s="7" t="n">
        <x:f>F195-G195</x:f>
        <x:v>22.571826625387004</x:v>
      </x:c>
      <x:c r="J195" s="8" t="n">
        <x:v>0.06745078224332397</x:v>
      </x:c>
      <x:c r="K195" s="8" t="n">
        <x:v>0.06745078224332397</x:v>
      </x:c>
      <x:c r="L195" s="8" t="n">
        <x:v>0</x:v>
      </x:c>
      <x:c r="M195" s="7" t="n">
        <x:v>14.814299996942282</x:v>
      </x:c>
      <x:c r="N195" s="2" t="str">
        <x:v>repository_particle_dynamics_on_frozen_qubo</x:v>
      </x:c>
      <x:c r="O195" s="9" t="str">
        <x:v>1001</x:v>
      </x:c>
    </x:row>
    <x:row r="196" ht="18" customHeight="1">
      <x:c r="A196" s="2" t="str">
        <x:v>legacy_n4_15</x:v>
      </x:c>
      <x:c r="B196" s="2" t="str">
        <x:v>QAOA</x:v>
      </x:c>
      <x:c r="C196" s="2" t="n">
        <x:v>2026</x:v>
      </x:c>
      <x:c r="D196" s="2" t="str">
        <x:v>success</x:v>
      </x:c>
      <x:c r="E196" s="2" t="n">
        <x:v>4</x:v>
      </x:c>
      <x:c r="F196" s="7" t="n">
        <x:v>81.78235294117647</x:v>
      </x:c>
      <x:c r="G196" s="7" t="n">
        <x:v>59.210526315789465</x:v>
      </x:c>
      <x:c r="H196" s="7" t="n">
        <x:f>IF(F196=0,"n.a.",100*(F196-G196)/F196)</x:f>
        <x:v>27.599874317167448</x:v>
      </x:c>
      <x:c r="I196" s="7" t="n">
        <x:f>F196-G196</x:f>
        <x:v>22.571826625387004</x:v>
      </x:c>
      <x:c r="J196" s="8" t="n">
        <x:v>0.06745078224332397</x:v>
      </x:c>
      <x:c r="K196" s="8" t="n">
        <x:v>0.06745078224332397</x:v>
      </x:c>
      <x:c r="L196" s="8" t="n">
        <x:v>0</x:v>
      </x:c>
      <x:c r="M196" s="7" t="n">
        <x:v>169.0589999925578</x:v>
      </x:c>
      <x:c r="N196" s="2" t="str">
        <x:v>qiskit.primitives.StatevectorSampler</x:v>
      </x:c>
      <x:c r="O196" s="9" t="str">
        <x:v>1100</x:v>
      </x:c>
    </x:row>
    <x:row r="197" ht="18" customHeight="1">
      <x:c r="A197" s="2" t="str">
        <x:v>controlled_n4_off_peak_1</x:v>
      </x:c>
      <x:c r="B197" s="2" t="str">
        <x:v>Unmanaged</x:v>
      </x:c>
      <x:c r="C197" s="2"/>
      <x:c r="D197" s="2" t="str">
        <x:v>baseline</x:v>
      </x:c>
      <x:c r="E197" s="2" t="n">
        <x:v>0</x:v>
      </x:c>
      <x:c r="F197" s="7" t="n">
        <x:v>20</x:v>
      </x:c>
      <x:c r="G197" s="7" t="n">
        <x:v>20</x:v>
      </x:c>
      <x:c r="H197" s="7" t="n">
        <x:f>IF(F197=0,"n.a.",100*(F197-G197)/F197)</x:f>
        <x:v>0</x:v>
      </x:c>
      <x:c r="I197" s="7" t="n">
        <x:f>F197-G197</x:f>
        <x:v>0</x:v>
      </x:c>
      <x:c r="J197" s="8"/>
      <x:c r="K197" s="8" t="n">
        <x:v>1.3075416666666666</x:v>
      </x:c>
      <x:c r="L197" s="8"/>
      <x:c r="M197" s="7"/>
      <x:c r="N197" s="2" t="str">
        <x:v>unmanaged_input</x:v>
      </x:c>
      <x:c r="O197" s="9"/>
    </x:row>
    <x:row r="198" ht="18" customHeight="1">
      <x:c r="A198" s="2" t="str">
        <x:v>controlled_n4_off_peak_1</x:v>
      </x:c>
      <x:c r="B198" s="2" t="str">
        <x:v>Exact J</x:v>
      </x:c>
      <x:c r="C198" s="2"/>
      <x:c r="D198" s="2" t="str">
        <x:v>no_congestion</x:v>
      </x:c>
      <x:c r="E198" s="2" t="n">
        <x:v>0</x:v>
      </x:c>
      <x:c r="F198" s="7" t="n">
        <x:v>20</x:v>
      </x:c>
      <x:c r="G198" s="7" t="n">
        <x:v>20</x:v>
      </x:c>
      <x:c r="H198" s="7" t="n">
        <x:f>IF(F198=0,"n.a.",100*(F198-G198)/F198)</x:f>
        <x:v>0</x:v>
      </x:c>
      <x:c r="I198" s="7" t="n">
        <x:f>F198-G198</x:f>
        <x:v>0</x:v>
      </x:c>
      <x:c r="J198" s="8" t="n">
        <x:v>1.3075416666666666</x:v>
      </x:c>
      <x:c r="K198" s="8" t="n">
        <x:v>1.3075416666666666</x:v>
      </x:c>
      <x:c r="L198" s="8" t="n">
        <x:v>0</x:v>
      </x:c>
      <x:c r="M198" s="7" t="n">
        <x:v>0</x:v>
      </x:c>
      <x:c r="N198" s="2" t="str">
        <x:v>not_invoked</x:v>
      </x:c>
      <x:c r="O198" s="9" t="str"/>
    </x:row>
    <x:row r="199" ht="18" customHeight="1">
      <x:c r="A199" s="2" t="str">
        <x:v>controlled_n4_off_peak_1</x:v>
      </x:c>
      <x:c r="B199" s="2" t="str">
        <x:v>Exact peak</x:v>
      </x:c>
      <x:c r="C199" s="2"/>
      <x:c r="D199" s="2" t="str">
        <x:v>no_congestion</x:v>
      </x:c>
      <x:c r="E199" s="2" t="n">
        <x:v>0</x:v>
      </x:c>
      <x:c r="F199" s="7" t="n">
        <x:v>20</x:v>
      </x:c>
      <x:c r="G199" s="7" t="n">
        <x:v>20</x:v>
      </x:c>
      <x:c r="H199" s="7" t="n">
        <x:f>IF(F199=0,"n.a.",100*(F199-G199)/F199)</x:f>
        <x:v>0</x:v>
      </x:c>
      <x:c r="I199" s="7" t="n">
        <x:f>F199-G199</x:f>
        <x:v>0</x:v>
      </x:c>
      <x:c r="J199" s="8" t="n">
        <x:v>1.3075416666666666</x:v>
      </x:c>
      <x:c r="K199" s="8" t="n">
        <x:v>1.3075416666666666</x:v>
      </x:c>
      <x:c r="L199" s="8" t="n">
        <x:v>0</x:v>
      </x:c>
      <x:c r="M199" s="7" t="n">
        <x:v>0</x:v>
      </x:c>
      <x:c r="N199" s="2" t="str">
        <x:v>not_invoked</x:v>
      </x:c>
      <x:c r="O199" s="9" t="str"/>
    </x:row>
    <x:row r="200" ht="18" customHeight="1">
      <x:c r="A200" s="2" t="str">
        <x:v>controlled_n4_off_peak_1</x:v>
      </x:c>
      <x:c r="B200" s="2" t="str">
        <x:v>BPSO</x:v>
      </x:c>
      <x:c r="C200" s="2" t="n">
        <x:v>42</x:v>
      </x:c>
      <x:c r="D200" s="2" t="str">
        <x:v>no_congestion</x:v>
      </x:c>
      <x:c r="E200" s="2" t="n">
        <x:v>0</x:v>
      </x:c>
      <x:c r="F200" s="7" t="n">
        <x:v>20</x:v>
      </x:c>
      <x:c r="G200" s="7" t="n">
        <x:v>20</x:v>
      </x:c>
      <x:c r="H200" s="7" t="n">
        <x:f>IF(F200=0,"n.a.",100*(F200-G200)/F200)</x:f>
        <x:v>0</x:v>
      </x:c>
      <x:c r="I200" s="7" t="n">
        <x:f>F200-G200</x:f>
        <x:v>0</x:v>
      </x:c>
      <x:c r="J200" s="8" t="n">
        <x:v>1.3075416666666666</x:v>
      </x:c>
      <x:c r="K200" s="8" t="n">
        <x:v>1.3075416666666666</x:v>
      </x:c>
      <x:c r="L200" s="8" t="n">
        <x:v>0</x:v>
      </x:c>
      <x:c r="M200" s="7" t="n">
        <x:v>0</x:v>
      </x:c>
      <x:c r="N200" s="2" t="str">
        <x:v>not_invoked</x:v>
      </x:c>
      <x:c r="O200" s="9" t="str"/>
    </x:row>
    <x:row r="201" ht="18" customHeight="1">
      <x:c r="A201" s="2" t="str">
        <x:v>controlled_n4_off_peak_1</x:v>
      </x:c>
      <x:c r="B201" s="2" t="str">
        <x:v>QAOA</x:v>
      </x:c>
      <x:c r="C201" s="2" t="n">
        <x:v>42</x:v>
      </x:c>
      <x:c r="D201" s="2" t="str">
        <x:v>no_congestion</x:v>
      </x:c>
      <x:c r="E201" s="2" t="n">
        <x:v>0</x:v>
      </x:c>
      <x:c r="F201" s="7" t="n">
        <x:v>20</x:v>
      </x:c>
      <x:c r="G201" s="7" t="n">
        <x:v>20</x:v>
      </x:c>
      <x:c r="H201" s="7" t="n">
        <x:f>IF(F201=0,"n.a.",100*(F201-G201)/F201)</x:f>
        <x:v>0</x:v>
      </x:c>
      <x:c r="I201" s="7" t="n">
        <x:f>F201-G201</x:f>
        <x:v>0</x:v>
      </x:c>
      <x:c r="J201" s="8" t="n">
        <x:v>1.3075416666666666</x:v>
      </x:c>
      <x:c r="K201" s="8" t="n">
        <x:v>1.3075416666666666</x:v>
      </x:c>
      <x:c r="L201" s="8" t="n">
        <x:v>0</x:v>
      </x:c>
      <x:c r="M201" s="7" t="n">
        <x:v>0</x:v>
      </x:c>
      <x:c r="N201" s="2" t="str">
        <x:v>not_invoked</x:v>
      </x:c>
      <x:c r="O201" s="9" t="str"/>
    </x:row>
    <x:row r="202" ht="18" customHeight="1">
      <x:c r="A202" s="2" t="str">
        <x:v>controlled_n4_off_peak_1</x:v>
      </x:c>
      <x:c r="B202" s="2" t="str">
        <x:v>BPSO</x:v>
      </x:c>
      <x:c r="C202" s="2" t="n">
        <x:v>123</x:v>
      </x:c>
      <x:c r="D202" s="2" t="str">
        <x:v>no_congestion</x:v>
      </x:c>
      <x:c r="E202" s="2" t="n">
        <x:v>0</x:v>
      </x:c>
      <x:c r="F202" s="7" t="n">
        <x:v>20</x:v>
      </x:c>
      <x:c r="G202" s="7" t="n">
        <x:v>20</x:v>
      </x:c>
      <x:c r="H202" s="7" t="n">
        <x:f>IF(F202=0,"n.a.",100*(F202-G202)/F202)</x:f>
        <x:v>0</x:v>
      </x:c>
      <x:c r="I202" s="7" t="n">
        <x:f>F202-G202</x:f>
        <x:v>0</x:v>
      </x:c>
      <x:c r="J202" s="8" t="n">
        <x:v>1.3075416666666666</x:v>
      </x:c>
      <x:c r="K202" s="8" t="n">
        <x:v>1.3075416666666666</x:v>
      </x:c>
      <x:c r="L202" s="8" t="n">
        <x:v>0</x:v>
      </x:c>
      <x:c r="M202" s="7" t="n">
        <x:v>0</x:v>
      </x:c>
      <x:c r="N202" s="2" t="str">
        <x:v>not_invoked</x:v>
      </x:c>
      <x:c r="O202" s="9" t="str"/>
    </x:row>
    <x:row r="203" ht="18" customHeight="1">
      <x:c r="A203" s="2" t="str">
        <x:v>controlled_n4_off_peak_1</x:v>
      </x:c>
      <x:c r="B203" s="2" t="str">
        <x:v>QAOA</x:v>
      </x:c>
      <x:c r="C203" s="2" t="n">
        <x:v>123</x:v>
      </x:c>
      <x:c r="D203" s="2" t="str">
        <x:v>no_congestion</x:v>
      </x:c>
      <x:c r="E203" s="2" t="n">
        <x:v>0</x:v>
      </x:c>
      <x:c r="F203" s="7" t="n">
        <x:v>20</x:v>
      </x:c>
      <x:c r="G203" s="7" t="n">
        <x:v>20</x:v>
      </x:c>
      <x:c r="H203" s="7" t="n">
        <x:f>IF(F203=0,"n.a.",100*(F203-G203)/F203)</x:f>
        <x:v>0</x:v>
      </x:c>
      <x:c r="I203" s="7" t="n">
        <x:f>F203-G203</x:f>
        <x:v>0</x:v>
      </x:c>
      <x:c r="J203" s="8" t="n">
        <x:v>1.3075416666666666</x:v>
      </x:c>
      <x:c r="K203" s="8" t="n">
        <x:v>1.3075416666666666</x:v>
      </x:c>
      <x:c r="L203" s="8" t="n">
        <x:v>0</x:v>
      </x:c>
      <x:c r="M203" s="7" t="n">
        <x:v>0</x:v>
      </x:c>
      <x:c r="N203" s="2" t="str">
        <x:v>not_invoked</x:v>
      </x:c>
      <x:c r="O203" s="9" t="str"/>
    </x:row>
    <x:row r="204" ht="18" customHeight="1">
      <x:c r="A204" s="2" t="str">
        <x:v>controlled_n4_off_peak_1</x:v>
      </x:c>
      <x:c r="B204" s="2" t="str">
        <x:v>BPSO</x:v>
      </x:c>
      <x:c r="C204" s="2" t="n">
        <x:v>456</x:v>
      </x:c>
      <x:c r="D204" s="2" t="str">
        <x:v>no_congestion</x:v>
      </x:c>
      <x:c r="E204" s="2" t="n">
        <x:v>0</x:v>
      </x:c>
      <x:c r="F204" s="7" t="n">
        <x:v>20</x:v>
      </x:c>
      <x:c r="G204" s="7" t="n">
        <x:v>20</x:v>
      </x:c>
      <x:c r="H204" s="7" t="n">
        <x:f>IF(F204=0,"n.a.",100*(F204-G204)/F204)</x:f>
        <x:v>0</x:v>
      </x:c>
      <x:c r="I204" s="7" t="n">
        <x:f>F204-G204</x:f>
        <x:v>0</x:v>
      </x:c>
      <x:c r="J204" s="8" t="n">
        <x:v>1.3075416666666666</x:v>
      </x:c>
      <x:c r="K204" s="8" t="n">
        <x:v>1.3075416666666666</x:v>
      </x:c>
      <x:c r="L204" s="8" t="n">
        <x:v>0</x:v>
      </x:c>
      <x:c r="M204" s="7" t="n">
        <x:v>0</x:v>
      </x:c>
      <x:c r="N204" s="2" t="str">
        <x:v>not_invoked</x:v>
      </x:c>
      <x:c r="O204" s="9" t="str"/>
    </x:row>
    <x:row r="205" ht="18" customHeight="1">
      <x:c r="A205" s="2" t="str">
        <x:v>controlled_n4_off_peak_1</x:v>
      </x:c>
      <x:c r="B205" s="2" t="str">
        <x:v>QAOA</x:v>
      </x:c>
      <x:c r="C205" s="2" t="n">
        <x:v>456</x:v>
      </x:c>
      <x:c r="D205" s="2" t="str">
        <x:v>no_congestion</x:v>
      </x:c>
      <x:c r="E205" s="2" t="n">
        <x:v>0</x:v>
      </x:c>
      <x:c r="F205" s="7" t="n">
        <x:v>20</x:v>
      </x:c>
      <x:c r="G205" s="7" t="n">
        <x:v>20</x:v>
      </x:c>
      <x:c r="H205" s="7" t="n">
        <x:f>IF(F205=0,"n.a.",100*(F205-G205)/F205)</x:f>
        <x:v>0</x:v>
      </x:c>
      <x:c r="I205" s="7" t="n">
        <x:f>F205-G205</x:f>
        <x:v>0</x:v>
      </x:c>
      <x:c r="J205" s="8" t="n">
        <x:v>1.3075416666666666</x:v>
      </x:c>
      <x:c r="K205" s="8" t="n">
        <x:v>1.3075416666666666</x:v>
      </x:c>
      <x:c r="L205" s="8" t="n">
        <x:v>0</x:v>
      </x:c>
      <x:c r="M205" s="7" t="n">
        <x:v>0</x:v>
      </x:c>
      <x:c r="N205" s="2" t="str">
        <x:v>not_invoked</x:v>
      </x:c>
      <x:c r="O205" s="9" t="str"/>
    </x:row>
    <x:row r="206" ht="18" customHeight="1">
      <x:c r="A206" s="2" t="str">
        <x:v>controlled_n4_off_peak_1</x:v>
      </x:c>
      <x:c r="B206" s="2" t="str">
        <x:v>BPSO</x:v>
      </x:c>
      <x:c r="C206" s="2" t="n">
        <x:v>789</x:v>
      </x:c>
      <x:c r="D206" s="2" t="str">
        <x:v>no_congestion</x:v>
      </x:c>
      <x:c r="E206" s="2" t="n">
        <x:v>0</x:v>
      </x:c>
      <x:c r="F206" s="7" t="n">
        <x:v>20</x:v>
      </x:c>
      <x:c r="G206" s="7" t="n">
        <x:v>20</x:v>
      </x:c>
      <x:c r="H206" s="7" t="n">
        <x:f>IF(F206=0,"n.a.",100*(F206-G206)/F206)</x:f>
        <x:v>0</x:v>
      </x:c>
      <x:c r="I206" s="7" t="n">
        <x:f>F206-G206</x:f>
        <x:v>0</x:v>
      </x:c>
      <x:c r="J206" s="8" t="n">
        <x:v>1.3075416666666666</x:v>
      </x:c>
      <x:c r="K206" s="8" t="n">
        <x:v>1.3075416666666666</x:v>
      </x:c>
      <x:c r="L206" s="8" t="n">
        <x:v>0</x:v>
      </x:c>
      <x:c r="M206" s="7" t="n">
        <x:v>0</x:v>
      </x:c>
      <x:c r="N206" s="2" t="str">
        <x:v>not_invoked</x:v>
      </x:c>
      <x:c r="O206" s="9" t="str"/>
    </x:row>
    <x:row r="207" ht="18" customHeight="1">
      <x:c r="A207" s="2" t="str">
        <x:v>controlled_n4_off_peak_1</x:v>
      </x:c>
      <x:c r="B207" s="2" t="str">
        <x:v>QAOA</x:v>
      </x:c>
      <x:c r="C207" s="2" t="n">
        <x:v>789</x:v>
      </x:c>
      <x:c r="D207" s="2" t="str">
        <x:v>no_congestion</x:v>
      </x:c>
      <x:c r="E207" s="2" t="n">
        <x:v>0</x:v>
      </x:c>
      <x:c r="F207" s="7" t="n">
        <x:v>20</x:v>
      </x:c>
      <x:c r="G207" s="7" t="n">
        <x:v>20</x:v>
      </x:c>
      <x:c r="H207" s="7" t="n">
        <x:f>IF(F207=0,"n.a.",100*(F207-G207)/F207)</x:f>
        <x:v>0</x:v>
      </x:c>
      <x:c r="I207" s="7" t="n">
        <x:f>F207-G207</x:f>
        <x:v>0</x:v>
      </x:c>
      <x:c r="J207" s="8" t="n">
        <x:v>1.3075416666666666</x:v>
      </x:c>
      <x:c r="K207" s="8" t="n">
        <x:v>1.3075416666666666</x:v>
      </x:c>
      <x:c r="L207" s="8" t="n">
        <x:v>0</x:v>
      </x:c>
      <x:c r="M207" s="7" t="n">
        <x:v>0</x:v>
      </x:c>
      <x:c r="N207" s="2" t="str">
        <x:v>not_invoked</x:v>
      </x:c>
      <x:c r="O207" s="9" t="str"/>
    </x:row>
    <x:row r="208" ht="18" customHeight="1">
      <x:c r="A208" s="2" t="str">
        <x:v>controlled_n4_off_peak_1</x:v>
      </x:c>
      <x:c r="B208" s="2" t="str">
        <x:v>BPSO</x:v>
      </x:c>
      <x:c r="C208" s="2" t="n">
        <x:v>2026</x:v>
      </x:c>
      <x:c r="D208" s="2" t="str">
        <x:v>no_congestion</x:v>
      </x:c>
      <x:c r="E208" s="2" t="n">
        <x:v>0</x:v>
      </x:c>
      <x:c r="F208" s="7" t="n">
        <x:v>20</x:v>
      </x:c>
      <x:c r="G208" s="7" t="n">
        <x:v>20</x:v>
      </x:c>
      <x:c r="H208" s="7" t="n">
        <x:f>IF(F208=0,"n.a.",100*(F208-G208)/F208)</x:f>
        <x:v>0</x:v>
      </x:c>
      <x:c r="I208" s="7" t="n">
        <x:f>F208-G208</x:f>
        <x:v>0</x:v>
      </x:c>
      <x:c r="J208" s="8" t="n">
        <x:v>1.3075416666666666</x:v>
      </x:c>
      <x:c r="K208" s="8" t="n">
        <x:v>1.3075416666666666</x:v>
      </x:c>
      <x:c r="L208" s="8" t="n">
        <x:v>0</x:v>
      </x:c>
      <x:c r="M208" s="7" t="n">
        <x:v>0</x:v>
      </x:c>
      <x:c r="N208" s="2" t="str">
        <x:v>not_invoked</x:v>
      </x:c>
      <x:c r="O208" s="9" t="str"/>
    </x:row>
    <x:row r="209" ht="18" customHeight="1">
      <x:c r="A209" s="2" t="str">
        <x:v>controlled_n4_off_peak_1</x:v>
      </x:c>
      <x:c r="B209" s="2" t="str">
        <x:v>QAOA</x:v>
      </x:c>
      <x:c r="C209" s="2" t="n">
        <x:v>2026</x:v>
      </x:c>
      <x:c r="D209" s="2" t="str">
        <x:v>no_congestion</x:v>
      </x:c>
      <x:c r="E209" s="2" t="n">
        <x:v>0</x:v>
      </x:c>
      <x:c r="F209" s="7" t="n">
        <x:v>20</x:v>
      </x:c>
      <x:c r="G209" s="7" t="n">
        <x:v>20</x:v>
      </x:c>
      <x:c r="H209" s="7" t="n">
        <x:f>IF(F209=0,"n.a.",100*(F209-G209)/F209)</x:f>
        <x:v>0</x:v>
      </x:c>
      <x:c r="I209" s="7" t="n">
        <x:f>F209-G209</x:f>
        <x:v>0</x:v>
      </x:c>
      <x:c r="J209" s="8" t="n">
        <x:v>1.3075416666666666</x:v>
      </x:c>
      <x:c r="K209" s="8" t="n">
        <x:v>1.3075416666666666</x:v>
      </x:c>
      <x:c r="L209" s="8" t="n">
        <x:v>0</x:v>
      </x:c>
      <x:c r="M209" s="7" t="n">
        <x:v>0</x:v>
      </x:c>
      <x:c r="N209" s="2" t="str">
        <x:v>not_invoked</x:v>
      </x:c>
      <x:c r="O209" s="9" t="str"/>
    </x:row>
    <x:row r="210" ht="18" customHeight="1">
      <x:c r="A210" s="2" t="str">
        <x:v>controlled_n4_off_peak_2</x:v>
      </x:c>
      <x:c r="B210" s="2" t="str">
        <x:v>Unmanaged</x:v>
      </x:c>
      <x:c r="C210" s="2"/>
      <x:c r="D210" s="2" t="str">
        <x:v>baseline</x:v>
      </x:c>
      <x:c r="E210" s="2" t="n">
        <x:v>0</x:v>
      </x:c>
      <x:c r="F210" s="7" t="n">
        <x:v>30</x:v>
      </x:c>
      <x:c r="G210" s="7" t="n">
        <x:v>30</x:v>
      </x:c>
      <x:c r="H210" s="7" t="n">
        <x:f>IF(F210=0,"n.a.",100*(F210-G210)/F210)</x:f>
        <x:v>0</x:v>
      </x:c>
      <x:c r="I210" s="7" t="n">
        <x:f>F210-G210</x:f>
        <x:v>0</x:v>
      </x:c>
      <x:c r="J210" s="8"/>
      <x:c r="K210" s="8" t="n">
        <x:v>0.6291296296296297</x:v>
      </x:c>
      <x:c r="L210" s="8"/>
      <x:c r="M210" s="7"/>
      <x:c r="N210" s="2" t="str">
        <x:v>unmanaged_input</x:v>
      </x:c>
      <x:c r="O210" s="9"/>
    </x:row>
    <x:row r="211" ht="18" customHeight="1">
      <x:c r="A211" s="2" t="str">
        <x:v>controlled_n4_off_peak_2</x:v>
      </x:c>
      <x:c r="B211" s="2" t="str">
        <x:v>Exact J</x:v>
      </x:c>
      <x:c r="C211" s="2"/>
      <x:c r="D211" s="2" t="str">
        <x:v>no_congestion</x:v>
      </x:c>
      <x:c r="E211" s="2" t="n">
        <x:v>0</x:v>
      </x:c>
      <x:c r="F211" s="7" t="n">
        <x:v>30</x:v>
      </x:c>
      <x:c r="G211" s="7" t="n">
        <x:v>30</x:v>
      </x:c>
      <x:c r="H211" s="7" t="n">
        <x:f>IF(F211=0,"n.a.",100*(F211-G211)/F211)</x:f>
        <x:v>0</x:v>
      </x:c>
      <x:c r="I211" s="7" t="n">
        <x:f>F211-G211</x:f>
        <x:v>0</x:v>
      </x:c>
      <x:c r="J211" s="8" t="n">
        <x:v>0.6291296296296297</x:v>
      </x:c>
      <x:c r="K211" s="8" t="n">
        <x:v>0.6291296296296297</x:v>
      </x:c>
      <x:c r="L211" s="8" t="n">
        <x:v>0</x:v>
      </x:c>
      <x:c r="M211" s="7" t="n">
        <x:v>0</x:v>
      </x:c>
      <x:c r="N211" s="2" t="str">
        <x:v>not_invoked</x:v>
      </x:c>
      <x:c r="O211" s="9" t="str"/>
    </x:row>
    <x:row r="212" ht="18" customHeight="1">
      <x:c r="A212" s="2" t="str">
        <x:v>controlled_n4_off_peak_2</x:v>
      </x:c>
      <x:c r="B212" s="2" t="str">
        <x:v>Exact peak</x:v>
      </x:c>
      <x:c r="C212" s="2"/>
      <x:c r="D212" s="2" t="str">
        <x:v>no_congestion</x:v>
      </x:c>
      <x:c r="E212" s="2" t="n">
        <x:v>0</x:v>
      </x:c>
      <x:c r="F212" s="7" t="n">
        <x:v>30</x:v>
      </x:c>
      <x:c r="G212" s="7" t="n">
        <x:v>30</x:v>
      </x:c>
      <x:c r="H212" s="7" t="n">
        <x:f>IF(F212=0,"n.a.",100*(F212-G212)/F212)</x:f>
        <x:v>0</x:v>
      </x:c>
      <x:c r="I212" s="7" t="n">
        <x:f>F212-G212</x:f>
        <x:v>0</x:v>
      </x:c>
      <x:c r="J212" s="8" t="n">
        <x:v>0.6291296296296297</x:v>
      </x:c>
      <x:c r="K212" s="8" t="n">
        <x:v>0.6291296296296297</x:v>
      </x:c>
      <x:c r="L212" s="8" t="n">
        <x:v>0</x:v>
      </x:c>
      <x:c r="M212" s="7" t="n">
        <x:v>0</x:v>
      </x:c>
      <x:c r="N212" s="2" t="str">
        <x:v>not_invoked</x:v>
      </x:c>
      <x:c r="O212" s="9" t="str"/>
    </x:row>
    <x:row r="213" ht="18" customHeight="1">
      <x:c r="A213" s="2" t="str">
        <x:v>controlled_n4_off_peak_2</x:v>
      </x:c>
      <x:c r="B213" s="2" t="str">
        <x:v>BPSO</x:v>
      </x:c>
      <x:c r="C213" s="2" t="n">
        <x:v>42</x:v>
      </x:c>
      <x:c r="D213" s="2" t="str">
        <x:v>no_congestion</x:v>
      </x:c>
      <x:c r="E213" s="2" t="n">
        <x:v>0</x:v>
      </x:c>
      <x:c r="F213" s="7" t="n">
        <x:v>30</x:v>
      </x:c>
      <x:c r="G213" s="7" t="n">
        <x:v>30</x:v>
      </x:c>
      <x:c r="H213" s="7" t="n">
        <x:f>IF(F213=0,"n.a.",100*(F213-G213)/F213)</x:f>
        <x:v>0</x:v>
      </x:c>
      <x:c r="I213" s="7" t="n">
        <x:f>F213-G213</x:f>
        <x:v>0</x:v>
      </x:c>
      <x:c r="J213" s="8" t="n">
        <x:v>0.6291296296296297</x:v>
      </x:c>
      <x:c r="K213" s="8" t="n">
        <x:v>0.6291296296296297</x:v>
      </x:c>
      <x:c r="L213" s="8" t="n">
        <x:v>0</x:v>
      </x:c>
      <x:c r="M213" s="7" t="n">
        <x:v>0</x:v>
      </x:c>
      <x:c r="N213" s="2" t="str">
        <x:v>not_invoked</x:v>
      </x:c>
      <x:c r="O213" s="9" t="str"/>
    </x:row>
    <x:row r="214" ht="18" customHeight="1">
      <x:c r="A214" s="2" t="str">
        <x:v>controlled_n4_off_peak_2</x:v>
      </x:c>
      <x:c r="B214" s="2" t="str">
        <x:v>QAOA</x:v>
      </x:c>
      <x:c r="C214" s="2" t="n">
        <x:v>42</x:v>
      </x:c>
      <x:c r="D214" s="2" t="str">
        <x:v>no_congestion</x:v>
      </x:c>
      <x:c r="E214" s="2" t="n">
        <x:v>0</x:v>
      </x:c>
      <x:c r="F214" s="7" t="n">
        <x:v>30</x:v>
      </x:c>
      <x:c r="G214" s="7" t="n">
        <x:v>30</x:v>
      </x:c>
      <x:c r="H214" s="7" t="n">
        <x:f>IF(F214=0,"n.a.",100*(F214-G214)/F214)</x:f>
        <x:v>0</x:v>
      </x:c>
      <x:c r="I214" s="7" t="n">
        <x:f>F214-G214</x:f>
        <x:v>0</x:v>
      </x:c>
      <x:c r="J214" s="8" t="n">
        <x:v>0.6291296296296297</x:v>
      </x:c>
      <x:c r="K214" s="8" t="n">
        <x:v>0.6291296296296297</x:v>
      </x:c>
      <x:c r="L214" s="8" t="n">
        <x:v>0</x:v>
      </x:c>
      <x:c r="M214" s="7" t="n">
        <x:v>0</x:v>
      </x:c>
      <x:c r="N214" s="2" t="str">
        <x:v>not_invoked</x:v>
      </x:c>
      <x:c r="O214" s="9" t="str"/>
    </x:row>
    <x:row r="215" ht="18" customHeight="1">
      <x:c r="A215" s="2" t="str">
        <x:v>controlled_n4_off_peak_2</x:v>
      </x:c>
      <x:c r="B215" s="2" t="str">
        <x:v>BPSO</x:v>
      </x:c>
      <x:c r="C215" s="2" t="n">
        <x:v>123</x:v>
      </x:c>
      <x:c r="D215" s="2" t="str">
        <x:v>no_congestion</x:v>
      </x:c>
      <x:c r="E215" s="2" t="n">
        <x:v>0</x:v>
      </x:c>
      <x:c r="F215" s="7" t="n">
        <x:v>30</x:v>
      </x:c>
      <x:c r="G215" s="7" t="n">
        <x:v>30</x:v>
      </x:c>
      <x:c r="H215" s="7" t="n">
        <x:f>IF(F215=0,"n.a.",100*(F215-G215)/F215)</x:f>
        <x:v>0</x:v>
      </x:c>
      <x:c r="I215" s="7" t="n">
        <x:f>F215-G215</x:f>
        <x:v>0</x:v>
      </x:c>
      <x:c r="J215" s="8" t="n">
        <x:v>0.6291296296296297</x:v>
      </x:c>
      <x:c r="K215" s="8" t="n">
        <x:v>0.6291296296296297</x:v>
      </x:c>
      <x:c r="L215" s="8" t="n">
        <x:v>0</x:v>
      </x:c>
      <x:c r="M215" s="7" t="n">
        <x:v>0</x:v>
      </x:c>
      <x:c r="N215" s="2" t="str">
        <x:v>not_invoked</x:v>
      </x:c>
      <x:c r="O215" s="9" t="str"/>
    </x:row>
    <x:row r="216" ht="18" customHeight="1">
      <x:c r="A216" s="2" t="str">
        <x:v>controlled_n4_off_peak_2</x:v>
      </x:c>
      <x:c r="B216" s="2" t="str">
        <x:v>QAOA</x:v>
      </x:c>
      <x:c r="C216" s="2" t="n">
        <x:v>123</x:v>
      </x:c>
      <x:c r="D216" s="2" t="str">
        <x:v>no_congestion</x:v>
      </x:c>
      <x:c r="E216" s="2" t="n">
        <x:v>0</x:v>
      </x:c>
      <x:c r="F216" s="7" t="n">
        <x:v>30</x:v>
      </x:c>
      <x:c r="G216" s="7" t="n">
        <x:v>30</x:v>
      </x:c>
      <x:c r="H216" s="7" t="n">
        <x:f>IF(F216=0,"n.a.",100*(F216-G216)/F216)</x:f>
        <x:v>0</x:v>
      </x:c>
      <x:c r="I216" s="7" t="n">
        <x:f>F216-G216</x:f>
        <x:v>0</x:v>
      </x:c>
      <x:c r="J216" s="8" t="n">
        <x:v>0.6291296296296297</x:v>
      </x:c>
      <x:c r="K216" s="8" t="n">
        <x:v>0.6291296296296297</x:v>
      </x:c>
      <x:c r="L216" s="8" t="n">
        <x:v>0</x:v>
      </x:c>
      <x:c r="M216" s="7" t="n">
        <x:v>0</x:v>
      </x:c>
      <x:c r="N216" s="2" t="str">
        <x:v>not_invoked</x:v>
      </x:c>
      <x:c r="O216" s="9" t="str"/>
    </x:row>
    <x:row r="217" ht="18" customHeight="1">
      <x:c r="A217" s="2" t="str">
        <x:v>controlled_n4_off_peak_2</x:v>
      </x:c>
      <x:c r="B217" s="2" t="str">
        <x:v>BPSO</x:v>
      </x:c>
      <x:c r="C217" s="2" t="n">
        <x:v>456</x:v>
      </x:c>
      <x:c r="D217" s="2" t="str">
        <x:v>no_congestion</x:v>
      </x:c>
      <x:c r="E217" s="2" t="n">
        <x:v>0</x:v>
      </x:c>
      <x:c r="F217" s="7" t="n">
        <x:v>30</x:v>
      </x:c>
      <x:c r="G217" s="7" t="n">
        <x:v>30</x:v>
      </x:c>
      <x:c r="H217" s="7" t="n">
        <x:f>IF(F217=0,"n.a.",100*(F217-G217)/F217)</x:f>
        <x:v>0</x:v>
      </x:c>
      <x:c r="I217" s="7" t="n">
        <x:f>F217-G217</x:f>
        <x:v>0</x:v>
      </x:c>
      <x:c r="J217" s="8" t="n">
        <x:v>0.6291296296296297</x:v>
      </x:c>
      <x:c r="K217" s="8" t="n">
        <x:v>0.6291296296296297</x:v>
      </x:c>
      <x:c r="L217" s="8" t="n">
        <x:v>0</x:v>
      </x:c>
      <x:c r="M217" s="7" t="n">
        <x:v>0</x:v>
      </x:c>
      <x:c r="N217" s="2" t="str">
        <x:v>not_invoked</x:v>
      </x:c>
      <x:c r="O217" s="9" t="str"/>
    </x:row>
    <x:row r="218" ht="18" customHeight="1">
      <x:c r="A218" s="2" t="str">
        <x:v>controlled_n4_off_peak_2</x:v>
      </x:c>
      <x:c r="B218" s="2" t="str">
        <x:v>QAOA</x:v>
      </x:c>
      <x:c r="C218" s="2" t="n">
        <x:v>456</x:v>
      </x:c>
      <x:c r="D218" s="2" t="str">
        <x:v>no_congestion</x:v>
      </x:c>
      <x:c r="E218" s="2" t="n">
        <x:v>0</x:v>
      </x:c>
      <x:c r="F218" s="7" t="n">
        <x:v>30</x:v>
      </x:c>
      <x:c r="G218" s="7" t="n">
        <x:v>30</x:v>
      </x:c>
      <x:c r="H218" s="7" t="n">
        <x:f>IF(F218=0,"n.a.",100*(F218-G218)/F218)</x:f>
        <x:v>0</x:v>
      </x:c>
      <x:c r="I218" s="7" t="n">
        <x:f>F218-G218</x:f>
        <x:v>0</x:v>
      </x:c>
      <x:c r="J218" s="8" t="n">
        <x:v>0.6291296296296297</x:v>
      </x:c>
      <x:c r="K218" s="8" t="n">
        <x:v>0.6291296296296297</x:v>
      </x:c>
      <x:c r="L218" s="8" t="n">
        <x:v>0</x:v>
      </x:c>
      <x:c r="M218" s="7" t="n">
        <x:v>0</x:v>
      </x:c>
      <x:c r="N218" s="2" t="str">
        <x:v>not_invoked</x:v>
      </x:c>
      <x:c r="O218" s="9" t="str"/>
    </x:row>
    <x:row r="219" ht="18" customHeight="1">
      <x:c r="A219" s="2" t="str">
        <x:v>controlled_n4_off_peak_2</x:v>
      </x:c>
      <x:c r="B219" s="2" t="str">
        <x:v>BPSO</x:v>
      </x:c>
      <x:c r="C219" s="2" t="n">
        <x:v>789</x:v>
      </x:c>
      <x:c r="D219" s="2" t="str">
        <x:v>no_congestion</x:v>
      </x:c>
      <x:c r="E219" s="2" t="n">
        <x:v>0</x:v>
      </x:c>
      <x:c r="F219" s="7" t="n">
        <x:v>30</x:v>
      </x:c>
      <x:c r="G219" s="7" t="n">
        <x:v>30</x:v>
      </x:c>
      <x:c r="H219" s="7" t="n">
        <x:f>IF(F219=0,"n.a.",100*(F219-G219)/F219)</x:f>
        <x:v>0</x:v>
      </x:c>
      <x:c r="I219" s="7" t="n">
        <x:f>F219-G219</x:f>
        <x:v>0</x:v>
      </x:c>
      <x:c r="J219" s="8" t="n">
        <x:v>0.6291296296296297</x:v>
      </x:c>
      <x:c r="K219" s="8" t="n">
        <x:v>0.6291296296296297</x:v>
      </x:c>
      <x:c r="L219" s="8" t="n">
        <x:v>0</x:v>
      </x:c>
      <x:c r="M219" s="7" t="n">
        <x:v>0</x:v>
      </x:c>
      <x:c r="N219" s="2" t="str">
        <x:v>not_invoked</x:v>
      </x:c>
      <x:c r="O219" s="9" t="str"/>
    </x:row>
    <x:row r="220" ht="18" customHeight="1">
      <x:c r="A220" s="2" t="str">
        <x:v>controlled_n4_off_peak_2</x:v>
      </x:c>
      <x:c r="B220" s="2" t="str">
        <x:v>QAOA</x:v>
      </x:c>
      <x:c r="C220" s="2" t="n">
        <x:v>789</x:v>
      </x:c>
      <x:c r="D220" s="2" t="str">
        <x:v>no_congestion</x:v>
      </x:c>
      <x:c r="E220" s="2" t="n">
        <x:v>0</x:v>
      </x:c>
      <x:c r="F220" s="7" t="n">
        <x:v>30</x:v>
      </x:c>
      <x:c r="G220" s="7" t="n">
        <x:v>30</x:v>
      </x:c>
      <x:c r="H220" s="7" t="n">
        <x:f>IF(F220=0,"n.a.",100*(F220-G220)/F220)</x:f>
        <x:v>0</x:v>
      </x:c>
      <x:c r="I220" s="7" t="n">
        <x:f>F220-G220</x:f>
        <x:v>0</x:v>
      </x:c>
      <x:c r="J220" s="8" t="n">
        <x:v>0.6291296296296297</x:v>
      </x:c>
      <x:c r="K220" s="8" t="n">
        <x:v>0.6291296296296297</x:v>
      </x:c>
      <x:c r="L220" s="8" t="n">
        <x:v>0</x:v>
      </x:c>
      <x:c r="M220" s="7" t="n">
        <x:v>0</x:v>
      </x:c>
      <x:c r="N220" s="2" t="str">
        <x:v>not_invoked</x:v>
      </x:c>
      <x:c r="O220" s="9" t="str"/>
    </x:row>
    <x:row r="221" ht="18" customHeight="1">
      <x:c r="A221" s="2" t="str">
        <x:v>controlled_n4_off_peak_2</x:v>
      </x:c>
      <x:c r="B221" s="2" t="str">
        <x:v>BPSO</x:v>
      </x:c>
      <x:c r="C221" s="2" t="n">
        <x:v>2026</x:v>
      </x:c>
      <x:c r="D221" s="2" t="str">
        <x:v>no_congestion</x:v>
      </x:c>
      <x:c r="E221" s="2" t="n">
        <x:v>0</x:v>
      </x:c>
      <x:c r="F221" s="7" t="n">
        <x:v>30</x:v>
      </x:c>
      <x:c r="G221" s="7" t="n">
        <x:v>30</x:v>
      </x:c>
      <x:c r="H221" s="7" t="n">
        <x:f>IF(F221=0,"n.a.",100*(F221-G221)/F221)</x:f>
        <x:v>0</x:v>
      </x:c>
      <x:c r="I221" s="7" t="n">
        <x:f>F221-G221</x:f>
        <x:v>0</x:v>
      </x:c>
      <x:c r="J221" s="8" t="n">
        <x:v>0.6291296296296297</x:v>
      </x:c>
      <x:c r="K221" s="8" t="n">
        <x:v>0.6291296296296297</x:v>
      </x:c>
      <x:c r="L221" s="8" t="n">
        <x:v>0</x:v>
      </x:c>
      <x:c r="M221" s="7" t="n">
        <x:v>0</x:v>
      </x:c>
      <x:c r="N221" s="2" t="str">
        <x:v>not_invoked</x:v>
      </x:c>
      <x:c r="O221" s="9" t="str"/>
    </x:row>
    <x:row r="222" ht="18" customHeight="1">
      <x:c r="A222" s="2" t="str">
        <x:v>controlled_n4_off_peak_2</x:v>
      </x:c>
      <x:c r="B222" s="2" t="str">
        <x:v>QAOA</x:v>
      </x:c>
      <x:c r="C222" s="2" t="n">
        <x:v>2026</x:v>
      </x:c>
      <x:c r="D222" s="2" t="str">
        <x:v>no_congestion</x:v>
      </x:c>
      <x:c r="E222" s="2" t="n">
        <x:v>0</x:v>
      </x:c>
      <x:c r="F222" s="7" t="n">
        <x:v>30</x:v>
      </x:c>
      <x:c r="G222" s="7" t="n">
        <x:v>30</x:v>
      </x:c>
      <x:c r="H222" s="7" t="n">
        <x:f>IF(F222=0,"n.a.",100*(F222-G222)/F222)</x:f>
        <x:v>0</x:v>
      </x:c>
      <x:c r="I222" s="7" t="n">
        <x:f>F222-G222</x:f>
        <x:v>0</x:v>
      </x:c>
      <x:c r="J222" s="8" t="n">
        <x:v>0.6291296296296297</x:v>
      </x:c>
      <x:c r="K222" s="8" t="n">
        <x:v>0.6291296296296297</x:v>
      </x:c>
      <x:c r="L222" s="8" t="n">
        <x:v>0</x:v>
      </x:c>
      <x:c r="M222" s="7" t="n">
        <x:v>0</x:v>
      </x:c>
      <x:c r="N222" s="2" t="str">
        <x:v>not_invoked</x:v>
      </x:c>
      <x:c r="O222" s="9" t="str"/>
    </x:row>
    <x:row r="223" ht="18" customHeight="1">
      <x:c r="A223" s="2" t="str">
        <x:v>controlled_n4_off_peak_3</x:v>
      </x:c>
      <x:c r="B223" s="2" t="str">
        <x:v>Unmanaged</x:v>
      </x:c>
      <x:c r="C223" s="2"/>
      <x:c r="D223" s="2" t="str">
        <x:v>baseline</x:v>
      </x:c>
      <x:c r="E223" s="2" t="n">
        <x:v>0</x:v>
      </x:c>
      <x:c r="F223" s="7" t="n">
        <x:v>40</x:v>
      </x:c>
      <x:c r="G223" s="7" t="n">
        <x:v>40</x:v>
      </x:c>
      <x:c r="H223" s="7" t="n">
        <x:f>IF(F223=0,"n.a.",100*(F223-G223)/F223)</x:f>
        <x:v>0</x:v>
      </x:c>
      <x:c r="I223" s="7" t="n">
        <x:f>F223-G223</x:f>
        <x:v>0</x:v>
      </x:c>
      <x:c r="J223" s="8"/>
      <x:c r="K223" s="8" t="n">
        <x:v>0.1692824074074073</x:v>
      </x:c>
      <x:c r="L223" s="8"/>
      <x:c r="M223" s="7"/>
      <x:c r="N223" s="2" t="str">
        <x:v>unmanaged_input</x:v>
      </x:c>
      <x:c r="O223" s="9"/>
    </x:row>
    <x:row r="224" ht="18" customHeight="1">
      <x:c r="A224" s="2" t="str">
        <x:v>controlled_n4_off_peak_3</x:v>
      </x:c>
      <x:c r="B224" s="2" t="str">
        <x:v>Exact J</x:v>
      </x:c>
      <x:c r="C224" s="2"/>
      <x:c r="D224" s="2" t="str">
        <x:v>no_congestion</x:v>
      </x:c>
      <x:c r="E224" s="2" t="n">
        <x:v>0</x:v>
      </x:c>
      <x:c r="F224" s="7" t="n">
        <x:v>40</x:v>
      </x:c>
      <x:c r="G224" s="7" t="n">
        <x:v>40</x:v>
      </x:c>
      <x:c r="H224" s="7" t="n">
        <x:f>IF(F224=0,"n.a.",100*(F224-G224)/F224)</x:f>
        <x:v>0</x:v>
      </x:c>
      <x:c r="I224" s="7" t="n">
        <x:f>F224-G224</x:f>
        <x:v>0</x:v>
      </x:c>
      <x:c r="J224" s="8" t="n">
        <x:v>0.1692824074074073</x:v>
      </x:c>
      <x:c r="K224" s="8" t="n">
        <x:v>0.1692824074074073</x:v>
      </x:c>
      <x:c r="L224" s="8" t="n">
        <x:v>0</x:v>
      </x:c>
      <x:c r="M224" s="7" t="n">
        <x:v>0</x:v>
      </x:c>
      <x:c r="N224" s="2" t="str">
        <x:v>not_invoked</x:v>
      </x:c>
      <x:c r="O224" s="9" t="str"/>
    </x:row>
    <x:row r="225" ht="18" customHeight="1">
      <x:c r="A225" s="2" t="str">
        <x:v>controlled_n4_off_peak_3</x:v>
      </x:c>
      <x:c r="B225" s="2" t="str">
        <x:v>Exact peak</x:v>
      </x:c>
      <x:c r="C225" s="2"/>
      <x:c r="D225" s="2" t="str">
        <x:v>no_congestion</x:v>
      </x:c>
      <x:c r="E225" s="2" t="n">
        <x:v>0</x:v>
      </x:c>
      <x:c r="F225" s="7" t="n">
        <x:v>40</x:v>
      </x:c>
      <x:c r="G225" s="7" t="n">
        <x:v>40</x:v>
      </x:c>
      <x:c r="H225" s="7" t="n">
        <x:f>IF(F225=0,"n.a.",100*(F225-G225)/F225)</x:f>
        <x:v>0</x:v>
      </x:c>
      <x:c r="I225" s="7" t="n">
        <x:f>F225-G225</x:f>
        <x:v>0</x:v>
      </x:c>
      <x:c r="J225" s="8" t="n">
        <x:v>0.1692824074074073</x:v>
      </x:c>
      <x:c r="K225" s="8" t="n">
        <x:v>0.1692824074074073</x:v>
      </x:c>
      <x:c r="L225" s="8" t="n">
        <x:v>0</x:v>
      </x:c>
      <x:c r="M225" s="7" t="n">
        <x:v>0</x:v>
      </x:c>
      <x:c r="N225" s="2" t="str">
        <x:v>not_invoked</x:v>
      </x:c>
      <x:c r="O225" s="9" t="str"/>
    </x:row>
    <x:row r="226" ht="18" customHeight="1">
      <x:c r="A226" s="2" t="str">
        <x:v>controlled_n4_off_peak_3</x:v>
      </x:c>
      <x:c r="B226" s="2" t="str">
        <x:v>BPSO</x:v>
      </x:c>
      <x:c r="C226" s="2" t="n">
        <x:v>42</x:v>
      </x:c>
      <x:c r="D226" s="2" t="str">
        <x:v>no_congestion</x:v>
      </x:c>
      <x:c r="E226" s="2" t="n">
        <x:v>0</x:v>
      </x:c>
      <x:c r="F226" s="7" t="n">
        <x:v>40</x:v>
      </x:c>
      <x:c r="G226" s="7" t="n">
        <x:v>40</x:v>
      </x:c>
      <x:c r="H226" s="7" t="n">
        <x:f>IF(F226=0,"n.a.",100*(F226-G226)/F226)</x:f>
        <x:v>0</x:v>
      </x:c>
      <x:c r="I226" s="7" t="n">
        <x:f>F226-G226</x:f>
        <x:v>0</x:v>
      </x:c>
      <x:c r="J226" s="8" t="n">
        <x:v>0.1692824074074073</x:v>
      </x:c>
      <x:c r="K226" s="8" t="n">
        <x:v>0.1692824074074073</x:v>
      </x:c>
      <x:c r="L226" s="8" t="n">
        <x:v>0</x:v>
      </x:c>
      <x:c r="M226" s="7" t="n">
        <x:v>0</x:v>
      </x:c>
      <x:c r="N226" s="2" t="str">
        <x:v>not_invoked</x:v>
      </x:c>
      <x:c r="O226" s="9" t="str"/>
    </x:row>
    <x:row r="227" ht="18" customHeight="1">
      <x:c r="A227" s="2" t="str">
        <x:v>controlled_n4_off_peak_3</x:v>
      </x:c>
      <x:c r="B227" s="2" t="str">
        <x:v>QAOA</x:v>
      </x:c>
      <x:c r="C227" s="2" t="n">
        <x:v>42</x:v>
      </x:c>
      <x:c r="D227" s="2" t="str">
        <x:v>no_congestion</x:v>
      </x:c>
      <x:c r="E227" s="2" t="n">
        <x:v>0</x:v>
      </x:c>
      <x:c r="F227" s="7" t="n">
        <x:v>40</x:v>
      </x:c>
      <x:c r="G227" s="7" t="n">
        <x:v>40</x:v>
      </x:c>
      <x:c r="H227" s="7" t="n">
        <x:f>IF(F227=0,"n.a.",100*(F227-G227)/F227)</x:f>
        <x:v>0</x:v>
      </x:c>
      <x:c r="I227" s="7" t="n">
        <x:f>F227-G227</x:f>
        <x:v>0</x:v>
      </x:c>
      <x:c r="J227" s="8" t="n">
        <x:v>0.1692824074074073</x:v>
      </x:c>
      <x:c r="K227" s="8" t="n">
        <x:v>0.1692824074074073</x:v>
      </x:c>
      <x:c r="L227" s="8" t="n">
        <x:v>0</x:v>
      </x:c>
      <x:c r="M227" s="7" t="n">
        <x:v>0</x:v>
      </x:c>
      <x:c r="N227" s="2" t="str">
        <x:v>not_invoked</x:v>
      </x:c>
      <x:c r="O227" s="9" t="str"/>
    </x:row>
    <x:row r="228" ht="18" customHeight="1">
      <x:c r="A228" s="2" t="str">
        <x:v>controlled_n4_off_peak_3</x:v>
      </x:c>
      <x:c r="B228" s="2" t="str">
        <x:v>BPSO</x:v>
      </x:c>
      <x:c r="C228" s="2" t="n">
        <x:v>123</x:v>
      </x:c>
      <x:c r="D228" s="2" t="str">
        <x:v>no_congestion</x:v>
      </x:c>
      <x:c r="E228" s="2" t="n">
        <x:v>0</x:v>
      </x:c>
      <x:c r="F228" s="7" t="n">
        <x:v>40</x:v>
      </x:c>
      <x:c r="G228" s="7" t="n">
        <x:v>40</x:v>
      </x:c>
      <x:c r="H228" s="7" t="n">
        <x:f>IF(F228=0,"n.a.",100*(F228-G228)/F228)</x:f>
        <x:v>0</x:v>
      </x:c>
      <x:c r="I228" s="7" t="n">
        <x:f>F228-G228</x:f>
        <x:v>0</x:v>
      </x:c>
      <x:c r="J228" s="8" t="n">
        <x:v>0.1692824074074073</x:v>
      </x:c>
      <x:c r="K228" s="8" t="n">
        <x:v>0.1692824074074073</x:v>
      </x:c>
      <x:c r="L228" s="8" t="n">
        <x:v>0</x:v>
      </x:c>
      <x:c r="M228" s="7" t="n">
        <x:v>0</x:v>
      </x:c>
      <x:c r="N228" s="2" t="str">
        <x:v>not_invoked</x:v>
      </x:c>
      <x:c r="O228" s="9" t="str"/>
    </x:row>
    <x:row r="229" ht="18" customHeight="1">
      <x:c r="A229" s="2" t="str">
        <x:v>controlled_n4_off_peak_3</x:v>
      </x:c>
      <x:c r="B229" s="2" t="str">
        <x:v>QAOA</x:v>
      </x:c>
      <x:c r="C229" s="2" t="n">
        <x:v>123</x:v>
      </x:c>
      <x:c r="D229" s="2" t="str">
        <x:v>no_congestion</x:v>
      </x:c>
      <x:c r="E229" s="2" t="n">
        <x:v>0</x:v>
      </x:c>
      <x:c r="F229" s="7" t="n">
        <x:v>40</x:v>
      </x:c>
      <x:c r="G229" s="7" t="n">
        <x:v>40</x:v>
      </x:c>
      <x:c r="H229" s="7" t="n">
        <x:f>IF(F229=0,"n.a.",100*(F229-G229)/F229)</x:f>
        <x:v>0</x:v>
      </x:c>
      <x:c r="I229" s="7" t="n">
        <x:f>F229-G229</x:f>
        <x:v>0</x:v>
      </x:c>
      <x:c r="J229" s="8" t="n">
        <x:v>0.1692824074074073</x:v>
      </x:c>
      <x:c r="K229" s="8" t="n">
        <x:v>0.1692824074074073</x:v>
      </x:c>
      <x:c r="L229" s="8" t="n">
        <x:v>0</x:v>
      </x:c>
      <x:c r="M229" s="7" t="n">
        <x:v>0</x:v>
      </x:c>
      <x:c r="N229" s="2" t="str">
        <x:v>not_invoked</x:v>
      </x:c>
      <x:c r="O229" s="9" t="str"/>
    </x:row>
    <x:row r="230" ht="18" customHeight="1">
      <x:c r="A230" s="2" t="str">
        <x:v>controlled_n4_off_peak_3</x:v>
      </x:c>
      <x:c r="B230" s="2" t="str">
        <x:v>BPSO</x:v>
      </x:c>
      <x:c r="C230" s="2" t="n">
        <x:v>456</x:v>
      </x:c>
      <x:c r="D230" s="2" t="str">
        <x:v>no_congestion</x:v>
      </x:c>
      <x:c r="E230" s="2" t="n">
        <x:v>0</x:v>
      </x:c>
      <x:c r="F230" s="7" t="n">
        <x:v>40</x:v>
      </x:c>
      <x:c r="G230" s="7" t="n">
        <x:v>40</x:v>
      </x:c>
      <x:c r="H230" s="7" t="n">
        <x:f>IF(F230=0,"n.a.",100*(F230-G230)/F230)</x:f>
        <x:v>0</x:v>
      </x:c>
      <x:c r="I230" s="7" t="n">
        <x:f>F230-G230</x:f>
        <x:v>0</x:v>
      </x:c>
      <x:c r="J230" s="8" t="n">
        <x:v>0.1692824074074073</x:v>
      </x:c>
      <x:c r="K230" s="8" t="n">
        <x:v>0.1692824074074073</x:v>
      </x:c>
      <x:c r="L230" s="8" t="n">
        <x:v>0</x:v>
      </x:c>
      <x:c r="M230" s="7" t="n">
        <x:v>0</x:v>
      </x:c>
      <x:c r="N230" s="2" t="str">
        <x:v>not_invoked</x:v>
      </x:c>
      <x:c r="O230" s="9" t="str"/>
    </x:row>
    <x:row r="231" ht="18" customHeight="1">
      <x:c r="A231" s="2" t="str">
        <x:v>controlled_n4_off_peak_3</x:v>
      </x:c>
      <x:c r="B231" s="2" t="str">
        <x:v>QAOA</x:v>
      </x:c>
      <x:c r="C231" s="2" t="n">
        <x:v>456</x:v>
      </x:c>
      <x:c r="D231" s="2" t="str">
        <x:v>no_congestion</x:v>
      </x:c>
      <x:c r="E231" s="2" t="n">
        <x:v>0</x:v>
      </x:c>
      <x:c r="F231" s="7" t="n">
        <x:v>40</x:v>
      </x:c>
      <x:c r="G231" s="7" t="n">
        <x:v>40</x:v>
      </x:c>
      <x:c r="H231" s="7" t="n">
        <x:f>IF(F231=0,"n.a.",100*(F231-G231)/F231)</x:f>
        <x:v>0</x:v>
      </x:c>
      <x:c r="I231" s="7" t="n">
        <x:f>F231-G231</x:f>
        <x:v>0</x:v>
      </x:c>
      <x:c r="J231" s="8" t="n">
        <x:v>0.1692824074074073</x:v>
      </x:c>
      <x:c r="K231" s="8" t="n">
        <x:v>0.1692824074074073</x:v>
      </x:c>
      <x:c r="L231" s="8" t="n">
        <x:v>0</x:v>
      </x:c>
      <x:c r="M231" s="7" t="n">
        <x:v>0</x:v>
      </x:c>
      <x:c r="N231" s="2" t="str">
        <x:v>not_invoked</x:v>
      </x:c>
      <x:c r="O231" s="9" t="str"/>
    </x:row>
    <x:row r="232" ht="18" customHeight="1">
      <x:c r="A232" s="2" t="str">
        <x:v>controlled_n4_off_peak_3</x:v>
      </x:c>
      <x:c r="B232" s="2" t="str">
        <x:v>BPSO</x:v>
      </x:c>
      <x:c r="C232" s="2" t="n">
        <x:v>789</x:v>
      </x:c>
      <x:c r="D232" s="2" t="str">
        <x:v>no_congestion</x:v>
      </x:c>
      <x:c r="E232" s="2" t="n">
        <x:v>0</x:v>
      </x:c>
      <x:c r="F232" s="7" t="n">
        <x:v>40</x:v>
      </x:c>
      <x:c r="G232" s="7" t="n">
        <x:v>40</x:v>
      </x:c>
      <x:c r="H232" s="7" t="n">
        <x:f>IF(F232=0,"n.a.",100*(F232-G232)/F232)</x:f>
        <x:v>0</x:v>
      </x:c>
      <x:c r="I232" s="7" t="n">
        <x:f>F232-G232</x:f>
        <x:v>0</x:v>
      </x:c>
      <x:c r="J232" s="8" t="n">
        <x:v>0.1692824074074073</x:v>
      </x:c>
      <x:c r="K232" s="8" t="n">
        <x:v>0.1692824074074073</x:v>
      </x:c>
      <x:c r="L232" s="8" t="n">
        <x:v>0</x:v>
      </x:c>
      <x:c r="M232" s="7" t="n">
        <x:v>0</x:v>
      </x:c>
      <x:c r="N232" s="2" t="str">
        <x:v>not_invoked</x:v>
      </x:c>
      <x:c r="O232" s="9" t="str"/>
    </x:row>
    <x:row r="233" ht="18" customHeight="1">
      <x:c r="A233" s="2" t="str">
        <x:v>controlled_n4_off_peak_3</x:v>
      </x:c>
      <x:c r="B233" s="2" t="str">
        <x:v>QAOA</x:v>
      </x:c>
      <x:c r="C233" s="2" t="n">
        <x:v>789</x:v>
      </x:c>
      <x:c r="D233" s="2" t="str">
        <x:v>no_congestion</x:v>
      </x:c>
      <x:c r="E233" s="2" t="n">
        <x:v>0</x:v>
      </x:c>
      <x:c r="F233" s="7" t="n">
        <x:v>40</x:v>
      </x:c>
      <x:c r="G233" s="7" t="n">
        <x:v>40</x:v>
      </x:c>
      <x:c r="H233" s="7" t="n">
        <x:f>IF(F233=0,"n.a.",100*(F233-G233)/F233)</x:f>
        <x:v>0</x:v>
      </x:c>
      <x:c r="I233" s="7" t="n">
        <x:f>F233-G233</x:f>
        <x:v>0</x:v>
      </x:c>
      <x:c r="J233" s="8" t="n">
        <x:v>0.1692824074074073</x:v>
      </x:c>
      <x:c r="K233" s="8" t="n">
        <x:v>0.1692824074074073</x:v>
      </x:c>
      <x:c r="L233" s="8" t="n">
        <x:v>0</x:v>
      </x:c>
      <x:c r="M233" s="7" t="n">
        <x:v>0</x:v>
      </x:c>
      <x:c r="N233" s="2" t="str">
        <x:v>not_invoked</x:v>
      </x:c>
      <x:c r="O233" s="9" t="str"/>
    </x:row>
    <x:row r="234" ht="18" customHeight="1">
      <x:c r="A234" s="2" t="str">
        <x:v>controlled_n4_off_peak_3</x:v>
      </x:c>
      <x:c r="B234" s="2" t="str">
        <x:v>BPSO</x:v>
      </x:c>
      <x:c r="C234" s="2" t="n">
        <x:v>2026</x:v>
      </x:c>
      <x:c r="D234" s="2" t="str">
        <x:v>no_congestion</x:v>
      </x:c>
      <x:c r="E234" s="2" t="n">
        <x:v>0</x:v>
      </x:c>
      <x:c r="F234" s="7" t="n">
        <x:v>40</x:v>
      </x:c>
      <x:c r="G234" s="7" t="n">
        <x:v>40</x:v>
      </x:c>
      <x:c r="H234" s="7" t="n">
        <x:f>IF(F234=0,"n.a.",100*(F234-G234)/F234)</x:f>
        <x:v>0</x:v>
      </x:c>
      <x:c r="I234" s="7" t="n">
        <x:f>F234-G234</x:f>
        <x:v>0</x:v>
      </x:c>
      <x:c r="J234" s="8" t="n">
        <x:v>0.1692824074074073</x:v>
      </x:c>
      <x:c r="K234" s="8" t="n">
        <x:v>0.1692824074074073</x:v>
      </x:c>
      <x:c r="L234" s="8" t="n">
        <x:v>0</x:v>
      </x:c>
      <x:c r="M234" s="7" t="n">
        <x:v>0</x:v>
      </x:c>
      <x:c r="N234" s="2" t="str">
        <x:v>not_invoked</x:v>
      </x:c>
      <x:c r="O234" s="9" t="str"/>
    </x:row>
    <x:row r="235" ht="18" customHeight="1">
      <x:c r="A235" s="2" t="str">
        <x:v>controlled_n4_off_peak_3</x:v>
      </x:c>
      <x:c r="B235" s="2" t="str">
        <x:v>QAOA</x:v>
      </x:c>
      <x:c r="C235" s="2" t="n">
        <x:v>2026</x:v>
      </x:c>
      <x:c r="D235" s="2" t="str">
        <x:v>no_congestion</x:v>
      </x:c>
      <x:c r="E235" s="2" t="n">
        <x:v>0</x:v>
      </x:c>
      <x:c r="F235" s="7" t="n">
        <x:v>40</x:v>
      </x:c>
      <x:c r="G235" s="7" t="n">
        <x:v>40</x:v>
      </x:c>
      <x:c r="H235" s="7" t="n">
        <x:f>IF(F235=0,"n.a.",100*(F235-G235)/F235)</x:f>
        <x:v>0</x:v>
      </x:c>
      <x:c r="I235" s="7" t="n">
        <x:f>F235-G235</x:f>
        <x:v>0</x:v>
      </x:c>
      <x:c r="J235" s="8" t="n">
        <x:v>0.1692824074074073</x:v>
      </x:c>
      <x:c r="K235" s="8" t="n">
        <x:v>0.1692824074074073</x:v>
      </x:c>
      <x:c r="L235" s="8" t="n">
        <x:v>0</x:v>
      </x:c>
      <x:c r="M235" s="7" t="n">
        <x:v>0</x:v>
      </x:c>
      <x:c r="N235" s="2" t="str">
        <x:v>not_invoked</x:v>
      </x:c>
      <x:c r="O235" s="9" t="str"/>
    </x:row>
    <x:row r="236" ht="18" customHeight="1">
      <x:c r="A236" s="2" t="str">
        <x:v>controlled_n4_threshold_1</x:v>
      </x:c>
      <x:c r="B236" s="2" t="str">
        <x:v>Unmanaged</x:v>
      </x:c>
      <x:c r="C236" s="2"/>
      <x:c r="D236" s="2" t="str">
        <x:v>baseline</x:v>
      </x:c>
      <x:c r="E236" s="2" t="n">
        <x:v>0</x:v>
      </x:c>
      <x:c r="F236" s="7" t="n">
        <x:v>59</x:v>
      </x:c>
      <x:c r="G236" s="7" t="n">
        <x:v>59</x:v>
      </x:c>
      <x:c r="H236" s="7" t="n">
        <x:f>IF(F236=0,"n.a.",100*(F236-G236)/F236)</x:f>
        <x:v>0</x:v>
      </x:c>
      <x:c r="I236" s="7" t="n">
        <x:f>F236-G236</x:f>
        <x:v>0</x:v>
      </x:c>
      <x:c r="J236" s="8"/>
      <x:c r="K236" s="8" t="n">
        <x:v>0.5557612407407408</x:v>
      </x:c>
      <x:c r="L236" s="8"/>
      <x:c r="M236" s="7"/>
      <x:c r="N236" s="2" t="str">
        <x:v>unmanaged_input</x:v>
      </x:c>
      <x:c r="O236" s="9"/>
    </x:row>
    <x:row r="237" ht="18" customHeight="1">
      <x:c r="A237" s="2" t="str">
        <x:v>controlled_n4_threshold_1</x:v>
      </x:c>
      <x:c r="B237" s="2" t="str">
        <x:v>Exact J</x:v>
      </x:c>
      <x:c r="C237" s="2"/>
      <x:c r="D237" s="2" t="str">
        <x:v>no_congestion</x:v>
      </x:c>
      <x:c r="E237" s="2" t="n">
        <x:v>0</x:v>
      </x:c>
      <x:c r="F237" s="7" t="n">
        <x:v>59</x:v>
      </x:c>
      <x:c r="G237" s="7" t="n">
        <x:v>59</x:v>
      </x:c>
      <x:c r="H237" s="7" t="n">
        <x:f>IF(F237=0,"n.a.",100*(F237-G237)/F237)</x:f>
        <x:v>0</x:v>
      </x:c>
      <x:c r="I237" s="7" t="n">
        <x:f>F237-G237</x:f>
        <x:v>0</x:v>
      </x:c>
      <x:c r="J237" s="8" t="n">
        <x:v>0.5557612407407408</x:v>
      </x:c>
      <x:c r="K237" s="8" t="n">
        <x:v>0.5557612407407408</x:v>
      </x:c>
      <x:c r="L237" s="8" t="n">
        <x:v>0</x:v>
      </x:c>
      <x:c r="M237" s="7" t="n">
        <x:v>0</x:v>
      </x:c>
      <x:c r="N237" s="2" t="str">
        <x:v>not_invoked</x:v>
      </x:c>
      <x:c r="O237" s="9" t="str"/>
    </x:row>
    <x:row r="238" ht="18" customHeight="1">
      <x:c r="A238" s="2" t="str">
        <x:v>controlled_n4_threshold_1</x:v>
      </x:c>
      <x:c r="B238" s="2" t="str">
        <x:v>Exact peak</x:v>
      </x:c>
      <x:c r="C238" s="2"/>
      <x:c r="D238" s="2" t="str">
        <x:v>no_congestion</x:v>
      </x:c>
      <x:c r="E238" s="2" t="n">
        <x:v>0</x:v>
      </x:c>
      <x:c r="F238" s="7" t="n">
        <x:v>59</x:v>
      </x:c>
      <x:c r="G238" s="7" t="n">
        <x:v>59</x:v>
      </x:c>
      <x:c r="H238" s="7" t="n">
        <x:f>IF(F238=0,"n.a.",100*(F238-G238)/F238)</x:f>
        <x:v>0</x:v>
      </x:c>
      <x:c r="I238" s="7" t="n">
        <x:f>F238-G238</x:f>
        <x:v>0</x:v>
      </x:c>
      <x:c r="J238" s="8" t="n">
        <x:v>0.5557612407407408</x:v>
      </x:c>
      <x:c r="K238" s="8" t="n">
        <x:v>0.5557612407407408</x:v>
      </x:c>
      <x:c r="L238" s="8" t="n">
        <x:v>0</x:v>
      </x:c>
      <x:c r="M238" s="7" t="n">
        <x:v>0</x:v>
      </x:c>
      <x:c r="N238" s="2" t="str">
        <x:v>not_invoked</x:v>
      </x:c>
      <x:c r="O238" s="9" t="str"/>
    </x:row>
    <x:row r="239" ht="18" customHeight="1">
      <x:c r="A239" s="2" t="str">
        <x:v>controlled_n4_threshold_1</x:v>
      </x:c>
      <x:c r="B239" s="2" t="str">
        <x:v>BPSO</x:v>
      </x:c>
      <x:c r="C239" s="2" t="n">
        <x:v>42</x:v>
      </x:c>
      <x:c r="D239" s="2" t="str">
        <x:v>no_congestion</x:v>
      </x:c>
      <x:c r="E239" s="2" t="n">
        <x:v>0</x:v>
      </x:c>
      <x:c r="F239" s="7" t="n">
        <x:v>59</x:v>
      </x:c>
      <x:c r="G239" s="7" t="n">
        <x:v>59</x:v>
      </x:c>
      <x:c r="H239" s="7" t="n">
        <x:f>IF(F239=0,"n.a.",100*(F239-G239)/F239)</x:f>
        <x:v>0</x:v>
      </x:c>
      <x:c r="I239" s="7" t="n">
        <x:f>F239-G239</x:f>
        <x:v>0</x:v>
      </x:c>
      <x:c r="J239" s="8" t="n">
        <x:v>0.5557612407407408</x:v>
      </x:c>
      <x:c r="K239" s="8" t="n">
        <x:v>0.5557612407407408</x:v>
      </x:c>
      <x:c r="L239" s="8" t="n">
        <x:v>0</x:v>
      </x:c>
      <x:c r="M239" s="7" t="n">
        <x:v>0</x:v>
      </x:c>
      <x:c r="N239" s="2" t="str">
        <x:v>not_invoked</x:v>
      </x:c>
      <x:c r="O239" s="9" t="str"/>
    </x:row>
    <x:row r="240" ht="18" customHeight="1">
      <x:c r="A240" s="2" t="str">
        <x:v>controlled_n4_threshold_1</x:v>
      </x:c>
      <x:c r="B240" s="2" t="str">
        <x:v>QAOA</x:v>
      </x:c>
      <x:c r="C240" s="2" t="n">
        <x:v>42</x:v>
      </x:c>
      <x:c r="D240" s="2" t="str">
        <x:v>no_congestion</x:v>
      </x:c>
      <x:c r="E240" s="2" t="n">
        <x:v>0</x:v>
      </x:c>
      <x:c r="F240" s="7" t="n">
        <x:v>59</x:v>
      </x:c>
      <x:c r="G240" s="7" t="n">
        <x:v>59</x:v>
      </x:c>
      <x:c r="H240" s="7" t="n">
        <x:f>IF(F240=0,"n.a.",100*(F240-G240)/F240)</x:f>
        <x:v>0</x:v>
      </x:c>
      <x:c r="I240" s="7" t="n">
        <x:f>F240-G240</x:f>
        <x:v>0</x:v>
      </x:c>
      <x:c r="J240" s="8" t="n">
        <x:v>0.5557612407407408</x:v>
      </x:c>
      <x:c r="K240" s="8" t="n">
        <x:v>0.5557612407407408</x:v>
      </x:c>
      <x:c r="L240" s="8" t="n">
        <x:v>0</x:v>
      </x:c>
      <x:c r="M240" s="7" t="n">
        <x:v>0</x:v>
      </x:c>
      <x:c r="N240" s="2" t="str">
        <x:v>not_invoked</x:v>
      </x:c>
      <x:c r="O240" s="9" t="str"/>
    </x:row>
    <x:row r="241" ht="18" customHeight="1">
      <x:c r="A241" s="2" t="str">
        <x:v>controlled_n4_threshold_1</x:v>
      </x:c>
      <x:c r="B241" s="2" t="str">
        <x:v>BPSO</x:v>
      </x:c>
      <x:c r="C241" s="2" t="n">
        <x:v>123</x:v>
      </x:c>
      <x:c r="D241" s="2" t="str">
        <x:v>no_congestion</x:v>
      </x:c>
      <x:c r="E241" s="2" t="n">
        <x:v>0</x:v>
      </x:c>
      <x:c r="F241" s="7" t="n">
        <x:v>59</x:v>
      </x:c>
      <x:c r="G241" s="7" t="n">
        <x:v>59</x:v>
      </x:c>
      <x:c r="H241" s="7" t="n">
        <x:f>IF(F241=0,"n.a.",100*(F241-G241)/F241)</x:f>
        <x:v>0</x:v>
      </x:c>
      <x:c r="I241" s="7" t="n">
        <x:f>F241-G241</x:f>
        <x:v>0</x:v>
      </x:c>
      <x:c r="J241" s="8" t="n">
        <x:v>0.5557612407407408</x:v>
      </x:c>
      <x:c r="K241" s="8" t="n">
        <x:v>0.5557612407407408</x:v>
      </x:c>
      <x:c r="L241" s="8" t="n">
        <x:v>0</x:v>
      </x:c>
      <x:c r="M241" s="7" t="n">
        <x:v>0</x:v>
      </x:c>
      <x:c r="N241" s="2" t="str">
        <x:v>not_invoked</x:v>
      </x:c>
      <x:c r="O241" s="9" t="str"/>
    </x:row>
    <x:row r="242" ht="18" customHeight="1">
      <x:c r="A242" s="2" t="str">
        <x:v>controlled_n4_threshold_1</x:v>
      </x:c>
      <x:c r="B242" s="2" t="str">
        <x:v>QAOA</x:v>
      </x:c>
      <x:c r="C242" s="2" t="n">
        <x:v>123</x:v>
      </x:c>
      <x:c r="D242" s="2" t="str">
        <x:v>no_congestion</x:v>
      </x:c>
      <x:c r="E242" s="2" t="n">
        <x:v>0</x:v>
      </x:c>
      <x:c r="F242" s="7" t="n">
        <x:v>59</x:v>
      </x:c>
      <x:c r="G242" s="7" t="n">
        <x:v>59</x:v>
      </x:c>
      <x:c r="H242" s="7" t="n">
        <x:f>IF(F242=0,"n.a.",100*(F242-G242)/F242)</x:f>
        <x:v>0</x:v>
      </x:c>
      <x:c r="I242" s="7" t="n">
        <x:f>F242-G242</x:f>
        <x:v>0</x:v>
      </x:c>
      <x:c r="J242" s="8" t="n">
        <x:v>0.5557612407407408</x:v>
      </x:c>
      <x:c r="K242" s="8" t="n">
        <x:v>0.5557612407407408</x:v>
      </x:c>
      <x:c r="L242" s="8" t="n">
        <x:v>0</x:v>
      </x:c>
      <x:c r="M242" s="7" t="n">
        <x:v>0</x:v>
      </x:c>
      <x:c r="N242" s="2" t="str">
        <x:v>not_invoked</x:v>
      </x:c>
      <x:c r="O242" s="9" t="str"/>
    </x:row>
    <x:row r="243" ht="18" customHeight="1">
      <x:c r="A243" s="2" t="str">
        <x:v>controlled_n4_threshold_1</x:v>
      </x:c>
      <x:c r="B243" s="2" t="str">
        <x:v>BPSO</x:v>
      </x:c>
      <x:c r="C243" s="2" t="n">
        <x:v>456</x:v>
      </x:c>
      <x:c r="D243" s="2" t="str">
        <x:v>no_congestion</x:v>
      </x:c>
      <x:c r="E243" s="2" t="n">
        <x:v>0</x:v>
      </x:c>
      <x:c r="F243" s="7" t="n">
        <x:v>59</x:v>
      </x:c>
      <x:c r="G243" s="7" t="n">
        <x:v>59</x:v>
      </x:c>
      <x:c r="H243" s="7" t="n">
        <x:f>IF(F243=0,"n.a.",100*(F243-G243)/F243)</x:f>
        <x:v>0</x:v>
      </x:c>
      <x:c r="I243" s="7" t="n">
        <x:f>F243-G243</x:f>
        <x:v>0</x:v>
      </x:c>
      <x:c r="J243" s="8" t="n">
        <x:v>0.5557612407407408</x:v>
      </x:c>
      <x:c r="K243" s="8" t="n">
        <x:v>0.5557612407407408</x:v>
      </x:c>
      <x:c r="L243" s="8" t="n">
        <x:v>0</x:v>
      </x:c>
      <x:c r="M243" s="7" t="n">
        <x:v>0</x:v>
      </x:c>
      <x:c r="N243" s="2" t="str">
        <x:v>not_invoked</x:v>
      </x:c>
      <x:c r="O243" s="9" t="str"/>
    </x:row>
    <x:row r="244" ht="18" customHeight="1">
      <x:c r="A244" s="2" t="str">
        <x:v>controlled_n4_threshold_1</x:v>
      </x:c>
      <x:c r="B244" s="2" t="str">
        <x:v>QAOA</x:v>
      </x:c>
      <x:c r="C244" s="2" t="n">
        <x:v>456</x:v>
      </x:c>
      <x:c r="D244" s="2" t="str">
        <x:v>no_congestion</x:v>
      </x:c>
      <x:c r="E244" s="2" t="n">
        <x:v>0</x:v>
      </x:c>
      <x:c r="F244" s="7" t="n">
        <x:v>59</x:v>
      </x:c>
      <x:c r="G244" s="7" t="n">
        <x:v>59</x:v>
      </x:c>
      <x:c r="H244" s="7" t="n">
        <x:f>IF(F244=0,"n.a.",100*(F244-G244)/F244)</x:f>
        <x:v>0</x:v>
      </x:c>
      <x:c r="I244" s="7" t="n">
        <x:f>F244-G244</x:f>
        <x:v>0</x:v>
      </x:c>
      <x:c r="J244" s="8" t="n">
        <x:v>0.5557612407407408</x:v>
      </x:c>
      <x:c r="K244" s="8" t="n">
        <x:v>0.5557612407407408</x:v>
      </x:c>
      <x:c r="L244" s="8" t="n">
        <x:v>0</x:v>
      </x:c>
      <x:c r="M244" s="7" t="n">
        <x:v>0</x:v>
      </x:c>
      <x:c r="N244" s="2" t="str">
        <x:v>not_invoked</x:v>
      </x:c>
      <x:c r="O244" s="9" t="str"/>
    </x:row>
    <x:row r="245" ht="18" customHeight="1">
      <x:c r="A245" s="2" t="str">
        <x:v>controlled_n4_threshold_1</x:v>
      </x:c>
      <x:c r="B245" s="2" t="str">
        <x:v>BPSO</x:v>
      </x:c>
      <x:c r="C245" s="2" t="n">
        <x:v>789</x:v>
      </x:c>
      <x:c r="D245" s="2" t="str">
        <x:v>no_congestion</x:v>
      </x:c>
      <x:c r="E245" s="2" t="n">
        <x:v>0</x:v>
      </x:c>
      <x:c r="F245" s="7" t="n">
        <x:v>59</x:v>
      </x:c>
      <x:c r="G245" s="7" t="n">
        <x:v>59</x:v>
      </x:c>
      <x:c r="H245" s="7" t="n">
        <x:f>IF(F245=0,"n.a.",100*(F245-G245)/F245)</x:f>
        <x:v>0</x:v>
      </x:c>
      <x:c r="I245" s="7" t="n">
        <x:f>F245-G245</x:f>
        <x:v>0</x:v>
      </x:c>
      <x:c r="J245" s="8" t="n">
        <x:v>0.5557612407407408</x:v>
      </x:c>
      <x:c r="K245" s="8" t="n">
        <x:v>0.5557612407407408</x:v>
      </x:c>
      <x:c r="L245" s="8" t="n">
        <x:v>0</x:v>
      </x:c>
      <x:c r="M245" s="7" t="n">
        <x:v>0</x:v>
      </x:c>
      <x:c r="N245" s="2" t="str">
        <x:v>not_invoked</x:v>
      </x:c>
      <x:c r="O245" s="9" t="str"/>
    </x:row>
    <x:row r="246" ht="18" customHeight="1">
      <x:c r="A246" s="2" t="str">
        <x:v>controlled_n4_threshold_1</x:v>
      </x:c>
      <x:c r="B246" s="2" t="str">
        <x:v>QAOA</x:v>
      </x:c>
      <x:c r="C246" s="2" t="n">
        <x:v>789</x:v>
      </x:c>
      <x:c r="D246" s="2" t="str">
        <x:v>no_congestion</x:v>
      </x:c>
      <x:c r="E246" s="2" t="n">
        <x:v>0</x:v>
      </x:c>
      <x:c r="F246" s="7" t="n">
        <x:v>59</x:v>
      </x:c>
      <x:c r="G246" s="7" t="n">
        <x:v>59</x:v>
      </x:c>
      <x:c r="H246" s="7" t="n">
        <x:f>IF(F246=0,"n.a.",100*(F246-G246)/F246)</x:f>
        <x:v>0</x:v>
      </x:c>
      <x:c r="I246" s="7" t="n">
        <x:f>F246-G246</x:f>
        <x:v>0</x:v>
      </x:c>
      <x:c r="J246" s="8" t="n">
        <x:v>0.5557612407407408</x:v>
      </x:c>
      <x:c r="K246" s="8" t="n">
        <x:v>0.5557612407407408</x:v>
      </x:c>
      <x:c r="L246" s="8" t="n">
        <x:v>0</x:v>
      </x:c>
      <x:c r="M246" s="7" t="n">
        <x:v>0</x:v>
      </x:c>
      <x:c r="N246" s="2" t="str">
        <x:v>not_invoked</x:v>
      </x:c>
      <x:c r="O246" s="9" t="str"/>
    </x:row>
    <x:row r="247" ht="18" customHeight="1">
      <x:c r="A247" s="2" t="str">
        <x:v>controlled_n4_threshold_1</x:v>
      </x:c>
      <x:c r="B247" s="2" t="str">
        <x:v>BPSO</x:v>
      </x:c>
      <x:c r="C247" s="2" t="n">
        <x:v>2026</x:v>
      </x:c>
      <x:c r="D247" s="2" t="str">
        <x:v>no_congestion</x:v>
      </x:c>
      <x:c r="E247" s="2" t="n">
        <x:v>0</x:v>
      </x:c>
      <x:c r="F247" s="7" t="n">
        <x:v>59</x:v>
      </x:c>
      <x:c r="G247" s="7" t="n">
        <x:v>59</x:v>
      </x:c>
      <x:c r="H247" s="7" t="n">
        <x:f>IF(F247=0,"n.a.",100*(F247-G247)/F247)</x:f>
        <x:v>0</x:v>
      </x:c>
      <x:c r="I247" s="7" t="n">
        <x:f>F247-G247</x:f>
        <x:v>0</x:v>
      </x:c>
      <x:c r="J247" s="8" t="n">
        <x:v>0.5557612407407408</x:v>
      </x:c>
      <x:c r="K247" s="8" t="n">
        <x:v>0.5557612407407408</x:v>
      </x:c>
      <x:c r="L247" s="8" t="n">
        <x:v>0</x:v>
      </x:c>
      <x:c r="M247" s="7" t="n">
        <x:v>0</x:v>
      </x:c>
      <x:c r="N247" s="2" t="str">
        <x:v>not_invoked</x:v>
      </x:c>
      <x:c r="O247" s="9" t="str"/>
    </x:row>
    <x:row r="248" ht="18" customHeight="1">
      <x:c r="A248" s="2" t="str">
        <x:v>controlled_n4_threshold_1</x:v>
      </x:c>
      <x:c r="B248" s="2" t="str">
        <x:v>QAOA</x:v>
      </x:c>
      <x:c r="C248" s="2" t="n">
        <x:v>2026</x:v>
      </x:c>
      <x:c r="D248" s="2" t="str">
        <x:v>no_congestion</x:v>
      </x:c>
      <x:c r="E248" s="2" t="n">
        <x:v>0</x:v>
      </x:c>
      <x:c r="F248" s="7" t="n">
        <x:v>59</x:v>
      </x:c>
      <x:c r="G248" s="7" t="n">
        <x:v>59</x:v>
      </x:c>
      <x:c r="H248" s="7" t="n">
        <x:f>IF(F248=0,"n.a.",100*(F248-G248)/F248)</x:f>
        <x:v>0</x:v>
      </x:c>
      <x:c r="I248" s="7" t="n">
        <x:f>F248-G248</x:f>
        <x:v>0</x:v>
      </x:c>
      <x:c r="J248" s="8" t="n">
        <x:v>0.5557612407407408</x:v>
      </x:c>
      <x:c r="K248" s="8" t="n">
        <x:v>0.5557612407407408</x:v>
      </x:c>
      <x:c r="L248" s="8" t="n">
        <x:v>0</x:v>
      </x:c>
      <x:c r="M248" s="7" t="n">
        <x:v>0</x:v>
      </x:c>
      <x:c r="N248" s="2" t="str">
        <x:v>not_invoked</x:v>
      </x:c>
      <x:c r="O248" s="9" t="str"/>
    </x:row>
    <x:row r="249" ht="18" customHeight="1">
      <x:c r="A249" s="2" t="str">
        <x:v>controlled_n4_threshold_2</x:v>
      </x:c>
      <x:c r="B249" s="2" t="str">
        <x:v>Unmanaged</x:v>
      </x:c>
      <x:c r="C249" s="2"/>
      <x:c r="D249" s="2" t="str">
        <x:v>baseline</x:v>
      </x:c>
      <x:c r="E249" s="2" t="n">
        <x:v>0</x:v>
      </x:c>
      <x:c r="F249" s="7" t="n">
        <x:v>60</x:v>
      </x:c>
      <x:c r="G249" s="7" t="n">
        <x:v>60</x:v>
      </x:c>
      <x:c r="H249" s="7" t="n">
        <x:f>IF(F249=0,"n.a.",100*(F249-G249)/F249)</x:f>
        <x:v>0</x:v>
      </x:c>
      <x:c r="I249" s="7" t="n">
        <x:f>F249-G249</x:f>
        <x:v>0</x:v>
      </x:c>
      <x:c r="J249" s="8"/>
      <x:c r="K249" s="8" t="n">
        <x:v>0.561712962962963</x:v>
      </x:c>
      <x:c r="L249" s="8"/>
      <x:c r="M249" s="7"/>
      <x:c r="N249" s="2" t="str">
        <x:v>unmanaged_input</x:v>
      </x:c>
      <x:c r="O249" s="9"/>
    </x:row>
    <x:row r="250" ht="18" customHeight="1">
      <x:c r="A250" s="2" t="str">
        <x:v>controlled_n4_threshold_2</x:v>
      </x:c>
      <x:c r="B250" s="2" t="str">
        <x:v>Exact J</x:v>
      </x:c>
      <x:c r="C250" s="2"/>
      <x:c r="D250" s="2" t="str">
        <x:v>no_congestion</x:v>
      </x:c>
      <x:c r="E250" s="2" t="n">
        <x:v>0</x:v>
      </x:c>
      <x:c r="F250" s="7" t="n">
        <x:v>60</x:v>
      </x:c>
      <x:c r="G250" s="7" t="n">
        <x:v>60</x:v>
      </x:c>
      <x:c r="H250" s="7" t="n">
        <x:f>IF(F250=0,"n.a.",100*(F250-G250)/F250)</x:f>
        <x:v>0</x:v>
      </x:c>
      <x:c r="I250" s="7" t="n">
        <x:f>F250-G250</x:f>
        <x:v>0</x:v>
      </x:c>
      <x:c r="J250" s="8" t="n">
        <x:v>0.561712962962963</x:v>
      </x:c>
      <x:c r="K250" s="8" t="n">
        <x:v>0.561712962962963</x:v>
      </x:c>
      <x:c r="L250" s="8" t="n">
        <x:v>0</x:v>
      </x:c>
      <x:c r="M250" s="7" t="n">
        <x:v>0</x:v>
      </x:c>
      <x:c r="N250" s="2" t="str">
        <x:v>not_invoked</x:v>
      </x:c>
      <x:c r="O250" s="9" t="str"/>
    </x:row>
    <x:row r="251" ht="18" customHeight="1">
      <x:c r="A251" s="2" t="str">
        <x:v>controlled_n4_threshold_2</x:v>
      </x:c>
      <x:c r="B251" s="2" t="str">
        <x:v>Exact peak</x:v>
      </x:c>
      <x:c r="C251" s="2"/>
      <x:c r="D251" s="2" t="str">
        <x:v>no_congestion</x:v>
      </x:c>
      <x:c r="E251" s="2" t="n">
        <x:v>0</x:v>
      </x:c>
      <x:c r="F251" s="7" t="n">
        <x:v>60</x:v>
      </x:c>
      <x:c r="G251" s="7" t="n">
        <x:v>60</x:v>
      </x:c>
      <x:c r="H251" s="7" t="n">
        <x:f>IF(F251=0,"n.a.",100*(F251-G251)/F251)</x:f>
        <x:v>0</x:v>
      </x:c>
      <x:c r="I251" s="7" t="n">
        <x:f>F251-G251</x:f>
        <x:v>0</x:v>
      </x:c>
      <x:c r="J251" s="8" t="n">
        <x:v>0.561712962962963</x:v>
      </x:c>
      <x:c r="K251" s="8" t="n">
        <x:v>0.561712962962963</x:v>
      </x:c>
      <x:c r="L251" s="8" t="n">
        <x:v>0</x:v>
      </x:c>
      <x:c r="M251" s="7" t="n">
        <x:v>0</x:v>
      </x:c>
      <x:c r="N251" s="2" t="str">
        <x:v>not_invoked</x:v>
      </x:c>
      <x:c r="O251" s="9" t="str"/>
    </x:row>
    <x:row r="252" ht="18" customHeight="1">
      <x:c r="A252" s="2" t="str">
        <x:v>controlled_n4_threshold_2</x:v>
      </x:c>
      <x:c r="B252" s="2" t="str">
        <x:v>BPSO</x:v>
      </x:c>
      <x:c r="C252" s="2" t="n">
        <x:v>42</x:v>
      </x:c>
      <x:c r="D252" s="2" t="str">
        <x:v>no_congestion</x:v>
      </x:c>
      <x:c r="E252" s="2" t="n">
        <x:v>0</x:v>
      </x:c>
      <x:c r="F252" s="7" t="n">
        <x:v>60</x:v>
      </x:c>
      <x:c r="G252" s="7" t="n">
        <x:v>60</x:v>
      </x:c>
      <x:c r="H252" s="7" t="n">
        <x:f>IF(F252=0,"n.a.",100*(F252-G252)/F252)</x:f>
        <x:v>0</x:v>
      </x:c>
      <x:c r="I252" s="7" t="n">
        <x:f>F252-G252</x:f>
        <x:v>0</x:v>
      </x:c>
      <x:c r="J252" s="8" t="n">
        <x:v>0.561712962962963</x:v>
      </x:c>
      <x:c r="K252" s="8" t="n">
        <x:v>0.561712962962963</x:v>
      </x:c>
      <x:c r="L252" s="8" t="n">
        <x:v>0</x:v>
      </x:c>
      <x:c r="M252" s="7" t="n">
        <x:v>0</x:v>
      </x:c>
      <x:c r="N252" s="2" t="str">
        <x:v>not_invoked</x:v>
      </x:c>
      <x:c r="O252" s="9" t="str"/>
    </x:row>
    <x:row r="253" ht="18" customHeight="1">
      <x:c r="A253" s="2" t="str">
        <x:v>controlled_n4_threshold_2</x:v>
      </x:c>
      <x:c r="B253" s="2" t="str">
        <x:v>QAOA</x:v>
      </x:c>
      <x:c r="C253" s="2" t="n">
        <x:v>42</x:v>
      </x:c>
      <x:c r="D253" s="2" t="str">
        <x:v>no_congestion</x:v>
      </x:c>
      <x:c r="E253" s="2" t="n">
        <x:v>0</x:v>
      </x:c>
      <x:c r="F253" s="7" t="n">
        <x:v>60</x:v>
      </x:c>
      <x:c r="G253" s="7" t="n">
        <x:v>60</x:v>
      </x:c>
      <x:c r="H253" s="7" t="n">
        <x:f>IF(F253=0,"n.a.",100*(F253-G253)/F253)</x:f>
        <x:v>0</x:v>
      </x:c>
      <x:c r="I253" s="7" t="n">
        <x:f>F253-G253</x:f>
        <x:v>0</x:v>
      </x:c>
      <x:c r="J253" s="8" t="n">
        <x:v>0.561712962962963</x:v>
      </x:c>
      <x:c r="K253" s="8" t="n">
        <x:v>0.561712962962963</x:v>
      </x:c>
      <x:c r="L253" s="8" t="n">
        <x:v>0</x:v>
      </x:c>
      <x:c r="M253" s="7" t="n">
        <x:v>0</x:v>
      </x:c>
      <x:c r="N253" s="2" t="str">
        <x:v>not_invoked</x:v>
      </x:c>
      <x:c r="O253" s="9" t="str"/>
    </x:row>
    <x:row r="254" ht="18" customHeight="1">
      <x:c r="A254" s="2" t="str">
        <x:v>controlled_n4_threshold_2</x:v>
      </x:c>
      <x:c r="B254" s="2" t="str">
        <x:v>BPSO</x:v>
      </x:c>
      <x:c r="C254" s="2" t="n">
        <x:v>123</x:v>
      </x:c>
      <x:c r="D254" s="2" t="str">
        <x:v>no_congestion</x:v>
      </x:c>
      <x:c r="E254" s="2" t="n">
        <x:v>0</x:v>
      </x:c>
      <x:c r="F254" s="7" t="n">
        <x:v>60</x:v>
      </x:c>
      <x:c r="G254" s="7" t="n">
        <x:v>60</x:v>
      </x:c>
      <x:c r="H254" s="7" t="n">
        <x:f>IF(F254=0,"n.a.",100*(F254-G254)/F254)</x:f>
        <x:v>0</x:v>
      </x:c>
      <x:c r="I254" s="7" t="n">
        <x:f>F254-G254</x:f>
        <x:v>0</x:v>
      </x:c>
      <x:c r="J254" s="8" t="n">
        <x:v>0.561712962962963</x:v>
      </x:c>
      <x:c r="K254" s="8" t="n">
        <x:v>0.561712962962963</x:v>
      </x:c>
      <x:c r="L254" s="8" t="n">
        <x:v>0</x:v>
      </x:c>
      <x:c r="M254" s="7" t="n">
        <x:v>0</x:v>
      </x:c>
      <x:c r="N254" s="2" t="str">
        <x:v>not_invoked</x:v>
      </x:c>
      <x:c r="O254" s="9" t="str"/>
    </x:row>
    <x:row r="255" ht="18" customHeight="1">
      <x:c r="A255" s="2" t="str">
        <x:v>controlled_n4_threshold_2</x:v>
      </x:c>
      <x:c r="B255" s="2" t="str">
        <x:v>QAOA</x:v>
      </x:c>
      <x:c r="C255" s="2" t="n">
        <x:v>123</x:v>
      </x:c>
      <x:c r="D255" s="2" t="str">
        <x:v>no_congestion</x:v>
      </x:c>
      <x:c r="E255" s="2" t="n">
        <x:v>0</x:v>
      </x:c>
      <x:c r="F255" s="7" t="n">
        <x:v>60</x:v>
      </x:c>
      <x:c r="G255" s="7" t="n">
        <x:v>60</x:v>
      </x:c>
      <x:c r="H255" s="7" t="n">
        <x:f>IF(F255=0,"n.a.",100*(F255-G255)/F255)</x:f>
        <x:v>0</x:v>
      </x:c>
      <x:c r="I255" s="7" t="n">
        <x:f>F255-G255</x:f>
        <x:v>0</x:v>
      </x:c>
      <x:c r="J255" s="8" t="n">
        <x:v>0.561712962962963</x:v>
      </x:c>
      <x:c r="K255" s="8" t="n">
        <x:v>0.561712962962963</x:v>
      </x:c>
      <x:c r="L255" s="8" t="n">
        <x:v>0</x:v>
      </x:c>
      <x:c r="M255" s="7" t="n">
        <x:v>0</x:v>
      </x:c>
      <x:c r="N255" s="2" t="str">
        <x:v>not_invoked</x:v>
      </x:c>
      <x:c r="O255" s="9" t="str"/>
    </x:row>
    <x:row r="256" ht="18" customHeight="1">
      <x:c r="A256" s="2" t="str">
        <x:v>controlled_n4_threshold_2</x:v>
      </x:c>
      <x:c r="B256" s="2" t="str">
        <x:v>BPSO</x:v>
      </x:c>
      <x:c r="C256" s="2" t="n">
        <x:v>456</x:v>
      </x:c>
      <x:c r="D256" s="2" t="str">
        <x:v>no_congestion</x:v>
      </x:c>
      <x:c r="E256" s="2" t="n">
        <x:v>0</x:v>
      </x:c>
      <x:c r="F256" s="7" t="n">
        <x:v>60</x:v>
      </x:c>
      <x:c r="G256" s="7" t="n">
        <x:v>60</x:v>
      </x:c>
      <x:c r="H256" s="7" t="n">
        <x:f>IF(F256=0,"n.a.",100*(F256-G256)/F256)</x:f>
        <x:v>0</x:v>
      </x:c>
      <x:c r="I256" s="7" t="n">
        <x:f>F256-G256</x:f>
        <x:v>0</x:v>
      </x:c>
      <x:c r="J256" s="8" t="n">
        <x:v>0.561712962962963</x:v>
      </x:c>
      <x:c r="K256" s="8" t="n">
        <x:v>0.561712962962963</x:v>
      </x:c>
      <x:c r="L256" s="8" t="n">
        <x:v>0</x:v>
      </x:c>
      <x:c r="M256" s="7" t="n">
        <x:v>0</x:v>
      </x:c>
      <x:c r="N256" s="2" t="str">
        <x:v>not_invoked</x:v>
      </x:c>
      <x:c r="O256" s="9" t="str"/>
    </x:row>
    <x:row r="257" ht="18" customHeight="1">
      <x:c r="A257" s="2" t="str">
        <x:v>controlled_n4_threshold_2</x:v>
      </x:c>
      <x:c r="B257" s="2" t="str">
        <x:v>QAOA</x:v>
      </x:c>
      <x:c r="C257" s="2" t="n">
        <x:v>456</x:v>
      </x:c>
      <x:c r="D257" s="2" t="str">
        <x:v>no_congestion</x:v>
      </x:c>
      <x:c r="E257" s="2" t="n">
        <x:v>0</x:v>
      </x:c>
      <x:c r="F257" s="7" t="n">
        <x:v>60</x:v>
      </x:c>
      <x:c r="G257" s="7" t="n">
        <x:v>60</x:v>
      </x:c>
      <x:c r="H257" s="7" t="n">
        <x:f>IF(F257=0,"n.a.",100*(F257-G257)/F257)</x:f>
        <x:v>0</x:v>
      </x:c>
      <x:c r="I257" s="7" t="n">
        <x:f>F257-G257</x:f>
        <x:v>0</x:v>
      </x:c>
      <x:c r="J257" s="8" t="n">
        <x:v>0.561712962962963</x:v>
      </x:c>
      <x:c r="K257" s="8" t="n">
        <x:v>0.561712962962963</x:v>
      </x:c>
      <x:c r="L257" s="8" t="n">
        <x:v>0</x:v>
      </x:c>
      <x:c r="M257" s="7" t="n">
        <x:v>0</x:v>
      </x:c>
      <x:c r="N257" s="2" t="str">
        <x:v>not_invoked</x:v>
      </x:c>
      <x:c r="O257" s="9" t="str"/>
    </x:row>
    <x:row r="258" ht="18" customHeight="1">
      <x:c r="A258" s="2" t="str">
        <x:v>controlled_n4_threshold_2</x:v>
      </x:c>
      <x:c r="B258" s="2" t="str">
        <x:v>BPSO</x:v>
      </x:c>
      <x:c r="C258" s="2" t="n">
        <x:v>789</x:v>
      </x:c>
      <x:c r="D258" s="2" t="str">
        <x:v>no_congestion</x:v>
      </x:c>
      <x:c r="E258" s="2" t="n">
        <x:v>0</x:v>
      </x:c>
      <x:c r="F258" s="7" t="n">
        <x:v>60</x:v>
      </x:c>
      <x:c r="G258" s="7" t="n">
        <x:v>60</x:v>
      </x:c>
      <x:c r="H258" s="7" t="n">
        <x:f>IF(F258=0,"n.a.",100*(F258-G258)/F258)</x:f>
        <x:v>0</x:v>
      </x:c>
      <x:c r="I258" s="7" t="n">
        <x:f>F258-G258</x:f>
        <x:v>0</x:v>
      </x:c>
      <x:c r="J258" s="8" t="n">
        <x:v>0.561712962962963</x:v>
      </x:c>
      <x:c r="K258" s="8" t="n">
        <x:v>0.561712962962963</x:v>
      </x:c>
      <x:c r="L258" s="8" t="n">
        <x:v>0</x:v>
      </x:c>
      <x:c r="M258" s="7" t="n">
        <x:v>0</x:v>
      </x:c>
      <x:c r="N258" s="2" t="str">
        <x:v>not_invoked</x:v>
      </x:c>
      <x:c r="O258" s="9" t="str"/>
    </x:row>
    <x:row r="259" ht="18" customHeight="1">
      <x:c r="A259" s="2" t="str">
        <x:v>controlled_n4_threshold_2</x:v>
      </x:c>
      <x:c r="B259" s="2" t="str">
        <x:v>QAOA</x:v>
      </x:c>
      <x:c r="C259" s="2" t="n">
        <x:v>789</x:v>
      </x:c>
      <x:c r="D259" s="2" t="str">
        <x:v>no_congestion</x:v>
      </x:c>
      <x:c r="E259" s="2" t="n">
        <x:v>0</x:v>
      </x:c>
      <x:c r="F259" s="7" t="n">
        <x:v>60</x:v>
      </x:c>
      <x:c r="G259" s="7" t="n">
        <x:v>60</x:v>
      </x:c>
      <x:c r="H259" s="7" t="n">
        <x:f>IF(F259=0,"n.a.",100*(F259-G259)/F259)</x:f>
        <x:v>0</x:v>
      </x:c>
      <x:c r="I259" s="7" t="n">
        <x:f>F259-G259</x:f>
        <x:v>0</x:v>
      </x:c>
      <x:c r="J259" s="8" t="n">
        <x:v>0.561712962962963</x:v>
      </x:c>
      <x:c r="K259" s="8" t="n">
        <x:v>0.561712962962963</x:v>
      </x:c>
      <x:c r="L259" s="8" t="n">
        <x:v>0</x:v>
      </x:c>
      <x:c r="M259" s="7" t="n">
        <x:v>0</x:v>
      </x:c>
      <x:c r="N259" s="2" t="str">
        <x:v>not_invoked</x:v>
      </x:c>
      <x:c r="O259" s="9" t="str"/>
    </x:row>
    <x:row r="260" ht="18" customHeight="1">
      <x:c r="A260" s="2" t="str">
        <x:v>controlled_n4_threshold_2</x:v>
      </x:c>
      <x:c r="B260" s="2" t="str">
        <x:v>BPSO</x:v>
      </x:c>
      <x:c r="C260" s="2" t="n">
        <x:v>2026</x:v>
      </x:c>
      <x:c r="D260" s="2" t="str">
        <x:v>no_congestion</x:v>
      </x:c>
      <x:c r="E260" s="2" t="n">
        <x:v>0</x:v>
      </x:c>
      <x:c r="F260" s="7" t="n">
        <x:v>60</x:v>
      </x:c>
      <x:c r="G260" s="7" t="n">
        <x:v>60</x:v>
      </x:c>
      <x:c r="H260" s="7" t="n">
        <x:f>IF(F260=0,"n.a.",100*(F260-G260)/F260)</x:f>
        <x:v>0</x:v>
      </x:c>
      <x:c r="I260" s="7" t="n">
        <x:f>F260-G260</x:f>
        <x:v>0</x:v>
      </x:c>
      <x:c r="J260" s="8" t="n">
        <x:v>0.561712962962963</x:v>
      </x:c>
      <x:c r="K260" s="8" t="n">
        <x:v>0.561712962962963</x:v>
      </x:c>
      <x:c r="L260" s="8" t="n">
        <x:v>0</x:v>
      </x:c>
      <x:c r="M260" s="7" t="n">
        <x:v>0</x:v>
      </x:c>
      <x:c r="N260" s="2" t="str">
        <x:v>not_invoked</x:v>
      </x:c>
      <x:c r="O260" s="9" t="str"/>
    </x:row>
    <x:row r="261" ht="18" customHeight="1">
      <x:c r="A261" s="2" t="str">
        <x:v>controlled_n4_threshold_2</x:v>
      </x:c>
      <x:c r="B261" s="2" t="str">
        <x:v>QAOA</x:v>
      </x:c>
      <x:c r="C261" s="2" t="n">
        <x:v>2026</x:v>
      </x:c>
      <x:c r="D261" s="2" t="str">
        <x:v>no_congestion</x:v>
      </x:c>
      <x:c r="E261" s="2" t="n">
        <x:v>0</x:v>
      </x:c>
      <x:c r="F261" s="7" t="n">
        <x:v>60</x:v>
      </x:c>
      <x:c r="G261" s="7" t="n">
        <x:v>60</x:v>
      </x:c>
      <x:c r="H261" s="7" t="n">
        <x:f>IF(F261=0,"n.a.",100*(F261-G261)/F261)</x:f>
        <x:v>0</x:v>
      </x:c>
      <x:c r="I261" s="7" t="n">
        <x:f>F261-G261</x:f>
        <x:v>0</x:v>
      </x:c>
      <x:c r="J261" s="8" t="n">
        <x:v>0.561712962962963</x:v>
      </x:c>
      <x:c r="K261" s="8" t="n">
        <x:v>0.561712962962963</x:v>
      </x:c>
      <x:c r="L261" s="8" t="n">
        <x:v>0</x:v>
      </x:c>
      <x:c r="M261" s="7" t="n">
        <x:v>0</x:v>
      </x:c>
      <x:c r="N261" s="2" t="str">
        <x:v>not_invoked</x:v>
      </x:c>
      <x:c r="O261" s="9" t="str"/>
    </x:row>
    <x:row r="262" ht="18" customHeight="1">
      <x:c r="A262" s="2" t="str">
        <x:v>controlled_n4_threshold_3</x:v>
      </x:c>
      <x:c r="B262" s="2" t="str">
        <x:v>Unmanaged</x:v>
      </x:c>
      <x:c r="C262" s="2"/>
      <x:c r="D262" s="2" t="str">
        <x:v>baseline</x:v>
      </x:c>
      <x:c r="E262" s="2" t="n">
        <x:v>2</x:v>
      </x:c>
      <x:c r="F262" s="7" t="n">
        <x:v>61</x:v>
      </x:c>
      <x:c r="G262" s="7" t="n">
        <x:v>61</x:v>
      </x:c>
      <x:c r="H262" s="7" t="n">
        <x:f>IF(F262=0,"n.a.",100*(F262-G262)/F262)</x:f>
        <x:v>0</x:v>
      </x:c>
      <x:c r="I262" s="7" t="n">
        <x:f>F262-G262</x:f>
        <x:v>0</x:v>
      </x:c>
      <x:c r="J262" s="8"/>
      <x:c r="K262" s="8" t="n">
        <x:v>0.26207231258037555</x:v>
      </x:c>
      <x:c r="L262" s="8"/>
      <x:c r="M262" s="7"/>
      <x:c r="N262" s="2" t="str">
        <x:v>unmanaged_input</x:v>
      </x:c>
      <x:c r="O262" s="9"/>
    </x:row>
    <x:row r="263" ht="18" customHeight="1">
      <x:c r="A263" s="2" t="str">
        <x:v>controlled_n4_threshold_3</x:v>
      </x:c>
      <x:c r="B263" s="2" t="str">
        <x:v>Exact J</x:v>
      </x:c>
      <x:c r="C263" s="2"/>
      <x:c r="D263" s="2" t="str">
        <x:v>success</x:v>
      </x:c>
      <x:c r="E263" s="2" t="n">
        <x:v>2</x:v>
      </x:c>
      <x:c r="F263" s="7" t="n">
        <x:v>61</x:v>
      </x:c>
      <x:c r="G263" s="7" t="n">
        <x:v>48.5</x:v>
      </x:c>
      <x:c r="H263" s="7" t="n">
        <x:f>IF(F263=0,"n.a.",100*(F263-G263)/F263)</x:f>
        <x:v>20.491803278688526</x:v>
      </x:c>
      <x:c r="I263" s="7" t="n">
        <x:f>F263-G263</x:f>
        <x:v>12.5</x:v>
      </x:c>
      <x:c r="J263" s="8" t="n">
        <x:v>0.26207231258037555</x:v>
      </x:c>
      <x:c r="K263" s="8" t="n">
        <x:v>0.26207231258037555</x:v>
      </x:c>
      <x:c r="L263" s="8" t="n">
        <x:v>0</x:v>
      </x:c>
      <x:c r="M263" s="7"/>
      <x:c r="N263" s="2" t="str">
        <x:v>exhaustive_enumeration</x:v>
      </x:c>
      <x:c r="O263" s="9" t="str">
        <x:v>01</x:v>
      </x:c>
    </x:row>
    <x:row r="264" ht="18" customHeight="1">
      <x:c r="A264" s="2" t="str">
        <x:v>controlled_n4_threshold_3</x:v>
      </x:c>
      <x:c r="B264" s="2" t="str">
        <x:v>Exact peak</x:v>
      </x:c>
      <x:c r="C264" s="2"/>
      <x:c r="D264" s="2" t="str">
        <x:v>success</x:v>
      </x:c>
      <x:c r="E264" s="2" t="n">
        <x:v>2</x:v>
      </x:c>
      <x:c r="F264" s="7" t="n">
        <x:v>61</x:v>
      </x:c>
      <x:c r="G264" s="7" t="n">
        <x:v>48.5</x:v>
      </x:c>
      <x:c r="H264" s="7" t="n">
        <x:f>IF(F264=0,"n.a.",100*(F264-G264)/F264)</x:f>
        <x:v>20.491803278688526</x:v>
      </x:c>
      <x:c r="I264" s="7" t="n">
        <x:f>F264-G264</x:f>
        <x:v>12.5</x:v>
      </x:c>
      <x:c r="J264" s="8" t="n">
        <x:v>0.26207231258037555</x:v>
      </x:c>
      <x:c r="K264" s="8" t="n">
        <x:v>0.26207231258037555</x:v>
      </x:c>
      <x:c r="L264" s="8" t="n">
        <x:v>0</x:v>
      </x:c>
      <x:c r="M264" s="7"/>
      <x:c r="N264" s="2" t="str">
        <x:v>exhaustive_enumeration</x:v>
      </x:c>
      <x:c r="O264" s="9" t="str">
        <x:v>01</x:v>
      </x:c>
    </x:row>
    <x:row r="265" ht="18" customHeight="1">
      <x:c r="A265" s="2" t="str">
        <x:v>controlled_n4_threshold_3</x:v>
      </x:c>
      <x:c r="B265" s="2" t="str">
        <x:v>BPSO</x:v>
      </x:c>
      <x:c r="C265" s="2" t="n">
        <x:v>42</x:v>
      </x:c>
      <x:c r="D265" s="2" t="str">
        <x:v>success</x:v>
      </x:c>
      <x:c r="E265" s="2" t="n">
        <x:v>2</x:v>
      </x:c>
      <x:c r="F265" s="7" t="n">
        <x:v>61</x:v>
      </x:c>
      <x:c r="G265" s="7" t="n">
        <x:v>48.5</x:v>
      </x:c>
      <x:c r="H265" s="7" t="n">
        <x:f>IF(F265=0,"n.a.",100*(F265-G265)/F265)</x:f>
        <x:v>20.491803278688526</x:v>
      </x:c>
      <x:c r="I265" s="7" t="n">
        <x:f>F265-G265</x:f>
        <x:v>12.5</x:v>
      </x:c>
      <x:c r="J265" s="8" t="n">
        <x:v>0.26207231258037555</x:v>
      </x:c>
      <x:c r="K265" s="8" t="n">
        <x:v>0.26207231258037555</x:v>
      </x:c>
      <x:c r="L265" s="8" t="n">
        <x:v>0</x:v>
      </x:c>
      <x:c r="M265" s="7" t="n">
        <x:v>13.808200004859827</x:v>
      </x:c>
      <x:c r="N265" s="2" t="str">
        <x:v>repository_particle_dynamics_on_frozen_qubo</x:v>
      </x:c>
      <x:c r="O265" s="9" t="str">
        <x:v>10</x:v>
      </x:c>
    </x:row>
    <x:row r="266" ht="18" customHeight="1">
      <x:c r="A266" s="2" t="str">
        <x:v>controlled_n4_threshold_3</x:v>
      </x:c>
      <x:c r="B266" s="2" t="str">
        <x:v>QAOA</x:v>
      </x:c>
      <x:c r="C266" s="2" t="n">
        <x:v>42</x:v>
      </x:c>
      <x:c r="D266" s="2" t="str">
        <x:v>success</x:v>
      </x:c>
      <x:c r="E266" s="2" t="n">
        <x:v>2</x:v>
      </x:c>
      <x:c r="F266" s="7" t="n">
        <x:v>61</x:v>
      </x:c>
      <x:c r="G266" s="7" t="n">
        <x:v>48.5</x:v>
      </x:c>
      <x:c r="H266" s="7" t="n">
        <x:f>IF(F266=0,"n.a.",100*(F266-G266)/F266)</x:f>
        <x:v>20.491803278688526</x:v>
      </x:c>
      <x:c r="I266" s="7" t="n">
        <x:f>F266-G266</x:f>
        <x:v>12.5</x:v>
      </x:c>
      <x:c r="J266" s="8" t="n">
        <x:v>0.26207231258037555</x:v>
      </x:c>
      <x:c r="K266" s="8" t="n">
        <x:v>0.26207231258037555</x:v>
      </x:c>
      <x:c r="L266" s="8" t="n">
        <x:v>0</x:v>
      </x:c>
      <x:c r="M266" s="7" t="n">
        <x:v>122.53670000063721</x:v>
      </x:c>
      <x:c r="N266" s="2" t="str">
        <x:v>qiskit.primitives.StatevectorSampler</x:v>
      </x:c>
      <x:c r="O266" s="9" t="str">
        <x:v>01</x:v>
      </x:c>
    </x:row>
    <x:row r="267" ht="18" customHeight="1">
      <x:c r="A267" s="2" t="str">
        <x:v>controlled_n4_threshold_3</x:v>
      </x:c>
      <x:c r="B267" s="2" t="str">
        <x:v>BPSO</x:v>
      </x:c>
      <x:c r="C267" s="2" t="n">
        <x:v>123</x:v>
      </x:c>
      <x:c r="D267" s="2" t="str">
        <x:v>success</x:v>
      </x:c>
      <x:c r="E267" s="2" t="n">
        <x:v>2</x:v>
      </x:c>
      <x:c r="F267" s="7" t="n">
        <x:v>61</x:v>
      </x:c>
      <x:c r="G267" s="7" t="n">
        <x:v>48.5</x:v>
      </x:c>
      <x:c r="H267" s="7" t="n">
        <x:f>IF(F267=0,"n.a.",100*(F267-G267)/F267)</x:f>
        <x:v>20.491803278688526</x:v>
      </x:c>
      <x:c r="I267" s="7" t="n">
        <x:f>F267-G267</x:f>
        <x:v>12.5</x:v>
      </x:c>
      <x:c r="J267" s="8" t="n">
        <x:v>0.26207231258037555</x:v>
      </x:c>
      <x:c r="K267" s="8" t="n">
        <x:v>0.26207231258037555</x:v>
      </x:c>
      <x:c r="L267" s="8" t="n">
        <x:v>0</x:v>
      </x:c>
      <x:c r="M267" s="7" t="n">
        <x:v>14.532500004861504</x:v>
      </x:c>
      <x:c r="N267" s="2" t="str">
        <x:v>repository_particle_dynamics_on_frozen_qubo</x:v>
      </x:c>
      <x:c r="O267" s="9" t="str">
        <x:v>10</x:v>
      </x:c>
    </x:row>
    <x:row r="268" ht="18" customHeight="1">
      <x:c r="A268" s="2" t="str">
        <x:v>controlled_n4_threshold_3</x:v>
      </x:c>
      <x:c r="B268" s="2" t="str">
        <x:v>QAOA</x:v>
      </x:c>
      <x:c r="C268" s="2" t="n">
        <x:v>123</x:v>
      </x:c>
      <x:c r="D268" s="2" t="str">
        <x:v>success</x:v>
      </x:c>
      <x:c r="E268" s="2" t="n">
        <x:v>2</x:v>
      </x:c>
      <x:c r="F268" s="7" t="n">
        <x:v>61</x:v>
      </x:c>
      <x:c r="G268" s="7" t="n">
        <x:v>48.5</x:v>
      </x:c>
      <x:c r="H268" s="7" t="n">
        <x:f>IF(F268=0,"n.a.",100*(F268-G268)/F268)</x:f>
        <x:v>20.491803278688526</x:v>
      </x:c>
      <x:c r="I268" s="7" t="n">
        <x:f>F268-G268</x:f>
        <x:v>12.5</x:v>
      </x:c>
      <x:c r="J268" s="8" t="n">
        <x:v>0.26207231258037555</x:v>
      </x:c>
      <x:c r="K268" s="8" t="n">
        <x:v>0.26207231258037555</x:v>
      </x:c>
      <x:c r="L268" s="8" t="n">
        <x:v>0</x:v>
      </x:c>
      <x:c r="M268" s="7" t="n">
        <x:v>65.86539999989327</x:v>
      </x:c>
      <x:c r="N268" s="2" t="str">
        <x:v>qiskit.primitives.StatevectorSampler</x:v>
      </x:c>
      <x:c r="O268" s="9" t="str">
        <x:v>01</x:v>
      </x:c>
    </x:row>
    <x:row r="269" ht="18" customHeight="1">
      <x:c r="A269" s="2" t="str">
        <x:v>controlled_n4_threshold_3</x:v>
      </x:c>
      <x:c r="B269" s="2" t="str">
        <x:v>BPSO</x:v>
      </x:c>
      <x:c r="C269" s="2" t="n">
        <x:v>456</x:v>
      </x:c>
      <x:c r="D269" s="2" t="str">
        <x:v>success</x:v>
      </x:c>
      <x:c r="E269" s="2" t="n">
        <x:v>2</x:v>
      </x:c>
      <x:c r="F269" s="7" t="n">
        <x:v>61</x:v>
      </x:c>
      <x:c r="G269" s="7" t="n">
        <x:v>48.5</x:v>
      </x:c>
      <x:c r="H269" s="7" t="n">
        <x:f>IF(F269=0,"n.a.",100*(F269-G269)/F269)</x:f>
        <x:v>20.491803278688526</x:v>
      </x:c>
      <x:c r="I269" s="7" t="n">
        <x:f>F269-G269</x:f>
        <x:v>12.5</x:v>
      </x:c>
      <x:c r="J269" s="8" t="n">
        <x:v>0.26207231258037555</x:v>
      </x:c>
      <x:c r="K269" s="8" t="n">
        <x:v>0.26207231258037555</x:v>
      </x:c>
      <x:c r="L269" s="8" t="n">
        <x:v>0</x:v>
      </x:c>
      <x:c r="M269" s="7" t="n">
        <x:v>12.813199995434843</x:v>
      </x:c>
      <x:c r="N269" s="2" t="str">
        <x:v>repository_particle_dynamics_on_frozen_qubo</x:v>
      </x:c>
      <x:c r="O269" s="9" t="str">
        <x:v>10</x:v>
      </x:c>
    </x:row>
    <x:row r="270" ht="18" customHeight="1">
      <x:c r="A270" s="2" t="str">
        <x:v>controlled_n4_threshold_3</x:v>
      </x:c>
      <x:c r="B270" s="2" t="str">
        <x:v>QAOA</x:v>
      </x:c>
      <x:c r="C270" s="2" t="n">
        <x:v>456</x:v>
      </x:c>
      <x:c r="D270" s="2" t="str">
        <x:v>success</x:v>
      </x:c>
      <x:c r="E270" s="2" t="n">
        <x:v>2</x:v>
      </x:c>
      <x:c r="F270" s="7" t="n">
        <x:v>61</x:v>
      </x:c>
      <x:c r="G270" s="7" t="n">
        <x:v>48.5</x:v>
      </x:c>
      <x:c r="H270" s="7" t="n">
        <x:f>IF(F270=0,"n.a.",100*(F270-G270)/F270)</x:f>
        <x:v>20.491803278688526</x:v>
      </x:c>
      <x:c r="I270" s="7" t="n">
        <x:f>F270-G270</x:f>
        <x:v>12.5</x:v>
      </x:c>
      <x:c r="J270" s="8" t="n">
        <x:v>0.26207231258037555</x:v>
      </x:c>
      <x:c r="K270" s="8" t="n">
        <x:v>0.26207231258037555</x:v>
      </x:c>
      <x:c r="L270" s="8" t="n">
        <x:v>0</x:v>
      </x:c>
      <x:c r="M270" s="7" t="n">
        <x:v>118.03490000602324</x:v>
      </x:c>
      <x:c r="N270" s="2" t="str">
        <x:v>qiskit.primitives.StatevectorSampler</x:v>
      </x:c>
      <x:c r="O270" s="9" t="str">
        <x:v>10</x:v>
      </x:c>
    </x:row>
    <x:row r="271" ht="18" customHeight="1">
      <x:c r="A271" s="2" t="str">
        <x:v>controlled_n4_threshold_3</x:v>
      </x:c>
      <x:c r="B271" s="2" t="str">
        <x:v>BPSO</x:v>
      </x:c>
      <x:c r="C271" s="2" t="n">
        <x:v>789</x:v>
      </x:c>
      <x:c r="D271" s="2" t="str">
        <x:v>success</x:v>
      </x:c>
      <x:c r="E271" s="2" t="n">
        <x:v>2</x:v>
      </x:c>
      <x:c r="F271" s="7" t="n">
        <x:v>61</x:v>
      </x:c>
      <x:c r="G271" s="7" t="n">
        <x:v>48.5</x:v>
      </x:c>
      <x:c r="H271" s="7" t="n">
        <x:f>IF(F271=0,"n.a.",100*(F271-G271)/F271)</x:f>
        <x:v>20.491803278688526</x:v>
      </x:c>
      <x:c r="I271" s="7" t="n">
        <x:f>F271-G271</x:f>
        <x:v>12.5</x:v>
      </x:c>
      <x:c r="J271" s="8" t="n">
        <x:v>0.26207231258037555</x:v>
      </x:c>
      <x:c r="K271" s="8" t="n">
        <x:v>0.26207231258037555</x:v>
      </x:c>
      <x:c r="L271" s="8" t="n">
        <x:v>0</x:v>
      </x:c>
      <x:c r="M271" s="7" t="n">
        <x:v>12.899399996967986</x:v>
      </x:c>
      <x:c r="N271" s="2" t="str">
        <x:v>repository_particle_dynamics_on_frozen_qubo</x:v>
      </x:c>
      <x:c r="O271" s="9" t="str">
        <x:v>01</x:v>
      </x:c>
    </x:row>
    <x:row r="272" ht="18" customHeight="1">
      <x:c r="A272" s="2" t="str">
        <x:v>controlled_n4_threshold_3</x:v>
      </x:c>
      <x:c r="B272" s="2" t="str">
        <x:v>QAOA</x:v>
      </x:c>
      <x:c r="C272" s="2" t="n">
        <x:v>789</x:v>
      </x:c>
      <x:c r="D272" s="2" t="str">
        <x:v>success</x:v>
      </x:c>
      <x:c r="E272" s="2" t="n">
        <x:v>2</x:v>
      </x:c>
      <x:c r="F272" s="7" t="n">
        <x:v>61</x:v>
      </x:c>
      <x:c r="G272" s="7" t="n">
        <x:v>48.5</x:v>
      </x:c>
      <x:c r="H272" s="7" t="n">
        <x:f>IF(F272=0,"n.a.",100*(F272-G272)/F272)</x:f>
        <x:v>20.491803278688526</x:v>
      </x:c>
      <x:c r="I272" s="7" t="n">
        <x:f>F272-G272</x:f>
        <x:v>12.5</x:v>
      </x:c>
      <x:c r="J272" s="8" t="n">
        <x:v>0.26207231258037555</x:v>
      </x:c>
      <x:c r="K272" s="8" t="n">
        <x:v>0.26207231258037555</x:v>
      </x:c>
      <x:c r="L272" s="8" t="n">
        <x:v>0</x:v>
      </x:c>
      <x:c r="M272" s="7" t="n">
        <x:v>125.96579999080859</x:v>
      </x:c>
      <x:c r="N272" s="2" t="str">
        <x:v>qiskit.primitives.StatevectorSampler</x:v>
      </x:c>
      <x:c r="O272" s="9" t="str">
        <x:v>10</x:v>
      </x:c>
    </x:row>
    <x:row r="273" ht="18" customHeight="1">
      <x:c r="A273" s="2" t="str">
        <x:v>controlled_n4_threshold_3</x:v>
      </x:c>
      <x:c r="B273" s="2" t="str">
        <x:v>BPSO</x:v>
      </x:c>
      <x:c r="C273" s="2" t="n">
        <x:v>2026</x:v>
      </x:c>
      <x:c r="D273" s="2" t="str">
        <x:v>success</x:v>
      </x:c>
      <x:c r="E273" s="2" t="n">
        <x:v>2</x:v>
      </x:c>
      <x:c r="F273" s="7" t="n">
        <x:v>61</x:v>
      </x:c>
      <x:c r="G273" s="7" t="n">
        <x:v>48.5</x:v>
      </x:c>
      <x:c r="H273" s="7" t="n">
        <x:f>IF(F273=0,"n.a.",100*(F273-G273)/F273)</x:f>
        <x:v>20.491803278688526</x:v>
      </x:c>
      <x:c r="I273" s="7" t="n">
        <x:f>F273-G273</x:f>
        <x:v>12.5</x:v>
      </x:c>
      <x:c r="J273" s="8" t="n">
        <x:v>0.26207231258037555</x:v>
      </x:c>
      <x:c r="K273" s="8" t="n">
        <x:v>0.26207231258037555</x:v>
      </x:c>
      <x:c r="L273" s="8" t="n">
        <x:v>0</x:v>
      </x:c>
      <x:c r="M273" s="7" t="n">
        <x:v>13.15880000765901</x:v>
      </x:c>
      <x:c r="N273" s="2" t="str">
        <x:v>repository_particle_dynamics_on_frozen_qubo</x:v>
      </x:c>
      <x:c r="O273" s="9" t="str">
        <x:v>01</x:v>
      </x:c>
    </x:row>
    <x:row r="274" ht="18" customHeight="1">
      <x:c r="A274" s="2" t="str">
        <x:v>controlled_n4_threshold_3</x:v>
      </x:c>
      <x:c r="B274" s="2" t="str">
        <x:v>QAOA</x:v>
      </x:c>
      <x:c r="C274" s="2" t="n">
        <x:v>2026</x:v>
      </x:c>
      <x:c r="D274" s="2" t="str">
        <x:v>success</x:v>
      </x:c>
      <x:c r="E274" s="2" t="n">
        <x:v>2</x:v>
      </x:c>
      <x:c r="F274" s="7" t="n">
        <x:v>61</x:v>
      </x:c>
      <x:c r="G274" s="7" t="n">
        <x:v>48.5</x:v>
      </x:c>
      <x:c r="H274" s="7" t="n">
        <x:f>IF(F274=0,"n.a.",100*(F274-G274)/F274)</x:f>
        <x:v>20.491803278688526</x:v>
      </x:c>
      <x:c r="I274" s="7" t="n">
        <x:f>F274-G274</x:f>
        <x:v>12.5</x:v>
      </x:c>
      <x:c r="J274" s="8" t="n">
        <x:v>0.26207231258037555</x:v>
      </x:c>
      <x:c r="K274" s="8" t="n">
        <x:v>0.26207231258037555</x:v>
      </x:c>
      <x:c r="L274" s="8" t="n">
        <x:v>0</x:v>
      </x:c>
      <x:c r="M274" s="7" t="n">
        <x:v>105.52450000250246</x:v>
      </x:c>
      <x:c r="N274" s="2" t="str">
        <x:v>qiskit.primitives.StatevectorSampler</x:v>
      </x:c>
      <x:c r="O274" s="9" t="str">
        <x:v>01</x:v>
      </x:c>
    </x:row>
    <x:row r="275" ht="18" customHeight="1">
      <x:c r="A275" s="2" t="str">
        <x:v>controlled_n4_single_bottleneck_1</x:v>
      </x:c>
      <x:c r="B275" s="2" t="str">
        <x:v>Unmanaged</x:v>
      </x:c>
      <x:c r="C275" s="2"/>
      <x:c r="D275" s="2" t="str">
        <x:v>baseline</x:v>
      </x:c>
      <x:c r="E275" s="2" t="n">
        <x:v>3</x:v>
      </x:c>
      <x:c r="F275" s="7" t="n">
        <x:v>65</x:v>
      </x:c>
      <x:c r="G275" s="7" t="n">
        <x:v>65</x:v>
      </x:c>
      <x:c r="H275" s="7" t="n">
        <x:f>IF(F275=0,"n.a.",100*(F275-G275)/F275)</x:f>
        <x:v>0</x:v>
      </x:c>
      <x:c r="I275" s="7" t="n">
        <x:f>F275-G275</x:f>
        <x:v>0</x:v>
      </x:c>
      <x:c r="J275" s="8"/>
      <x:c r="K275" s="8" t="n">
        <x:v>0.19918542832111638</x:v>
      </x:c>
      <x:c r="L275" s="8"/>
      <x:c r="M275" s="7"/>
      <x:c r="N275" s="2" t="str">
        <x:v>unmanaged_input</x:v>
      </x:c>
      <x:c r="O275" s="9"/>
    </x:row>
    <x:row r="276" ht="18" customHeight="1">
      <x:c r="A276" s="2" t="str">
        <x:v>controlled_n4_single_bottleneck_1</x:v>
      </x:c>
      <x:c r="B276" s="2" t="str">
        <x:v>Exact J</x:v>
      </x:c>
      <x:c r="C276" s="2"/>
      <x:c r="D276" s="2" t="str">
        <x:v>success</x:v>
      </x:c>
      <x:c r="E276" s="2" t="n">
        <x:v>3</x:v>
      </x:c>
      <x:c r="F276" s="7" t="n">
        <x:v>65</x:v>
      </x:c>
      <x:c r="G276" s="7" t="n">
        <x:v>46.666666666666664</x:v>
      </x:c>
      <x:c r="H276" s="7" t="n">
        <x:f>IF(F276=0,"n.a.",100*(F276-G276)/F276)</x:f>
        <x:v>28.205128205128208</x:v>
      </x:c>
      <x:c r="I276" s="7" t="n">
        <x:f>F276-G276</x:f>
        <x:v>18.333333333333336</x:v>
      </x:c>
      <x:c r="J276" s="8" t="n">
        <x:v>0.19918542832111638</x:v>
      </x:c>
      <x:c r="K276" s="8" t="n">
        <x:v>0.19918542832111638</x:v>
      </x:c>
      <x:c r="L276" s="8" t="n">
        <x:v>0</x:v>
      </x:c>
      <x:c r="M276" s="7"/>
      <x:c r="N276" s="2" t="str">
        <x:v>exhaustive_enumeration</x:v>
      </x:c>
      <x:c r="O276" s="9" t="str">
        <x:v>011</x:v>
      </x:c>
    </x:row>
    <x:row r="277" ht="18" customHeight="1">
      <x:c r="A277" s="2" t="str">
        <x:v>controlled_n4_single_bottleneck_1</x:v>
      </x:c>
      <x:c r="B277" s="2" t="str">
        <x:v>Exact peak</x:v>
      </x:c>
      <x:c r="C277" s="2"/>
      <x:c r="D277" s="2" t="str">
        <x:v>success</x:v>
      </x:c>
      <x:c r="E277" s="2" t="n">
        <x:v>3</x:v>
      </x:c>
      <x:c r="F277" s="7" t="n">
        <x:v>65</x:v>
      </x:c>
      <x:c r="G277" s="7" t="n">
        <x:v>46.666666666666664</x:v>
      </x:c>
      <x:c r="H277" s="7" t="n">
        <x:f>IF(F277=0,"n.a.",100*(F277-G277)/F277)</x:f>
        <x:v>28.205128205128208</x:v>
      </x:c>
      <x:c r="I277" s="7" t="n">
        <x:f>F277-G277</x:f>
        <x:v>18.333333333333336</x:v>
      </x:c>
      <x:c r="J277" s="8" t="n">
        <x:v>0.19918542832111638</x:v>
      </x:c>
      <x:c r="K277" s="8" t="n">
        <x:v>0.19918542832111638</x:v>
      </x:c>
      <x:c r="L277" s="8" t="n">
        <x:v>0</x:v>
      </x:c>
      <x:c r="M277" s="7"/>
      <x:c r="N277" s="2" t="str">
        <x:v>exhaustive_enumeration</x:v>
      </x:c>
      <x:c r="O277" s="9" t="str">
        <x:v>011</x:v>
      </x:c>
    </x:row>
    <x:row r="278" ht="18" customHeight="1">
      <x:c r="A278" s="2" t="str">
        <x:v>controlled_n4_single_bottleneck_1</x:v>
      </x:c>
      <x:c r="B278" s="2" t="str">
        <x:v>BPSO</x:v>
      </x:c>
      <x:c r="C278" s="2" t="n">
        <x:v>42</x:v>
      </x:c>
      <x:c r="D278" s="2" t="str">
        <x:v>success</x:v>
      </x:c>
      <x:c r="E278" s="2" t="n">
        <x:v>3</x:v>
      </x:c>
      <x:c r="F278" s="7" t="n">
        <x:v>65</x:v>
      </x:c>
      <x:c r="G278" s="7" t="n">
        <x:v>46.666666666666664</x:v>
      </x:c>
      <x:c r="H278" s="7" t="n">
        <x:f>IF(F278=0,"n.a.",100*(F278-G278)/F278)</x:f>
        <x:v>28.205128205128208</x:v>
      </x:c>
      <x:c r="I278" s="7" t="n">
        <x:f>F278-G278</x:f>
        <x:v>18.333333333333336</x:v>
      </x:c>
      <x:c r="J278" s="8" t="n">
        <x:v>0.19918542832111638</x:v>
      </x:c>
      <x:c r="K278" s="8" t="n">
        <x:v>0.19918542832111638</x:v>
      </x:c>
      <x:c r="L278" s="8" t="n">
        <x:v>0</x:v>
      </x:c>
      <x:c r="M278" s="7" t="n">
        <x:v>13.963100005639717</x:v>
      </x:c>
      <x:c r="N278" s="2" t="str">
        <x:v>repository_particle_dynamics_on_frozen_qubo</x:v>
      </x:c>
      <x:c r="O278" s="9" t="str">
        <x:v>101</x:v>
      </x:c>
    </x:row>
    <x:row r="279" ht="18" customHeight="1">
      <x:c r="A279" s="2" t="str">
        <x:v>controlled_n4_single_bottleneck_1</x:v>
      </x:c>
      <x:c r="B279" s="2" t="str">
        <x:v>QAOA</x:v>
      </x:c>
      <x:c r="C279" s="2" t="n">
        <x:v>42</x:v>
      </x:c>
      <x:c r="D279" s="2" t="str">
        <x:v>success</x:v>
      </x:c>
      <x:c r="E279" s="2" t="n">
        <x:v>3</x:v>
      </x:c>
      <x:c r="F279" s="7" t="n">
        <x:v>65</x:v>
      </x:c>
      <x:c r="G279" s="7" t="n">
        <x:v>46.666666666666664</x:v>
      </x:c>
      <x:c r="H279" s="7" t="n">
        <x:f>IF(F279=0,"n.a.",100*(F279-G279)/F279)</x:f>
        <x:v>28.205128205128208</x:v>
      </x:c>
      <x:c r="I279" s="7" t="n">
        <x:f>F279-G279</x:f>
        <x:v>18.333333333333336</x:v>
      </x:c>
      <x:c r="J279" s="8" t="n">
        <x:v>0.19918542832111638</x:v>
      </x:c>
      <x:c r="K279" s="8" t="n">
        <x:v>0.19918542832111638</x:v>
      </x:c>
      <x:c r="L279" s="8" t="n">
        <x:v>0</x:v>
      </x:c>
      <x:c r="M279" s="7" t="n">
        <x:v>122.57920000411104</x:v>
      </x:c>
      <x:c r="N279" s="2" t="str">
        <x:v>qiskit.primitives.StatevectorSampler</x:v>
      </x:c>
      <x:c r="O279" s="9" t="str">
        <x:v>101</x:v>
      </x:c>
    </x:row>
    <x:row r="280" ht="18" customHeight="1">
      <x:c r="A280" s="2" t="str">
        <x:v>controlled_n4_single_bottleneck_1</x:v>
      </x:c>
      <x:c r="B280" s="2" t="str">
        <x:v>BPSO</x:v>
      </x:c>
      <x:c r="C280" s="2" t="n">
        <x:v>123</x:v>
      </x:c>
      <x:c r="D280" s="2" t="str">
        <x:v>success</x:v>
      </x:c>
      <x:c r="E280" s="2" t="n">
        <x:v>3</x:v>
      </x:c>
      <x:c r="F280" s="7" t="n">
        <x:v>65</x:v>
      </x:c>
      <x:c r="G280" s="7" t="n">
        <x:v>46.666666666666664</x:v>
      </x:c>
      <x:c r="H280" s="7" t="n">
        <x:f>IF(F280=0,"n.a.",100*(F280-G280)/F280)</x:f>
        <x:v>28.205128205128208</x:v>
      </x:c>
      <x:c r="I280" s="7" t="n">
        <x:f>F280-G280</x:f>
        <x:v>18.333333333333336</x:v>
      </x:c>
      <x:c r="J280" s="8" t="n">
        <x:v>0.19918542832111638</x:v>
      </x:c>
      <x:c r="K280" s="8" t="n">
        <x:v>0.19918542832111638</x:v>
      </x:c>
      <x:c r="L280" s="8" t="n">
        <x:v>0</x:v>
      </x:c>
      <x:c r="M280" s="7" t="n">
        <x:v>13.271300005726516</x:v>
      </x:c>
      <x:c r="N280" s="2" t="str">
        <x:v>repository_particle_dynamics_on_frozen_qubo</x:v>
      </x:c>
      <x:c r="O280" s="9" t="str">
        <x:v>101</x:v>
      </x:c>
    </x:row>
    <x:row r="281" ht="18" customHeight="1">
      <x:c r="A281" s="2" t="str">
        <x:v>controlled_n4_single_bottleneck_1</x:v>
      </x:c>
      <x:c r="B281" s="2" t="str">
        <x:v>QAOA</x:v>
      </x:c>
      <x:c r="C281" s="2" t="n">
        <x:v>123</x:v>
      </x:c>
      <x:c r="D281" s="2" t="str">
        <x:v>success</x:v>
      </x:c>
      <x:c r="E281" s="2" t="n">
        <x:v>3</x:v>
      </x:c>
      <x:c r="F281" s="7" t="n">
        <x:v>65</x:v>
      </x:c>
      <x:c r="G281" s="7" t="n">
        <x:v>46.666666666666664</x:v>
      </x:c>
      <x:c r="H281" s="7" t="n">
        <x:f>IF(F281=0,"n.a.",100*(F281-G281)/F281)</x:f>
        <x:v>28.205128205128208</x:v>
      </x:c>
      <x:c r="I281" s="7" t="n">
        <x:f>F281-G281</x:f>
        <x:v>18.333333333333336</x:v>
      </x:c>
      <x:c r="J281" s="8" t="n">
        <x:v>0.19918542832111638</x:v>
      </x:c>
      <x:c r="K281" s="8" t="n">
        <x:v>0.19918542832111638</x:v>
      </x:c>
      <x:c r="L281" s="8" t="n">
        <x:v>0</x:v>
      </x:c>
      <x:c r="M281" s="7" t="n">
        <x:v>162.49280000920407</x:v>
      </x:c>
      <x:c r="N281" s="2" t="str">
        <x:v>qiskit.primitives.StatevectorSampler</x:v>
      </x:c>
      <x:c r="O281" s="9" t="str">
        <x:v>101</x:v>
      </x:c>
    </x:row>
    <x:row r="282" ht="18" customHeight="1">
      <x:c r="A282" s="2" t="str">
        <x:v>controlled_n4_single_bottleneck_1</x:v>
      </x:c>
      <x:c r="B282" s="2" t="str">
        <x:v>BPSO</x:v>
      </x:c>
      <x:c r="C282" s="2" t="n">
        <x:v>456</x:v>
      </x:c>
      <x:c r="D282" s="2" t="str">
        <x:v>success</x:v>
      </x:c>
      <x:c r="E282" s="2" t="n">
        <x:v>3</x:v>
      </x:c>
      <x:c r="F282" s="7" t="n">
        <x:v>65</x:v>
      </x:c>
      <x:c r="G282" s="7" t="n">
        <x:v>46.666666666666664</x:v>
      </x:c>
      <x:c r="H282" s="7" t="n">
        <x:f>IF(F282=0,"n.a.",100*(F282-G282)/F282)</x:f>
        <x:v>28.205128205128208</x:v>
      </x:c>
      <x:c r="I282" s="7" t="n">
        <x:f>F282-G282</x:f>
        <x:v>18.333333333333336</x:v>
      </x:c>
      <x:c r="J282" s="8" t="n">
        <x:v>0.19918542832111638</x:v>
      </x:c>
      <x:c r="K282" s="8" t="n">
        <x:v>0.19918542832111638</x:v>
      </x:c>
      <x:c r="L282" s="8" t="n">
        <x:v>0</x:v>
      </x:c>
      <x:c r="M282" s="7" t="n">
        <x:v>13.326000000233762</x:v>
      </x:c>
      <x:c r="N282" s="2" t="str">
        <x:v>repository_particle_dynamics_on_frozen_qubo</x:v>
      </x:c>
      <x:c r="O282" s="9" t="str">
        <x:v>110</x:v>
      </x:c>
    </x:row>
    <x:row r="283" ht="18" customHeight="1">
      <x:c r="A283" s="2" t="str">
        <x:v>controlled_n4_single_bottleneck_1</x:v>
      </x:c>
      <x:c r="B283" s="2" t="str">
        <x:v>QAOA</x:v>
      </x:c>
      <x:c r="C283" s="2" t="n">
        <x:v>456</x:v>
      </x:c>
      <x:c r="D283" s="2" t="str">
        <x:v>success</x:v>
      </x:c>
      <x:c r="E283" s="2" t="n">
        <x:v>3</x:v>
      </x:c>
      <x:c r="F283" s="7" t="n">
        <x:v>65</x:v>
      </x:c>
      <x:c r="G283" s="7" t="n">
        <x:v>46.666666666666664</x:v>
      </x:c>
      <x:c r="H283" s="7" t="n">
        <x:f>IF(F283=0,"n.a.",100*(F283-G283)/F283)</x:f>
        <x:v>28.205128205128208</x:v>
      </x:c>
      <x:c r="I283" s="7" t="n">
        <x:f>F283-G283</x:f>
        <x:v>18.333333333333336</x:v>
      </x:c>
      <x:c r="J283" s="8" t="n">
        <x:v>0.19918542832111638</x:v>
      </x:c>
      <x:c r="K283" s="8" t="n">
        <x:v>0.19918542832111638</x:v>
      </x:c>
      <x:c r="L283" s="8" t="n">
        <x:v>0</x:v>
      </x:c>
      <x:c r="M283" s="7" t="n">
        <x:v>92.11060000234284</x:v>
      </x:c>
      <x:c r="N283" s="2" t="str">
        <x:v>qiskit.primitives.StatevectorSampler</x:v>
      </x:c>
      <x:c r="O283" s="9" t="str">
        <x:v>110</x:v>
      </x:c>
    </x:row>
    <x:row r="284" ht="18" customHeight="1">
      <x:c r="A284" s="2" t="str">
        <x:v>controlled_n4_single_bottleneck_1</x:v>
      </x:c>
      <x:c r="B284" s="2" t="str">
        <x:v>BPSO</x:v>
      </x:c>
      <x:c r="C284" s="2" t="n">
        <x:v>789</x:v>
      </x:c>
      <x:c r="D284" s="2" t="str">
        <x:v>success</x:v>
      </x:c>
      <x:c r="E284" s="2" t="n">
        <x:v>3</x:v>
      </x:c>
      <x:c r="F284" s="7" t="n">
        <x:v>65</x:v>
      </x:c>
      <x:c r="G284" s="7" t="n">
        <x:v>46.666666666666664</x:v>
      </x:c>
      <x:c r="H284" s="7" t="n">
        <x:f>IF(F284=0,"n.a.",100*(F284-G284)/F284)</x:f>
        <x:v>28.205128205128208</x:v>
      </x:c>
      <x:c r="I284" s="7" t="n">
        <x:f>F284-G284</x:f>
        <x:v>18.333333333333336</x:v>
      </x:c>
      <x:c r="J284" s="8" t="n">
        <x:v>0.19918542832111638</x:v>
      </x:c>
      <x:c r="K284" s="8" t="n">
        <x:v>0.19918542832111638</x:v>
      </x:c>
      <x:c r="L284" s="8" t="n">
        <x:v>0</x:v>
      </x:c>
      <x:c r="M284" s="7" t="n">
        <x:v>13.321999998879619</x:v>
      </x:c>
      <x:c r="N284" s="2" t="str">
        <x:v>repository_particle_dynamics_on_frozen_qubo</x:v>
      </x:c>
      <x:c r="O284" s="9" t="str">
        <x:v>110</x:v>
      </x:c>
    </x:row>
    <x:row r="285" ht="18" customHeight="1">
      <x:c r="A285" s="2" t="str">
        <x:v>controlled_n4_single_bottleneck_1</x:v>
      </x:c>
      <x:c r="B285" s="2" t="str">
        <x:v>QAOA</x:v>
      </x:c>
      <x:c r="C285" s="2" t="n">
        <x:v>789</x:v>
      </x:c>
      <x:c r="D285" s="2" t="str">
        <x:v>success</x:v>
      </x:c>
      <x:c r="E285" s="2" t="n">
        <x:v>3</x:v>
      </x:c>
      <x:c r="F285" s="7" t="n">
        <x:v>65</x:v>
      </x:c>
      <x:c r="G285" s="7" t="n">
        <x:v>46.666666666666664</x:v>
      </x:c>
      <x:c r="H285" s="7" t="n">
        <x:f>IF(F285=0,"n.a.",100*(F285-G285)/F285)</x:f>
        <x:v>28.205128205128208</x:v>
      </x:c>
      <x:c r="I285" s="7" t="n">
        <x:f>F285-G285</x:f>
        <x:v>18.333333333333336</x:v>
      </x:c>
      <x:c r="J285" s="8" t="n">
        <x:v>0.19918542832111638</x:v>
      </x:c>
      <x:c r="K285" s="8" t="n">
        <x:v>0.19918542832111638</x:v>
      </x:c>
      <x:c r="L285" s="8" t="n">
        <x:v>0</x:v>
      </x:c>
      <x:c r="M285" s="7" t="n">
        <x:v>94.40420000464655</x:v>
      </x:c>
      <x:c r="N285" s="2" t="str">
        <x:v>qiskit.primitives.StatevectorSampler</x:v>
      </x:c>
      <x:c r="O285" s="9" t="str">
        <x:v>110</x:v>
      </x:c>
    </x:row>
    <x:row r="286" ht="18" customHeight="1">
      <x:c r="A286" s="2" t="str">
        <x:v>controlled_n4_single_bottleneck_1</x:v>
      </x:c>
      <x:c r="B286" s="2" t="str">
        <x:v>BPSO</x:v>
      </x:c>
      <x:c r="C286" s="2" t="n">
        <x:v>2026</x:v>
      </x:c>
      <x:c r="D286" s="2" t="str">
        <x:v>success</x:v>
      </x:c>
      <x:c r="E286" s="2" t="n">
        <x:v>3</x:v>
      </x:c>
      <x:c r="F286" s="7" t="n">
        <x:v>65</x:v>
      </x:c>
      <x:c r="G286" s="7" t="n">
        <x:v>46.666666666666664</x:v>
      </x:c>
      <x:c r="H286" s="7" t="n">
        <x:f>IF(F286=0,"n.a.",100*(F286-G286)/F286)</x:f>
        <x:v>28.205128205128208</x:v>
      </x:c>
      <x:c r="I286" s="7" t="n">
        <x:f>F286-G286</x:f>
        <x:v>18.333333333333336</x:v>
      </x:c>
      <x:c r="J286" s="8" t="n">
        <x:v>0.19918542832111638</x:v>
      </x:c>
      <x:c r="K286" s="8" t="n">
        <x:v>0.19918542832111638</x:v>
      </x:c>
      <x:c r="L286" s="8" t="n">
        <x:v>0</x:v>
      </x:c>
      <x:c r="M286" s="7" t="n">
        <x:v>14.64999999734573</x:v>
      </x:c>
      <x:c r="N286" s="2" t="str">
        <x:v>repository_particle_dynamics_on_frozen_qubo</x:v>
      </x:c>
      <x:c r="O286" s="9" t="str">
        <x:v>101</x:v>
      </x:c>
    </x:row>
    <x:row r="287" ht="18" customHeight="1">
      <x:c r="A287" s="2" t="str">
        <x:v>controlled_n4_single_bottleneck_1</x:v>
      </x:c>
      <x:c r="B287" s="2" t="str">
        <x:v>QAOA</x:v>
      </x:c>
      <x:c r="C287" s="2" t="n">
        <x:v>2026</x:v>
      </x:c>
      <x:c r="D287" s="2" t="str">
        <x:v>success</x:v>
      </x:c>
      <x:c r="E287" s="2" t="n">
        <x:v>3</x:v>
      </x:c>
      <x:c r="F287" s="7" t="n">
        <x:v>65</x:v>
      </x:c>
      <x:c r="G287" s="7" t="n">
        <x:v>46.666666666666664</x:v>
      </x:c>
      <x:c r="H287" s="7" t="n">
        <x:f>IF(F287=0,"n.a.",100*(F287-G287)/F287)</x:f>
        <x:v>28.205128205128208</x:v>
      </x:c>
      <x:c r="I287" s="7" t="n">
        <x:f>F287-G287</x:f>
        <x:v>18.333333333333336</x:v>
      </x:c>
      <x:c r="J287" s="8" t="n">
        <x:v>0.19918542832111638</x:v>
      </x:c>
      <x:c r="K287" s="8" t="n">
        <x:v>0.19918542832111638</x:v>
      </x:c>
      <x:c r="L287" s="8" t="n">
        <x:v>0</x:v>
      </x:c>
      <x:c r="M287" s="7" t="n">
        <x:v>127.97390000196174</x:v>
      </x:c>
      <x:c r="N287" s="2" t="str">
        <x:v>qiskit.primitives.StatevectorSampler</x:v>
      </x:c>
      <x:c r="O287" s="9" t="str">
        <x:v>110</x:v>
      </x:c>
    </x:row>
    <x:row r="288" ht="18" customHeight="1">
      <x:c r="A288" s="2" t="str">
        <x:v>controlled_n4_single_bottleneck_2</x:v>
      </x:c>
      <x:c r="B288" s="2" t="str">
        <x:v>Unmanaged</x:v>
      </x:c>
      <x:c r="C288" s="2"/>
      <x:c r="D288" s="2" t="str">
        <x:v>baseline</x:v>
      </x:c>
      <x:c r="E288" s="2" t="n">
        <x:v>5</x:v>
      </x:c>
      <x:c r="F288" s="7" t="n">
        <x:v>80</x:v>
      </x:c>
      <x:c r="G288" s="7" t="n">
        <x:v>80</x:v>
      </x:c>
      <x:c r="H288" s="7" t="n">
        <x:f>IF(F288=0,"n.a.",100*(F288-G288)/F288)</x:f>
        <x:v>0</x:v>
      </x:c>
      <x:c r="I288" s="7" t="n">
        <x:f>F288-G288</x:f>
        <x:v>0</x:v>
      </x:c>
      <x:c r="J288" s="8"/>
      <x:c r="K288" s="8" t="n">
        <x:v>0.11940198206018504</x:v>
      </x:c>
      <x:c r="L288" s="8"/>
      <x:c r="M288" s="7"/>
      <x:c r="N288" s="2" t="str">
        <x:v>unmanaged_input</x:v>
      </x:c>
      <x:c r="O288" s="9"/>
    </x:row>
    <x:row r="289" ht="18" customHeight="1">
      <x:c r="A289" s="2" t="str">
        <x:v>controlled_n4_single_bottleneck_2</x:v>
      </x:c>
      <x:c r="B289" s="2" t="str">
        <x:v>Exact J</x:v>
      </x:c>
      <x:c r="C289" s="2"/>
      <x:c r="D289" s="2" t="str">
        <x:v>success</x:v>
      </x:c>
      <x:c r="E289" s="2" t="n">
        <x:v>5</x:v>
      </x:c>
      <x:c r="F289" s="7" t="n">
        <x:v>80</x:v>
      </x:c>
      <x:c r="G289" s="7" t="n">
        <x:v>55.00000000000001</x:v>
      </x:c>
      <x:c r="H289" s="7" t="n">
        <x:f>IF(F289=0,"n.a.",100*(F289-G289)/F289)</x:f>
        <x:v>31.24999999999999</x:v>
      </x:c>
      <x:c r="I289" s="7" t="n">
        <x:f>F289-G289</x:f>
        <x:v>24.999999999999993</x:v>
      </x:c>
      <x:c r="J289" s="8" t="n">
        <x:v>0.11940198206018504</x:v>
      </x:c>
      <x:c r="K289" s="8" t="n">
        <x:v>0.11940198206018504</x:v>
      </x:c>
      <x:c r="L289" s="8" t="n">
        <x:v>0</x:v>
      </x:c>
      <x:c r="M289" s="7"/>
      <x:c r="N289" s="2" t="str">
        <x:v>exhaustive_enumeration</x:v>
      </x:c>
      <x:c r="O289" s="9" t="str">
        <x:v>00111</x:v>
      </x:c>
    </x:row>
    <x:row r="290" ht="18" customHeight="1">
      <x:c r="A290" s="2" t="str">
        <x:v>controlled_n4_single_bottleneck_2</x:v>
      </x:c>
      <x:c r="B290" s="2" t="str">
        <x:v>Exact peak</x:v>
      </x:c>
      <x:c r="C290" s="2"/>
      <x:c r="D290" s="2" t="str">
        <x:v>success</x:v>
      </x:c>
      <x:c r="E290" s="2" t="n">
        <x:v>5</x:v>
      </x:c>
      <x:c r="F290" s="7" t="n">
        <x:v>80</x:v>
      </x:c>
      <x:c r="G290" s="7" t="n">
        <x:v>55.00000000000001</x:v>
      </x:c>
      <x:c r="H290" s="7" t="n">
        <x:f>IF(F290=0,"n.a.",100*(F290-G290)/F290)</x:f>
        <x:v>31.24999999999999</x:v>
      </x:c>
      <x:c r="I290" s="7" t="n">
        <x:f>F290-G290</x:f>
        <x:v>24.999999999999993</x:v>
      </x:c>
      <x:c r="J290" s="8" t="n">
        <x:v>0.11940198206018504</x:v>
      </x:c>
      <x:c r="K290" s="8" t="n">
        <x:v>0.11940198206018504</x:v>
      </x:c>
      <x:c r="L290" s="8" t="n">
        <x:v>0</x:v>
      </x:c>
      <x:c r="M290" s="7"/>
      <x:c r="N290" s="2" t="str">
        <x:v>exhaustive_enumeration</x:v>
      </x:c>
      <x:c r="O290" s="9" t="str">
        <x:v>00111</x:v>
      </x:c>
    </x:row>
    <x:row r="291" ht="18" customHeight="1">
      <x:c r="A291" s="2" t="str">
        <x:v>controlled_n4_single_bottleneck_2</x:v>
      </x:c>
      <x:c r="B291" s="2" t="str">
        <x:v>BPSO</x:v>
      </x:c>
      <x:c r="C291" s="2" t="n">
        <x:v>42</x:v>
      </x:c>
      <x:c r="D291" s="2" t="str">
        <x:v>success</x:v>
      </x:c>
      <x:c r="E291" s="2" t="n">
        <x:v>5</x:v>
      </x:c>
      <x:c r="F291" s="7" t="n">
        <x:v>80</x:v>
      </x:c>
      <x:c r="G291" s="7" t="n">
        <x:v>55.00000000000001</x:v>
      </x:c>
      <x:c r="H291" s="7" t="n">
        <x:f>IF(F291=0,"n.a.",100*(F291-G291)/F291)</x:f>
        <x:v>31.24999999999999</x:v>
      </x:c>
      <x:c r="I291" s="7" t="n">
        <x:f>F291-G291</x:f>
        <x:v>24.999999999999993</x:v>
      </x:c>
      <x:c r="J291" s="8" t="n">
        <x:v>0.11940198206018504</x:v>
      </x:c>
      <x:c r="K291" s="8" t="n">
        <x:v>0.11940198206018504</x:v>
      </x:c>
      <x:c r="L291" s="8" t="n">
        <x:v>0</x:v>
      </x:c>
      <x:c r="M291" s="7" t="n">
        <x:v>14.89080001192633</x:v>
      </x:c>
      <x:c r="N291" s="2" t="str">
        <x:v>repository_particle_dynamics_on_frozen_qubo</x:v>
      </x:c>
      <x:c r="O291" s="9" t="str">
        <x:v>10110</x:v>
      </x:c>
    </x:row>
    <x:row r="292" ht="18" customHeight="1">
      <x:c r="A292" s="2" t="str">
        <x:v>controlled_n4_single_bottleneck_2</x:v>
      </x:c>
      <x:c r="B292" s="2" t="str">
        <x:v>QAOA</x:v>
      </x:c>
      <x:c r="C292" s="2" t="n">
        <x:v>42</x:v>
      </x:c>
      <x:c r="D292" s="2" t="str">
        <x:v>success</x:v>
      </x:c>
      <x:c r="E292" s="2" t="n">
        <x:v>5</x:v>
      </x:c>
      <x:c r="F292" s="7" t="n">
        <x:v>80</x:v>
      </x:c>
      <x:c r="G292" s="7" t="n">
        <x:v>55.00000000000001</x:v>
      </x:c>
      <x:c r="H292" s="7" t="n">
        <x:f>IF(F292=0,"n.a.",100*(F292-G292)/F292)</x:f>
        <x:v>31.24999999999999</x:v>
      </x:c>
      <x:c r="I292" s="7" t="n">
        <x:f>F292-G292</x:f>
        <x:v>24.999999999999993</x:v>
      </x:c>
      <x:c r="J292" s="8" t="n">
        <x:v>0.11940198206018504</x:v>
      </x:c>
      <x:c r="K292" s="8" t="n">
        <x:v>0.11940198206018504</x:v>
      </x:c>
      <x:c r="L292" s="8" t="n">
        <x:v>0</x:v>
      </x:c>
      <x:c r="M292" s="7" t="n">
        <x:v>192.8194999927655</x:v>
      </x:c>
      <x:c r="N292" s="2" t="str">
        <x:v>qiskit.primitives.StatevectorSampler</x:v>
      </x:c>
      <x:c r="O292" s="9" t="str">
        <x:v>01101</x:v>
      </x:c>
    </x:row>
    <x:row r="293" ht="18" customHeight="1">
      <x:c r="A293" s="2" t="str">
        <x:v>controlled_n4_single_bottleneck_2</x:v>
      </x:c>
      <x:c r="B293" s="2" t="str">
        <x:v>BPSO</x:v>
      </x:c>
      <x:c r="C293" s="2" t="n">
        <x:v>123</x:v>
      </x:c>
      <x:c r="D293" s="2" t="str">
        <x:v>success</x:v>
      </x:c>
      <x:c r="E293" s="2" t="n">
        <x:v>5</x:v>
      </x:c>
      <x:c r="F293" s="7" t="n">
        <x:v>80</x:v>
      </x:c>
      <x:c r="G293" s="7" t="n">
        <x:v>55.00000000000001</x:v>
      </x:c>
      <x:c r="H293" s="7" t="n">
        <x:f>IF(F293=0,"n.a.",100*(F293-G293)/F293)</x:f>
        <x:v>31.24999999999999</x:v>
      </x:c>
      <x:c r="I293" s="7" t="n">
        <x:f>F293-G293</x:f>
        <x:v>24.999999999999993</x:v>
      </x:c>
      <x:c r="J293" s="8" t="n">
        <x:v>0.11940198206018504</x:v>
      </x:c>
      <x:c r="K293" s="8" t="n">
        <x:v>0.11940198206018504</x:v>
      </x:c>
      <x:c r="L293" s="8" t="n">
        <x:v>0</x:v>
      </x:c>
      <x:c r="M293" s="7" t="n">
        <x:v>14.7315000067465</x:v>
      </x:c>
      <x:c r="N293" s="2" t="str">
        <x:v>repository_particle_dynamics_on_frozen_qubo</x:v>
      </x:c>
      <x:c r="O293" s="9" t="str">
        <x:v>10101</x:v>
      </x:c>
    </x:row>
    <x:row r="294" ht="18" customHeight="1">
      <x:c r="A294" s="2" t="str">
        <x:v>controlled_n4_single_bottleneck_2</x:v>
      </x:c>
      <x:c r="B294" s="2" t="str">
        <x:v>QAOA</x:v>
      </x:c>
      <x:c r="C294" s="2" t="n">
        <x:v>123</x:v>
      </x:c>
      <x:c r="D294" s="2" t="str">
        <x:v>success</x:v>
      </x:c>
      <x:c r="E294" s="2" t="n">
        <x:v>5</x:v>
      </x:c>
      <x:c r="F294" s="7" t="n">
        <x:v>80</x:v>
      </x:c>
      <x:c r="G294" s="7" t="n">
        <x:v>55.00000000000001</x:v>
      </x:c>
      <x:c r="H294" s="7" t="n">
        <x:f>IF(F294=0,"n.a.",100*(F294-G294)/F294)</x:f>
        <x:v>31.24999999999999</x:v>
      </x:c>
      <x:c r="I294" s="7" t="n">
        <x:f>F294-G294</x:f>
        <x:v>24.999999999999993</x:v>
      </x:c>
      <x:c r="J294" s="8" t="n">
        <x:v>0.11940198206018504</x:v>
      </x:c>
      <x:c r="K294" s="8" t="n">
        <x:v>0.11940198206018504</x:v>
      </x:c>
      <x:c r="L294" s="8" t="n">
        <x:v>0</x:v>
      </x:c>
      <x:c r="M294" s="7" t="n">
        <x:v>292.28530000546016</x:v>
      </x:c>
      <x:c r="N294" s="2" t="str">
        <x:v>qiskit.primitives.StatevectorSampler</x:v>
      </x:c>
      <x:c r="O294" s="9" t="str">
        <x:v>11100</x:v>
      </x:c>
    </x:row>
    <x:row r="295" ht="18" customHeight="1">
      <x:c r="A295" s="2" t="str">
        <x:v>controlled_n4_single_bottleneck_2</x:v>
      </x:c>
      <x:c r="B295" s="2" t="str">
        <x:v>BPSO</x:v>
      </x:c>
      <x:c r="C295" s="2" t="n">
        <x:v>456</x:v>
      </x:c>
      <x:c r="D295" s="2" t="str">
        <x:v>success</x:v>
      </x:c>
      <x:c r="E295" s="2" t="n">
        <x:v>5</x:v>
      </x:c>
      <x:c r="F295" s="7" t="n">
        <x:v>80</x:v>
      </x:c>
      <x:c r="G295" s="7" t="n">
        <x:v>55.00000000000001</x:v>
      </x:c>
      <x:c r="H295" s="7" t="n">
        <x:f>IF(F295=0,"n.a.",100*(F295-G295)/F295)</x:f>
        <x:v>31.24999999999999</x:v>
      </x:c>
      <x:c r="I295" s="7" t="n">
        <x:f>F295-G295</x:f>
        <x:v>24.999999999999993</x:v>
      </x:c>
      <x:c r="J295" s="8" t="n">
        <x:v>0.11940198206018504</x:v>
      </x:c>
      <x:c r="K295" s="8" t="n">
        <x:v>0.11940198206018504</x:v>
      </x:c>
      <x:c r="L295" s="8" t="n">
        <x:v>0</x:v>
      </x:c>
      <x:c r="M295" s="7" t="n">
        <x:v>14.640099994721822</x:v>
      </x:c>
      <x:c r="N295" s="2" t="str">
        <x:v>repository_particle_dynamics_on_frozen_qubo</x:v>
      </x:c>
      <x:c r="O295" s="9" t="str">
        <x:v>11001</x:v>
      </x:c>
    </x:row>
    <x:row r="296" ht="18" customHeight="1">
      <x:c r="A296" s="2" t="str">
        <x:v>controlled_n4_single_bottleneck_2</x:v>
      </x:c>
      <x:c r="B296" s="2" t="str">
        <x:v>QAOA</x:v>
      </x:c>
      <x:c r="C296" s="2" t="n">
        <x:v>456</x:v>
      </x:c>
      <x:c r="D296" s="2" t="str">
        <x:v>success</x:v>
      </x:c>
      <x:c r="E296" s="2" t="n">
        <x:v>5</x:v>
      </x:c>
      <x:c r="F296" s="7" t="n">
        <x:v>80</x:v>
      </x:c>
      <x:c r="G296" s="7" t="n">
        <x:v>55.00000000000001</x:v>
      </x:c>
      <x:c r="H296" s="7" t="n">
        <x:f>IF(F296=0,"n.a.",100*(F296-G296)/F296)</x:f>
        <x:v>31.24999999999999</x:v>
      </x:c>
      <x:c r="I296" s="7" t="n">
        <x:f>F296-G296</x:f>
        <x:v>24.999999999999993</x:v>
      </x:c>
      <x:c r="J296" s="8" t="n">
        <x:v>0.11940198206018504</x:v>
      </x:c>
      <x:c r="K296" s="8" t="n">
        <x:v>0.11940198206018504</x:v>
      </x:c>
      <x:c r="L296" s="8" t="n">
        <x:v>0</x:v>
      </x:c>
      <x:c r="M296" s="7" t="n">
        <x:v>218.29030000662897</x:v>
      </x:c>
      <x:c r="N296" s="2" t="str">
        <x:v>qiskit.primitives.StatevectorSampler</x:v>
      </x:c>
      <x:c r="O296" s="9" t="str">
        <x:v>10110</x:v>
      </x:c>
    </x:row>
    <x:row r="297" ht="18" customHeight="1">
      <x:c r="A297" s="2" t="str">
        <x:v>controlled_n4_single_bottleneck_2</x:v>
      </x:c>
      <x:c r="B297" s="2" t="str">
        <x:v>BPSO</x:v>
      </x:c>
      <x:c r="C297" s="2" t="n">
        <x:v>789</x:v>
      </x:c>
      <x:c r="D297" s="2" t="str">
        <x:v>success</x:v>
      </x:c>
      <x:c r="E297" s="2" t="n">
        <x:v>5</x:v>
      </x:c>
      <x:c r="F297" s="7" t="n">
        <x:v>80</x:v>
      </x:c>
      <x:c r="G297" s="7" t="n">
        <x:v>55.00000000000001</x:v>
      </x:c>
      <x:c r="H297" s="7" t="n">
        <x:f>IF(F297=0,"n.a.",100*(F297-G297)/F297)</x:f>
        <x:v>31.24999999999999</x:v>
      </x:c>
      <x:c r="I297" s="7" t="n">
        <x:f>F297-G297</x:f>
        <x:v>24.999999999999993</x:v>
      </x:c>
      <x:c r="J297" s="8" t="n">
        <x:v>0.11940198206018504</x:v>
      </x:c>
      <x:c r="K297" s="8" t="n">
        <x:v>0.11940198206018504</x:v>
      </x:c>
      <x:c r="L297" s="8" t="n">
        <x:v>0</x:v>
      </x:c>
      <x:c r="M297" s="7" t="n">
        <x:v>14.792500005569309</x:v>
      </x:c>
      <x:c r="N297" s="2" t="str">
        <x:v>repository_particle_dynamics_on_frozen_qubo</x:v>
      </x:c>
      <x:c r="O297" s="9" t="str">
        <x:v>00111</x:v>
      </x:c>
    </x:row>
    <x:row r="298" ht="18" customHeight="1">
      <x:c r="A298" s="2" t="str">
        <x:v>controlled_n4_single_bottleneck_2</x:v>
      </x:c>
      <x:c r="B298" s="2" t="str">
        <x:v>QAOA</x:v>
      </x:c>
      <x:c r="C298" s="2" t="n">
        <x:v>789</x:v>
      </x:c>
      <x:c r="D298" s="2" t="str">
        <x:v>success</x:v>
      </x:c>
      <x:c r="E298" s="2" t="n">
        <x:v>5</x:v>
      </x:c>
      <x:c r="F298" s="7" t="n">
        <x:v>80</x:v>
      </x:c>
      <x:c r="G298" s="7" t="n">
        <x:v>55.00000000000001</x:v>
      </x:c>
      <x:c r="H298" s="7" t="n">
        <x:f>IF(F298=0,"n.a.",100*(F298-G298)/F298)</x:f>
        <x:v>31.24999999999999</x:v>
      </x:c>
      <x:c r="I298" s="7" t="n">
        <x:f>F298-G298</x:f>
        <x:v>24.999999999999993</x:v>
      </x:c>
      <x:c r="J298" s="8" t="n">
        <x:v>0.11940198206018504</x:v>
      </x:c>
      <x:c r="K298" s="8" t="n">
        <x:v>0.11940198206018504</x:v>
      </x:c>
      <x:c r="L298" s="8" t="n">
        <x:v>0</x:v>
      </x:c>
      <x:c r="M298" s="7" t="n">
        <x:v>185.67520000215154</x:v>
      </x:c>
      <x:c r="N298" s="2" t="str">
        <x:v>qiskit.primitives.StatevectorSampler</x:v>
      </x:c>
      <x:c r="O298" s="9" t="str">
        <x:v>11100</x:v>
      </x:c>
    </x:row>
    <x:row r="299" ht="18" customHeight="1">
      <x:c r="A299" s="2" t="str">
        <x:v>controlled_n4_single_bottleneck_2</x:v>
      </x:c>
      <x:c r="B299" s="2" t="str">
        <x:v>BPSO</x:v>
      </x:c>
      <x:c r="C299" s="2" t="n">
        <x:v>2026</x:v>
      </x:c>
      <x:c r="D299" s="2" t="str">
        <x:v>success</x:v>
      </x:c>
      <x:c r="E299" s="2" t="n">
        <x:v>5</x:v>
      </x:c>
      <x:c r="F299" s="7" t="n">
        <x:v>80</x:v>
      </x:c>
      <x:c r="G299" s="7" t="n">
        <x:v>55.00000000000001</x:v>
      </x:c>
      <x:c r="H299" s="7" t="n">
        <x:f>IF(F299=0,"n.a.",100*(F299-G299)/F299)</x:f>
        <x:v>31.24999999999999</x:v>
      </x:c>
      <x:c r="I299" s="7" t="n">
        <x:f>F299-G299</x:f>
        <x:v>24.999999999999993</x:v>
      </x:c>
      <x:c r="J299" s="8" t="n">
        <x:v>0.11940198206018504</x:v>
      </x:c>
      <x:c r="K299" s="8" t="n">
        <x:v>0.11940198206018504</x:v>
      </x:c>
      <x:c r="L299" s="8" t="n">
        <x:v>0</x:v>
      </x:c>
      <x:c r="M299" s="7" t="n">
        <x:v>14.748199988389388</x:v>
      </x:c>
      <x:c r="N299" s="2" t="str">
        <x:v>repository_particle_dynamics_on_frozen_qubo</x:v>
      </x:c>
      <x:c r="O299" s="9" t="str">
        <x:v>01110</x:v>
      </x:c>
    </x:row>
    <x:row r="300" ht="18" customHeight="1">
      <x:c r="A300" s="2" t="str">
        <x:v>controlled_n4_single_bottleneck_2</x:v>
      </x:c>
      <x:c r="B300" s="2" t="str">
        <x:v>QAOA</x:v>
      </x:c>
      <x:c r="C300" s="2" t="n">
        <x:v>2026</x:v>
      </x:c>
      <x:c r="D300" s="2" t="str">
        <x:v>success</x:v>
      </x:c>
      <x:c r="E300" s="2" t="n">
        <x:v>5</x:v>
      </x:c>
      <x:c r="F300" s="7" t="n">
        <x:v>80</x:v>
      </x:c>
      <x:c r="G300" s="7" t="n">
        <x:v>55.00000000000001</x:v>
      </x:c>
      <x:c r="H300" s="7" t="n">
        <x:f>IF(F300=0,"n.a.",100*(F300-G300)/F300)</x:f>
        <x:v>31.24999999999999</x:v>
      </x:c>
      <x:c r="I300" s="7" t="n">
        <x:f>F300-G300</x:f>
        <x:v>24.999999999999993</x:v>
      </x:c>
      <x:c r="J300" s="8" t="n">
        <x:v>0.11940198206018504</x:v>
      </x:c>
      <x:c r="K300" s="8" t="n">
        <x:v>0.11940198206018504</x:v>
      </x:c>
      <x:c r="L300" s="8" t="n">
        <x:v>0</x:v>
      </x:c>
      <x:c r="M300" s="7" t="n">
        <x:v>300.69709999952465</x:v>
      </x:c>
      <x:c r="N300" s="2" t="str">
        <x:v>qiskit.primitives.StatevectorSampler</x:v>
      </x:c>
      <x:c r="O300" s="9" t="str">
        <x:v>10110</x:v>
      </x:c>
    </x:row>
    <x:row r="301" ht="18" customHeight="1">
      <x:c r="A301" s="2" t="str">
        <x:v>controlled_n4_single_bottleneck_3</x:v>
      </x:c>
      <x:c r="B301" s="2" t="str">
        <x:v>Unmanaged</x:v>
      </x:c>
      <x:c r="C301" s="2"/>
      <x:c r="D301" s="2" t="str">
        <x:v>baseline</x:v>
      </x:c>
      <x:c r="E301" s="2" t="n">
        <x:v>8</x:v>
      </x:c>
      <x:c r="F301" s="7" t="n">
        <x:v>95</x:v>
      </x:c>
      <x:c r="G301" s="7" t="n">
        <x:v>95</x:v>
      </x:c>
      <x:c r="H301" s="7" t="n">
        <x:f>IF(F301=0,"n.a.",100*(F301-G301)/F301)</x:f>
        <x:v>0</x:v>
      </x:c>
      <x:c r="I301" s="7" t="n">
        <x:f>F301-G301</x:f>
        <x:v>0</x:v>
      </x:c>
      <x:c r="J301" s="8"/>
      <x:c r="K301" s="8" t="n">
        <x:v>0.28276546424897164</x:v>
      </x:c>
      <x:c r="L301" s="8"/>
      <x:c r="M301" s="7"/>
      <x:c r="N301" s="2" t="str">
        <x:v>unmanaged_input</x:v>
      </x:c>
      <x:c r="O301" s="9"/>
    </x:row>
    <x:row r="302" ht="18" customHeight="1">
      <x:c r="A302" s="2" t="str">
        <x:v>controlled_n4_single_bottleneck_3</x:v>
      </x:c>
      <x:c r="B302" s="2" t="str">
        <x:v>Exact J</x:v>
      </x:c>
      <x:c r="C302" s="2"/>
      <x:c r="D302" s="2" t="str">
        <x:v>success</x:v>
      </x:c>
      <x:c r="E302" s="2" t="n">
        <x:v>8</x:v>
      </x:c>
      <x:c r="F302" s="7" t="n">
        <x:v>95</x:v>
      </x:c>
      <x:c r="G302" s="7" t="n">
        <x:v>67.5</x:v>
      </x:c>
      <x:c r="H302" s="7" t="n">
        <x:f>IF(F302=0,"n.a.",100*(F302-G302)/F302)</x:f>
        <x:v>28.94736842105263</x:v>
      </x:c>
      <x:c r="I302" s="7" t="n">
        <x:f>F302-G302</x:f>
        <x:v>27.5</x:v>
      </x:c>
      <x:c r="J302" s="8" t="n">
        <x:v>0.28276546424897164</x:v>
      </x:c>
      <x:c r="K302" s="8" t="n">
        <x:v>0.28276546424897164</x:v>
      </x:c>
      <x:c r="L302" s="8" t="n">
        <x:v>0</x:v>
      </x:c>
      <x:c r="M302" s="7"/>
      <x:c r="N302" s="2" t="str">
        <x:v>exhaustive_enumeration</x:v>
      </x:c>
      <x:c r="O302" s="9" t="str">
        <x:v>00001111</x:v>
      </x:c>
    </x:row>
    <x:row r="303" ht="18" customHeight="1">
      <x:c r="A303" s="2" t="str">
        <x:v>controlled_n4_single_bottleneck_3</x:v>
      </x:c>
      <x:c r="B303" s="2" t="str">
        <x:v>Exact peak</x:v>
      </x:c>
      <x:c r="C303" s="2"/>
      <x:c r="D303" s="2" t="str">
        <x:v>success</x:v>
      </x:c>
      <x:c r="E303" s="2" t="n">
        <x:v>8</x:v>
      </x:c>
      <x:c r="F303" s="7" t="n">
        <x:v>95</x:v>
      </x:c>
      <x:c r="G303" s="7" t="n">
        <x:v>67.5</x:v>
      </x:c>
      <x:c r="H303" s="7" t="n">
        <x:f>IF(F303=0,"n.a.",100*(F303-G303)/F303)</x:f>
        <x:v>28.94736842105263</x:v>
      </x:c>
      <x:c r="I303" s="7" t="n">
        <x:f>F303-G303</x:f>
        <x:v>27.5</x:v>
      </x:c>
      <x:c r="J303" s="8" t="n">
        <x:v>0.28276546424897164</x:v>
      </x:c>
      <x:c r="K303" s="8" t="n">
        <x:v>0.28276546424897164</x:v>
      </x:c>
      <x:c r="L303" s="8" t="n">
        <x:v>0</x:v>
      </x:c>
      <x:c r="M303" s="7"/>
      <x:c r="N303" s="2" t="str">
        <x:v>exhaustive_enumeration</x:v>
      </x:c>
      <x:c r="O303" s="9" t="str">
        <x:v>00001111</x:v>
      </x:c>
    </x:row>
    <x:row r="304" ht="18" customHeight="1">
      <x:c r="A304" s="2" t="str">
        <x:v>controlled_n4_single_bottleneck_3</x:v>
      </x:c>
      <x:c r="B304" s="2" t="str">
        <x:v>BPSO</x:v>
      </x:c>
      <x:c r="C304" s="2" t="n">
        <x:v>42</x:v>
      </x:c>
      <x:c r="D304" s="2" t="str">
        <x:v>success</x:v>
      </x:c>
      <x:c r="E304" s="2" t="n">
        <x:v>8</x:v>
      </x:c>
      <x:c r="F304" s="7" t="n">
        <x:v>95</x:v>
      </x:c>
      <x:c r="G304" s="7" t="n">
        <x:v>67.5</x:v>
      </x:c>
      <x:c r="H304" s="7" t="n">
        <x:f>IF(F304=0,"n.a.",100*(F304-G304)/F304)</x:f>
        <x:v>28.94736842105263</x:v>
      </x:c>
      <x:c r="I304" s="7" t="n">
        <x:f>F304-G304</x:f>
        <x:v>27.5</x:v>
      </x:c>
      <x:c r="J304" s="8" t="n">
        <x:v>0.28276546424897164</x:v>
      </x:c>
      <x:c r="K304" s="8" t="n">
        <x:v>0.28276546424897164</x:v>
      </x:c>
      <x:c r="L304" s="8" t="n">
        <x:v>0</x:v>
      </x:c>
      <x:c r="M304" s="7" t="n">
        <x:v>19.127399995340966</x:v>
      </x:c>
      <x:c r="N304" s="2" t="str">
        <x:v>repository_particle_dynamics_on_frozen_qubo</x:v>
      </x:c>
      <x:c r="O304" s="9" t="str">
        <x:v>00011101</x:v>
      </x:c>
    </x:row>
    <x:row r="305" ht="18" customHeight="1">
      <x:c r="A305" s="2" t="str">
        <x:v>controlled_n4_single_bottleneck_3</x:v>
      </x:c>
      <x:c r="B305" s="2" t="str">
        <x:v>QAOA</x:v>
      </x:c>
      <x:c r="C305" s="2" t="n">
        <x:v>42</x:v>
      </x:c>
      <x:c r="D305" s="2" t="str">
        <x:v>success</x:v>
      </x:c>
      <x:c r="E305" s="2" t="n">
        <x:v>8</x:v>
      </x:c>
      <x:c r="F305" s="7" t="n">
        <x:v>95</x:v>
      </x:c>
      <x:c r="G305" s="7" t="n">
        <x:v>67.5</x:v>
      </x:c>
      <x:c r="H305" s="7" t="n">
        <x:f>IF(F305=0,"n.a.",100*(F305-G305)/F305)</x:f>
        <x:v>28.94736842105263</x:v>
      </x:c>
      <x:c r="I305" s="7" t="n">
        <x:f>F305-G305</x:f>
        <x:v>27.5</x:v>
      </x:c>
      <x:c r="J305" s="8" t="n">
        <x:v>0.28276546424897164</x:v>
      </x:c>
      <x:c r="K305" s="8" t="n">
        <x:v>0.28276546424897164</x:v>
      </x:c>
      <x:c r="L305" s="8" t="n">
        <x:v>0</x:v>
      </x:c>
      <x:c r="M305" s="7" t="n">
        <x:v>482.46140000992455</x:v>
      </x:c>
      <x:c r="N305" s="2" t="str">
        <x:v>qiskit.primitives.StatevectorSampler</x:v>
      </x:c>
      <x:c r="O305" s="9" t="str">
        <x:v>10100101</x:v>
      </x:c>
    </x:row>
    <x:row r="306" ht="18" customHeight="1">
      <x:c r="A306" s="2" t="str">
        <x:v>controlled_n4_single_bottleneck_3</x:v>
      </x:c>
      <x:c r="B306" s="2" t="str">
        <x:v>BPSO</x:v>
      </x:c>
      <x:c r="C306" s="2" t="n">
        <x:v>123</x:v>
      </x:c>
      <x:c r="D306" s="2" t="str">
        <x:v>success</x:v>
      </x:c>
      <x:c r="E306" s="2" t="n">
        <x:v>8</x:v>
      </x:c>
      <x:c r="F306" s="7" t="n">
        <x:v>95</x:v>
      </x:c>
      <x:c r="G306" s="7" t="n">
        <x:v>67.5</x:v>
      </x:c>
      <x:c r="H306" s="7" t="n">
        <x:f>IF(F306=0,"n.a.",100*(F306-G306)/F306)</x:f>
        <x:v>28.94736842105263</x:v>
      </x:c>
      <x:c r="I306" s="7" t="n">
        <x:f>F306-G306</x:f>
        <x:v>27.5</x:v>
      </x:c>
      <x:c r="J306" s="8" t="n">
        <x:v>0.28276546424897164</x:v>
      </x:c>
      <x:c r="K306" s="8" t="n">
        <x:v>0.28276546424897164</x:v>
      </x:c>
      <x:c r="L306" s="8" t="n">
        <x:v>0</x:v>
      </x:c>
      <x:c r="M306" s="7" t="n">
        <x:v>17.78310000372585</x:v>
      </x:c>
      <x:c r="N306" s="2" t="str">
        <x:v>repository_particle_dynamics_on_frozen_qubo</x:v>
      </x:c>
      <x:c r="O306" s="9" t="str">
        <x:v>10110001</x:v>
      </x:c>
    </x:row>
    <x:row r="307" ht="18" customHeight="1">
      <x:c r="A307" s="2" t="str">
        <x:v>controlled_n4_single_bottleneck_3</x:v>
      </x:c>
      <x:c r="B307" s="2" t="str">
        <x:v>QAOA</x:v>
      </x:c>
      <x:c r="C307" s="2" t="n">
        <x:v>123</x:v>
      </x:c>
      <x:c r="D307" s="2" t="str">
        <x:v>success</x:v>
      </x:c>
      <x:c r="E307" s="2" t="n">
        <x:v>8</x:v>
      </x:c>
      <x:c r="F307" s="7" t="n">
        <x:v>95</x:v>
      </x:c>
      <x:c r="G307" s="7" t="n">
        <x:v>67.5</x:v>
      </x:c>
      <x:c r="H307" s="7" t="n">
        <x:f>IF(F307=0,"n.a.",100*(F307-G307)/F307)</x:f>
        <x:v>28.94736842105263</x:v>
      </x:c>
      <x:c r="I307" s="7" t="n">
        <x:f>F307-G307</x:f>
        <x:v>27.5</x:v>
      </x:c>
      <x:c r="J307" s="8" t="n">
        <x:v>0.28276546424897164</x:v>
      </x:c>
      <x:c r="K307" s="8" t="n">
        <x:v>0.28276546424897164</x:v>
      </x:c>
      <x:c r="L307" s="8" t="n">
        <x:v>0</x:v>
      </x:c>
      <x:c r="M307" s="7" t="n">
        <x:v>601.9304000074044</x:v>
      </x:c>
      <x:c r="N307" s="2" t="str">
        <x:v>qiskit.primitives.StatevectorSampler</x:v>
      </x:c>
      <x:c r="O307" s="9" t="str">
        <x:v>01010101</x:v>
      </x:c>
    </x:row>
    <x:row r="308" ht="18" customHeight="1">
      <x:c r="A308" s="2" t="str">
        <x:v>controlled_n4_single_bottleneck_3</x:v>
      </x:c>
      <x:c r="B308" s="2" t="str">
        <x:v>BPSO</x:v>
      </x:c>
      <x:c r="C308" s="2" t="n">
        <x:v>456</x:v>
      </x:c>
      <x:c r="D308" s="2" t="str">
        <x:v>success</x:v>
      </x:c>
      <x:c r="E308" s="2" t="n">
        <x:v>8</x:v>
      </x:c>
      <x:c r="F308" s="7" t="n">
        <x:v>95</x:v>
      </x:c>
      <x:c r="G308" s="7" t="n">
        <x:v>67.5</x:v>
      </x:c>
      <x:c r="H308" s="7" t="n">
        <x:f>IF(F308=0,"n.a.",100*(F308-G308)/F308)</x:f>
        <x:v>28.94736842105263</x:v>
      </x:c>
      <x:c r="I308" s="7" t="n">
        <x:f>F308-G308</x:f>
        <x:v>27.5</x:v>
      </x:c>
      <x:c r="J308" s="8" t="n">
        <x:v>0.28276546424897164</x:v>
      </x:c>
      <x:c r="K308" s="8" t="n">
        <x:v>0.28276546424897164</x:v>
      </x:c>
      <x:c r="L308" s="8" t="n">
        <x:v>0</x:v>
      </x:c>
      <x:c r="M308" s="7" t="n">
        <x:v>20.657599990954623</x:v>
      </x:c>
      <x:c r="N308" s="2" t="str">
        <x:v>repository_particle_dynamics_on_frozen_qubo</x:v>
      </x:c>
      <x:c r="O308" s="9" t="str">
        <x:v>00111010</x:v>
      </x:c>
    </x:row>
    <x:row r="309" ht="18" customHeight="1">
      <x:c r="A309" s="2" t="str">
        <x:v>controlled_n4_single_bottleneck_3</x:v>
      </x:c>
      <x:c r="B309" s="2" t="str">
        <x:v>QAOA</x:v>
      </x:c>
      <x:c r="C309" s="2" t="n">
        <x:v>456</x:v>
      </x:c>
      <x:c r="D309" s="2" t="str">
        <x:v>success</x:v>
      </x:c>
      <x:c r="E309" s="2" t="n">
        <x:v>8</x:v>
      </x:c>
      <x:c r="F309" s="7" t="n">
        <x:v>95</x:v>
      </x:c>
      <x:c r="G309" s="7" t="n">
        <x:v>67.5</x:v>
      </x:c>
      <x:c r="H309" s="7" t="n">
        <x:f>IF(F309=0,"n.a.",100*(F309-G309)/F309)</x:f>
        <x:v>28.94736842105263</x:v>
      </x:c>
      <x:c r="I309" s="7" t="n">
        <x:f>F309-G309</x:f>
        <x:v>27.5</x:v>
      </x:c>
      <x:c r="J309" s="8" t="n">
        <x:v>0.28276546424897164</x:v>
      </x:c>
      <x:c r="K309" s="8" t="n">
        <x:v>0.28276546424897164</x:v>
      </x:c>
      <x:c r="L309" s="8" t="n">
        <x:v>0</x:v>
      </x:c>
      <x:c r="M309" s="7" t="n">
        <x:v>441.70880000456236</x:v>
      </x:c>
      <x:c r="N309" s="2" t="str">
        <x:v>qiskit.primitives.StatevectorSampler</x:v>
      </x:c>
      <x:c r="O309" s="9" t="str">
        <x:v>00010111</x:v>
      </x:c>
    </x:row>
    <x:row r="310" ht="18" customHeight="1">
      <x:c r="A310" s="2" t="str">
        <x:v>controlled_n4_single_bottleneck_3</x:v>
      </x:c>
      <x:c r="B310" s="2" t="str">
        <x:v>BPSO</x:v>
      </x:c>
      <x:c r="C310" s="2" t="n">
        <x:v>789</x:v>
      </x:c>
      <x:c r="D310" s="2" t="str">
        <x:v>success</x:v>
      </x:c>
      <x:c r="E310" s="2" t="n">
        <x:v>8</x:v>
      </x:c>
      <x:c r="F310" s="7" t="n">
        <x:v>95</x:v>
      </x:c>
      <x:c r="G310" s="7" t="n">
        <x:v>67.5</x:v>
      </x:c>
      <x:c r="H310" s="7" t="n">
        <x:f>IF(F310=0,"n.a.",100*(F310-G310)/F310)</x:f>
        <x:v>28.94736842105263</x:v>
      </x:c>
      <x:c r="I310" s="7" t="n">
        <x:f>F310-G310</x:f>
        <x:v>27.5</x:v>
      </x:c>
      <x:c r="J310" s="8" t="n">
        <x:v>0.28276546424897164</x:v>
      </x:c>
      <x:c r="K310" s="8" t="n">
        <x:v>0.28276546424897164</x:v>
      </x:c>
      <x:c r="L310" s="8" t="n">
        <x:v>0</x:v>
      </x:c>
      <x:c r="M310" s="7" t="n">
        <x:v>17.620200000237674</x:v>
      </x:c>
      <x:c r="N310" s="2" t="str">
        <x:v>repository_particle_dynamics_on_frozen_qubo</x:v>
      </x:c>
      <x:c r="O310" s="9" t="str">
        <x:v>01110010</x:v>
      </x:c>
    </x:row>
    <x:row r="311" ht="18" customHeight="1">
      <x:c r="A311" s="2" t="str">
        <x:v>controlled_n4_single_bottleneck_3</x:v>
      </x:c>
      <x:c r="B311" s="2" t="str">
        <x:v>QAOA</x:v>
      </x:c>
      <x:c r="C311" s="2" t="n">
        <x:v>789</x:v>
      </x:c>
      <x:c r="D311" s="2" t="str">
        <x:v>success</x:v>
      </x:c>
      <x:c r="E311" s="2" t="n">
        <x:v>8</x:v>
      </x:c>
      <x:c r="F311" s="7" t="n">
        <x:v>95</x:v>
      </x:c>
      <x:c r="G311" s="7" t="n">
        <x:v>67.5</x:v>
      </x:c>
      <x:c r="H311" s="7" t="n">
        <x:f>IF(F311=0,"n.a.",100*(F311-G311)/F311)</x:f>
        <x:v>28.94736842105263</x:v>
      </x:c>
      <x:c r="I311" s="7" t="n">
        <x:f>F311-G311</x:f>
        <x:v>27.5</x:v>
      </x:c>
      <x:c r="J311" s="8" t="n">
        <x:v>0.28276546424897164</x:v>
      </x:c>
      <x:c r="K311" s="8" t="n">
        <x:v>0.28276546424897164</x:v>
      </x:c>
      <x:c r="L311" s="8" t="n">
        <x:v>0</x:v>
      </x:c>
      <x:c r="M311" s="7" t="n">
        <x:v>484.12419999658596</x:v>
      </x:c>
      <x:c r="N311" s="2" t="str">
        <x:v>qiskit.primitives.StatevectorSampler</x:v>
      </x:c>
      <x:c r="O311" s="9" t="str">
        <x:v>11011000</x:v>
      </x:c>
    </x:row>
    <x:row r="312" ht="18" customHeight="1">
      <x:c r="A312" s="2" t="str">
        <x:v>controlled_n4_single_bottleneck_3</x:v>
      </x:c>
      <x:c r="B312" s="2" t="str">
        <x:v>BPSO</x:v>
      </x:c>
      <x:c r="C312" s="2" t="n">
        <x:v>2026</x:v>
      </x:c>
      <x:c r="D312" s="2" t="str">
        <x:v>success</x:v>
      </x:c>
      <x:c r="E312" s="2" t="n">
        <x:v>8</x:v>
      </x:c>
      <x:c r="F312" s="7" t="n">
        <x:v>95</x:v>
      </x:c>
      <x:c r="G312" s="7" t="n">
        <x:v>67.5</x:v>
      </x:c>
      <x:c r="H312" s="7" t="n">
        <x:f>IF(F312=0,"n.a.",100*(F312-G312)/F312)</x:f>
        <x:v>28.94736842105263</x:v>
      </x:c>
      <x:c r="I312" s="7" t="n">
        <x:f>F312-G312</x:f>
        <x:v>27.5</x:v>
      </x:c>
      <x:c r="J312" s="8" t="n">
        <x:v>0.28276546424897164</x:v>
      </x:c>
      <x:c r="K312" s="8" t="n">
        <x:v>0.28276546424897164</x:v>
      </x:c>
      <x:c r="L312" s="8" t="n">
        <x:v>0</x:v>
      </x:c>
      <x:c r="M312" s="7" t="n">
        <x:v>17.671499997959472</x:v>
      </x:c>
      <x:c r="N312" s="2" t="str">
        <x:v>repository_particle_dynamics_on_frozen_qubo</x:v>
      </x:c>
      <x:c r="O312" s="9" t="str">
        <x:v>11100001</x:v>
      </x:c>
    </x:row>
    <x:row r="313" ht="18" customHeight="1">
      <x:c r="A313" s="2" t="str">
        <x:v>controlled_n4_single_bottleneck_3</x:v>
      </x:c>
      <x:c r="B313" s="2" t="str">
        <x:v>QAOA</x:v>
      </x:c>
      <x:c r="C313" s="2" t="n">
        <x:v>2026</x:v>
      </x:c>
      <x:c r="D313" s="2" t="str">
        <x:v>success</x:v>
      </x:c>
      <x:c r="E313" s="2" t="n">
        <x:v>8</x:v>
      </x:c>
      <x:c r="F313" s="7" t="n">
        <x:v>95</x:v>
      </x:c>
      <x:c r="G313" s="7" t="n">
        <x:v>67.5</x:v>
      </x:c>
      <x:c r="H313" s="7" t="n">
        <x:f>IF(F313=0,"n.a.",100*(F313-G313)/F313)</x:f>
        <x:v>28.94736842105263</x:v>
      </x:c>
      <x:c r="I313" s="7" t="n">
        <x:f>F313-G313</x:f>
        <x:v>27.5</x:v>
      </x:c>
      <x:c r="J313" s="8" t="n">
        <x:v>0.28276546424897164</x:v>
      </x:c>
      <x:c r="K313" s="8" t="n">
        <x:v>0.28276546424897164</x:v>
      </x:c>
      <x:c r="L313" s="8" t="n">
        <x:v>0</x:v>
      </x:c>
      <x:c r="M313" s="7" t="n">
        <x:v>369.14450000040233</x:v>
      </x:c>
      <x:c r="N313" s="2" t="str">
        <x:v>qiskit.primitives.StatevectorSampler</x:v>
      </x:c>
      <x:c r="O313" s="9" t="str">
        <x:v>01110100</x:v>
      </x:c>
    </x:row>
    <x:row r="314" ht="18" customHeight="1">
      <x:c r="A314" s="2" t="str">
        <x:v>controlled_n4_adjacent_bottlenecks_1</x:v>
      </x:c>
      <x:c r="B314" s="2" t="str">
        <x:v>Unmanaged</x:v>
      </x:c>
      <x:c r="C314" s="2"/>
      <x:c r="D314" s="2" t="str">
        <x:v>baseline</x:v>
      </x:c>
      <x:c r="E314" s="2" t="n">
        <x:v>5</x:v>
      </x:c>
      <x:c r="F314" s="7" t="n">
        <x:v>65</x:v>
      </x:c>
      <x:c r="G314" s="7" t="n">
        <x:v>65</x:v>
      </x:c>
      <x:c r="H314" s="7" t="n">
        <x:f>IF(F314=0,"n.a.",100*(F314-G314)/F314)</x:f>
        <x:v>0</x:v>
      </x:c>
      <x:c r="I314" s="7" t="n">
        <x:f>F314-G314</x:f>
        <x:v>0</x:v>
      </x:c>
      <x:c r="J314" s="8"/>
      <x:c r="K314" s="8" t="n">
        <x:v>0.082546947337963</x:v>
      </x:c>
      <x:c r="L314" s="8"/>
      <x:c r="M314" s="7"/>
      <x:c r="N314" s="2" t="str">
        <x:v>unmanaged_input</x:v>
      </x:c>
      <x:c r="O314" s="9"/>
    </x:row>
    <x:row r="315" ht="18" customHeight="1">
      <x:c r="A315" s="2" t="str">
        <x:v>controlled_n4_adjacent_bottlenecks_1</x:v>
      </x:c>
      <x:c r="B315" s="2" t="str">
        <x:v>Exact J</x:v>
      </x:c>
      <x:c r="C315" s="2"/>
      <x:c r="D315" s="2" t="str">
        <x:v>success</x:v>
      </x:c>
      <x:c r="E315" s="2" t="n">
        <x:v>5</x:v>
      </x:c>
      <x:c r="F315" s="7" t="n">
        <x:v>65</x:v>
      </x:c>
      <x:c r="G315" s="7" t="n">
        <x:v>57.49999999999999</x:v>
      </x:c>
      <x:c r="H315" s="7" t="n">
        <x:f>IF(F315=0,"n.a.",100*(F315-G315)/F315)</x:f>
        <x:v>11.538461538461549</x:v>
      </x:c>
      <x:c r="I315" s="7" t="n">
        <x:f>F315-G315</x:f>
        <x:v>7.500000000000007</x:v>
      </x:c>
      <x:c r="J315" s="8" t="n">
        <x:v>0.082546947337963</x:v>
      </x:c>
      <x:c r="K315" s="8" t="n">
        <x:v>0.082546947337963</x:v>
      </x:c>
      <x:c r="L315" s="8" t="n">
        <x:v>0</x:v>
      </x:c>
      <x:c r="M315" s="7"/>
      <x:c r="N315" s="2" t="str">
        <x:v>exhaustive_enumeration</x:v>
      </x:c>
      <x:c r="O315" s="9" t="str">
        <x:v>00101</x:v>
      </x:c>
    </x:row>
    <x:row r="316" ht="18" customHeight="1">
      <x:c r="A316" s="2" t="str">
        <x:v>controlled_n4_adjacent_bottlenecks_1</x:v>
      </x:c>
      <x:c r="B316" s="2" t="str">
        <x:v>Exact peak</x:v>
      </x:c>
      <x:c r="C316" s="2"/>
      <x:c r="D316" s="2" t="str">
        <x:v>success</x:v>
      </x:c>
      <x:c r="E316" s="2" t="n">
        <x:v>5</x:v>
      </x:c>
      <x:c r="F316" s="7" t="n">
        <x:v>65</x:v>
      </x:c>
      <x:c r="G316" s="7" t="n">
        <x:v>57.49999999999999</x:v>
      </x:c>
      <x:c r="H316" s="7" t="n">
        <x:f>IF(F316=0,"n.a.",100*(F316-G316)/F316)</x:f>
        <x:v>11.538461538461549</x:v>
      </x:c>
      <x:c r="I316" s="7" t="n">
        <x:f>F316-G316</x:f>
        <x:v>7.500000000000007</x:v>
      </x:c>
      <x:c r="J316" s="8" t="n">
        <x:v>0.082546947337963</x:v>
      </x:c>
      <x:c r="K316" s="8" t="n">
        <x:v>0.082546947337963</x:v>
      </x:c>
      <x:c r="L316" s="8" t="n">
        <x:v>0</x:v>
      </x:c>
      <x:c r="M316" s="7"/>
      <x:c r="N316" s="2" t="str">
        <x:v>exhaustive_enumeration</x:v>
      </x:c>
      <x:c r="O316" s="9" t="str">
        <x:v>00101</x:v>
      </x:c>
    </x:row>
    <x:row r="317" ht="18" customHeight="1">
      <x:c r="A317" s="2" t="str">
        <x:v>controlled_n4_adjacent_bottlenecks_1</x:v>
      </x:c>
      <x:c r="B317" s="2" t="str">
        <x:v>BPSO</x:v>
      </x:c>
      <x:c r="C317" s="2" t="n">
        <x:v>42</x:v>
      </x:c>
      <x:c r="D317" s="2" t="str">
        <x:v>success</x:v>
      </x:c>
      <x:c r="E317" s="2" t="n">
        <x:v>5</x:v>
      </x:c>
      <x:c r="F317" s="7" t="n">
        <x:v>65</x:v>
      </x:c>
      <x:c r="G317" s="7" t="n">
        <x:v>57.49999999999999</x:v>
      </x:c>
      <x:c r="H317" s="7" t="n">
        <x:f>IF(F317=0,"n.a.",100*(F317-G317)/F317)</x:f>
        <x:v>11.538461538461549</x:v>
      </x:c>
      <x:c r="I317" s="7" t="n">
        <x:f>F317-G317</x:f>
        <x:v>7.500000000000007</x:v>
      </x:c>
      <x:c r="J317" s="8" t="n">
        <x:v>0.082546947337963</x:v>
      </x:c>
      <x:c r="K317" s="8" t="n">
        <x:v>0.082546947337963</x:v>
      </x:c>
      <x:c r="L317" s="8" t="n">
        <x:v>0</x:v>
      </x:c>
      <x:c r="M317" s="7" t="n">
        <x:v>15.354500006651506</x:v>
      </x:c>
      <x:c r="N317" s="2" t="str">
        <x:v>repository_particle_dynamics_on_frozen_qubo</x:v>
      </x:c>
      <x:c r="O317" s="9" t="str">
        <x:v>00110</x:v>
      </x:c>
    </x:row>
    <x:row r="318" ht="18" customHeight="1">
      <x:c r="A318" s="2" t="str">
        <x:v>controlled_n4_adjacent_bottlenecks_1</x:v>
      </x:c>
      <x:c r="B318" s="2" t="str">
        <x:v>QAOA</x:v>
      </x:c>
      <x:c r="C318" s="2" t="n">
        <x:v>42</x:v>
      </x:c>
      <x:c r="D318" s="2" t="str">
        <x:v>success</x:v>
      </x:c>
      <x:c r="E318" s="2" t="n">
        <x:v>5</x:v>
      </x:c>
      <x:c r="F318" s="7" t="n">
        <x:v>65</x:v>
      </x:c>
      <x:c r="G318" s="7" t="n">
        <x:v>57.49999999999999</x:v>
      </x:c>
      <x:c r="H318" s="7" t="n">
        <x:f>IF(F318=0,"n.a.",100*(F318-G318)/F318)</x:f>
        <x:v>11.538461538461549</x:v>
      </x:c>
      <x:c r="I318" s="7" t="n">
        <x:f>F318-G318</x:f>
        <x:v>7.500000000000007</x:v>
      </x:c>
      <x:c r="J318" s="8" t="n">
        <x:v>0.082546947337963</x:v>
      </x:c>
      <x:c r="K318" s="8" t="n">
        <x:v>0.082546947337963</x:v>
      </x:c>
      <x:c r="L318" s="8" t="n">
        <x:v>0</x:v>
      </x:c>
      <x:c r="M318" s="7" t="n">
        <x:v>177.05509999359492</x:v>
      </x:c>
      <x:c r="N318" s="2" t="str">
        <x:v>qiskit.primitives.StatevectorSampler</x:v>
      </x:c>
      <x:c r="O318" s="9" t="str">
        <x:v>00101</x:v>
      </x:c>
    </x:row>
    <x:row r="319" ht="18" customHeight="1">
      <x:c r="A319" s="2" t="str">
        <x:v>controlled_n4_adjacent_bottlenecks_1</x:v>
      </x:c>
      <x:c r="B319" s="2" t="str">
        <x:v>BPSO</x:v>
      </x:c>
      <x:c r="C319" s="2" t="n">
        <x:v>123</x:v>
      </x:c>
      <x:c r="D319" s="2" t="str">
        <x:v>success</x:v>
      </x:c>
      <x:c r="E319" s="2" t="n">
        <x:v>5</x:v>
      </x:c>
      <x:c r="F319" s="7" t="n">
        <x:v>65</x:v>
      </x:c>
      <x:c r="G319" s="7" t="n">
        <x:v>57.49999999999999</x:v>
      </x:c>
      <x:c r="H319" s="7" t="n">
        <x:f>IF(F319=0,"n.a.",100*(F319-G319)/F319)</x:f>
        <x:v>11.538461538461549</x:v>
      </x:c>
      <x:c r="I319" s="7" t="n">
        <x:f>F319-G319</x:f>
        <x:v>7.500000000000007</x:v>
      </x:c>
      <x:c r="J319" s="8" t="n">
        <x:v>0.082546947337963</x:v>
      </x:c>
      <x:c r="K319" s="8" t="n">
        <x:v>0.082546947337963</x:v>
      </x:c>
      <x:c r="L319" s="8" t="n">
        <x:v>0</x:v>
      </x:c>
      <x:c r="M319" s="7" t="n">
        <x:v>15.835900005185977</x:v>
      </x:c>
      <x:c r="N319" s="2" t="str">
        <x:v>repository_particle_dynamics_on_frozen_qubo</x:v>
      </x:c>
      <x:c r="O319" s="9" t="str">
        <x:v>01010</x:v>
      </x:c>
    </x:row>
    <x:row r="320" ht="18" customHeight="1">
      <x:c r="A320" s="2" t="str">
        <x:v>controlled_n4_adjacent_bottlenecks_1</x:v>
      </x:c>
      <x:c r="B320" s="2" t="str">
        <x:v>QAOA</x:v>
      </x:c>
      <x:c r="C320" s="2" t="n">
        <x:v>123</x:v>
      </x:c>
      <x:c r="D320" s="2" t="str">
        <x:v>success</x:v>
      </x:c>
      <x:c r="E320" s="2" t="n">
        <x:v>5</x:v>
      </x:c>
      <x:c r="F320" s="7" t="n">
        <x:v>65</x:v>
      </x:c>
      <x:c r="G320" s="7" t="n">
        <x:v>57.49999999999999</x:v>
      </x:c>
      <x:c r="H320" s="7" t="n">
        <x:f>IF(F320=0,"n.a.",100*(F320-G320)/F320)</x:f>
        <x:v>11.538461538461549</x:v>
      </x:c>
      <x:c r="I320" s="7" t="n">
        <x:f>F320-G320</x:f>
        <x:v>7.500000000000007</x:v>
      </x:c>
      <x:c r="J320" s="8" t="n">
        <x:v>0.082546947337963</x:v>
      </x:c>
      <x:c r="K320" s="8" t="n">
        <x:v>0.082546947337963</x:v>
      </x:c>
      <x:c r="L320" s="8" t="n">
        <x:v>0</x:v>
      </x:c>
      <x:c r="M320" s="7" t="n">
        <x:v>349.073799996404</x:v>
      </x:c>
      <x:c r="N320" s="2" t="str">
        <x:v>qiskit.primitives.StatevectorSampler</x:v>
      </x:c>
      <x:c r="O320" s="9" t="str">
        <x:v>01001</x:v>
      </x:c>
    </x:row>
    <x:row r="321" ht="18" customHeight="1">
      <x:c r="A321" s="2" t="str">
        <x:v>controlled_n4_adjacent_bottlenecks_1</x:v>
      </x:c>
      <x:c r="B321" s="2" t="str">
        <x:v>BPSO</x:v>
      </x:c>
      <x:c r="C321" s="2" t="n">
        <x:v>456</x:v>
      </x:c>
      <x:c r="D321" s="2" t="str">
        <x:v>success</x:v>
      </x:c>
      <x:c r="E321" s="2" t="n">
        <x:v>5</x:v>
      </x:c>
      <x:c r="F321" s="7" t="n">
        <x:v>65</x:v>
      </x:c>
      <x:c r="G321" s="7" t="n">
        <x:v>57.49999999999999</x:v>
      </x:c>
      <x:c r="H321" s="7" t="n">
        <x:f>IF(F321=0,"n.a.",100*(F321-G321)/F321)</x:f>
        <x:v>11.538461538461549</x:v>
      </x:c>
      <x:c r="I321" s="7" t="n">
        <x:f>F321-G321</x:f>
        <x:v>7.500000000000007</x:v>
      </x:c>
      <x:c r="J321" s="8" t="n">
        <x:v>0.082546947337963</x:v>
      </x:c>
      <x:c r="K321" s="8" t="n">
        <x:v>0.082546947337963</x:v>
      </x:c>
      <x:c r="L321" s="8" t="n">
        <x:v>0</x:v>
      </x:c>
      <x:c r="M321" s="7" t="n">
        <x:v>15.235099999699742</x:v>
      </x:c>
      <x:c r="N321" s="2" t="str">
        <x:v>repository_particle_dynamics_on_frozen_qubo</x:v>
      </x:c>
      <x:c r="O321" s="9" t="str">
        <x:v>01001</x:v>
      </x:c>
    </x:row>
    <x:row r="322" ht="18" customHeight="1">
      <x:c r="A322" s="2" t="str">
        <x:v>controlled_n4_adjacent_bottlenecks_1</x:v>
      </x:c>
      <x:c r="B322" s="2" t="str">
        <x:v>QAOA</x:v>
      </x:c>
      <x:c r="C322" s="2" t="n">
        <x:v>456</x:v>
      </x:c>
      <x:c r="D322" s="2" t="str">
        <x:v>success</x:v>
      </x:c>
      <x:c r="E322" s="2" t="n">
        <x:v>5</x:v>
      </x:c>
      <x:c r="F322" s="7" t="n">
        <x:v>65</x:v>
      </x:c>
      <x:c r="G322" s="7" t="n">
        <x:v>57.49999999999999</x:v>
      </x:c>
      <x:c r="H322" s="7" t="n">
        <x:f>IF(F322=0,"n.a.",100*(F322-G322)/F322)</x:f>
        <x:v>11.538461538461549</x:v>
      </x:c>
      <x:c r="I322" s="7" t="n">
        <x:f>F322-G322</x:f>
        <x:v>7.500000000000007</x:v>
      </x:c>
      <x:c r="J322" s="8" t="n">
        <x:v>0.082546947337963</x:v>
      </x:c>
      <x:c r="K322" s="8" t="n">
        <x:v>0.082546947337963</x:v>
      </x:c>
      <x:c r="L322" s="8" t="n">
        <x:v>0</x:v>
      </x:c>
      <x:c r="M322" s="7" t="n">
        <x:v>193.17539999610744</x:v>
      </x:c>
      <x:c r="N322" s="2" t="str">
        <x:v>qiskit.primitives.StatevectorSampler</x:v>
      </x:c>
      <x:c r="O322" s="9" t="str">
        <x:v>01010</x:v>
      </x:c>
    </x:row>
    <x:row r="323" ht="18" customHeight="1">
      <x:c r="A323" s="2" t="str">
        <x:v>controlled_n4_adjacent_bottlenecks_1</x:v>
      </x:c>
      <x:c r="B323" s="2" t="str">
        <x:v>BPSO</x:v>
      </x:c>
      <x:c r="C323" s="2" t="n">
        <x:v>789</x:v>
      </x:c>
      <x:c r="D323" s="2" t="str">
        <x:v>success</x:v>
      </x:c>
      <x:c r="E323" s="2" t="n">
        <x:v>5</x:v>
      </x:c>
      <x:c r="F323" s="7" t="n">
        <x:v>65</x:v>
      </x:c>
      <x:c r="G323" s="7" t="n">
        <x:v>57.49999999999999</x:v>
      </x:c>
      <x:c r="H323" s="7" t="n">
        <x:f>IF(F323=0,"n.a.",100*(F323-G323)/F323)</x:f>
        <x:v>11.538461538461549</x:v>
      </x:c>
      <x:c r="I323" s="7" t="n">
        <x:f>F323-G323</x:f>
        <x:v>7.500000000000007</x:v>
      </x:c>
      <x:c r="J323" s="8" t="n">
        <x:v>0.082546947337963</x:v>
      </x:c>
      <x:c r="K323" s="8" t="n">
        <x:v>0.082546947337963</x:v>
      </x:c>
      <x:c r="L323" s="8" t="n">
        <x:v>0</x:v>
      </x:c>
      <x:c r="M323" s="7" t="n">
        <x:v>15.271999989636242</x:v>
      </x:c>
      <x:c r="N323" s="2" t="str">
        <x:v>repository_particle_dynamics_on_frozen_qubo</x:v>
      </x:c>
      <x:c r="O323" s="9" t="str">
        <x:v>01010</x:v>
      </x:c>
    </x:row>
    <x:row r="324" ht="18" customHeight="1">
      <x:c r="A324" s="2" t="str">
        <x:v>controlled_n4_adjacent_bottlenecks_1</x:v>
      </x:c>
      <x:c r="B324" s="2" t="str">
        <x:v>QAOA</x:v>
      </x:c>
      <x:c r="C324" s="2" t="n">
        <x:v>789</x:v>
      </x:c>
      <x:c r="D324" s="2" t="str">
        <x:v>success</x:v>
      </x:c>
      <x:c r="E324" s="2" t="n">
        <x:v>5</x:v>
      </x:c>
      <x:c r="F324" s="7" t="n">
        <x:v>65</x:v>
      </x:c>
      <x:c r="G324" s="7" t="n">
        <x:v>57.49999999999999</x:v>
      </x:c>
      <x:c r="H324" s="7" t="n">
        <x:f>IF(F324=0,"n.a.",100*(F324-G324)/F324)</x:f>
        <x:v>11.538461538461549</x:v>
      </x:c>
      <x:c r="I324" s="7" t="n">
        <x:f>F324-G324</x:f>
        <x:v>7.500000000000007</x:v>
      </x:c>
      <x:c r="J324" s="8" t="n">
        <x:v>0.082546947337963</x:v>
      </x:c>
      <x:c r="K324" s="8" t="n">
        <x:v>0.082546947337963</x:v>
      </x:c>
      <x:c r="L324" s="8" t="n">
        <x:v>0</x:v>
      </x:c>
      <x:c r="M324" s="7" t="n">
        <x:v>313.2883999933256</x:v>
      </x:c>
      <x:c r="N324" s="2" t="str">
        <x:v>qiskit.primitives.StatevectorSampler</x:v>
      </x:c>
      <x:c r="O324" s="9" t="str">
        <x:v>10001</x:v>
      </x:c>
    </x:row>
    <x:row r="325" ht="18" customHeight="1">
      <x:c r="A325" s="2" t="str">
        <x:v>controlled_n4_adjacent_bottlenecks_1</x:v>
      </x:c>
      <x:c r="B325" s="2" t="str">
        <x:v>BPSO</x:v>
      </x:c>
      <x:c r="C325" s="2" t="n">
        <x:v>2026</x:v>
      </x:c>
      <x:c r="D325" s="2" t="str">
        <x:v>success</x:v>
      </x:c>
      <x:c r="E325" s="2" t="n">
        <x:v>5</x:v>
      </x:c>
      <x:c r="F325" s="7" t="n">
        <x:v>65</x:v>
      </x:c>
      <x:c r="G325" s="7" t="n">
        <x:v>57.49999999999999</x:v>
      </x:c>
      <x:c r="H325" s="7" t="n">
        <x:f>IF(F325=0,"n.a.",100*(F325-G325)/F325)</x:f>
        <x:v>11.538461538461549</x:v>
      </x:c>
      <x:c r="I325" s="7" t="n">
        <x:f>F325-G325</x:f>
        <x:v>7.500000000000007</x:v>
      </x:c>
      <x:c r="J325" s="8" t="n">
        <x:v>0.082546947337963</x:v>
      </x:c>
      <x:c r="K325" s="8" t="n">
        <x:v>0.082546947337963</x:v>
      </x:c>
      <x:c r="L325" s="8" t="n">
        <x:v>0</x:v>
      </x:c>
      <x:c r="M325" s="7" t="n">
        <x:v>15.117999995709397</x:v>
      </x:c>
      <x:c r="N325" s="2" t="str">
        <x:v>repository_particle_dynamics_on_frozen_qubo</x:v>
      </x:c>
      <x:c r="O325" s="9" t="str">
        <x:v>10010</x:v>
      </x:c>
    </x:row>
    <x:row r="326" ht="18" customHeight="1">
      <x:c r="A326" s="2" t="str">
        <x:v>controlled_n4_adjacent_bottlenecks_1</x:v>
      </x:c>
      <x:c r="B326" s="2" t="str">
        <x:v>QAOA</x:v>
      </x:c>
      <x:c r="C326" s="2" t="n">
        <x:v>2026</x:v>
      </x:c>
      <x:c r="D326" s="2" t="str">
        <x:v>success</x:v>
      </x:c>
      <x:c r="E326" s="2" t="n">
        <x:v>5</x:v>
      </x:c>
      <x:c r="F326" s="7" t="n">
        <x:v>65</x:v>
      </x:c>
      <x:c r="G326" s="7" t="n">
        <x:v>57.49999999999999</x:v>
      </x:c>
      <x:c r="H326" s="7" t="n">
        <x:f>IF(F326=0,"n.a.",100*(F326-G326)/F326)</x:f>
        <x:v>11.538461538461549</x:v>
      </x:c>
      <x:c r="I326" s="7" t="n">
        <x:f>F326-G326</x:f>
        <x:v>7.500000000000007</x:v>
      </x:c>
      <x:c r="J326" s="8" t="n">
        <x:v>0.082546947337963</x:v>
      </x:c>
      <x:c r="K326" s="8" t="n">
        <x:v>0.082546947337963</x:v>
      </x:c>
      <x:c r="L326" s="8" t="n">
        <x:v>0</x:v>
      </x:c>
      <x:c r="M326" s="7" t="n">
        <x:v>205.12159999634605</x:v>
      </x:c>
      <x:c r="N326" s="2" t="str">
        <x:v>qiskit.primitives.StatevectorSampler</x:v>
      </x:c>
      <x:c r="O326" s="9" t="str">
        <x:v>10001</x:v>
      </x:c>
    </x:row>
    <x:row r="327" ht="18" customHeight="1">
      <x:c r="A327" s="2" t="str">
        <x:v>controlled_n4_adjacent_bottlenecks_2</x:v>
      </x:c>
      <x:c r="B327" s="2" t="str">
        <x:v>Unmanaged</x:v>
      </x:c>
      <x:c r="C327" s="2"/>
      <x:c r="D327" s="2" t="str">
        <x:v>baseline</x:v>
      </x:c>
      <x:c r="E327" s="2" t="n">
        <x:v>9</x:v>
      </x:c>
      <x:c r="F327" s="7" t="n">
        <x:v>80</x:v>
      </x:c>
      <x:c r="G327" s="7" t="n">
        <x:v>80</x:v>
      </x:c>
      <x:c r="H327" s="7" t="n">
        <x:f>IF(F327=0,"n.a.",100*(F327-G327)/F327)</x:f>
        <x:v>0</x:v>
      </x:c>
      <x:c r="I327" s="7" t="n">
        <x:f>F327-G327</x:f>
        <x:v>0</x:v>
      </x:c>
      <x:c r="J327" s="8"/>
      <x:c r="K327" s="8" t="n">
        <x:v>0.3412510308159722</x:v>
      </x:c>
      <x:c r="L327" s="8"/>
      <x:c r="M327" s="7"/>
      <x:c r="N327" s="2" t="str">
        <x:v>unmanaged_input</x:v>
      </x:c>
      <x:c r="O327" s="9"/>
    </x:row>
    <x:row r="328" ht="18" customHeight="1">
      <x:c r="A328" s="2" t="str">
        <x:v>controlled_n4_adjacent_bottlenecks_2</x:v>
      </x:c>
      <x:c r="B328" s="2" t="str">
        <x:v>Exact J</x:v>
      </x:c>
      <x:c r="C328" s="2"/>
      <x:c r="D328" s="2" t="str">
        <x:v>success</x:v>
      </x:c>
      <x:c r="E328" s="2" t="n">
        <x:v>9</x:v>
      </x:c>
      <x:c r="F328" s="7" t="n">
        <x:v>80</x:v>
      </x:c>
      <x:c r="G328" s="7" t="n">
        <x:v>80</x:v>
      </x:c>
      <x:c r="H328" s="7" t="n">
        <x:f>IF(F328=0,"n.a.",100*(F328-G328)/F328)</x:f>
        <x:v>0</x:v>
      </x:c>
      <x:c r="I328" s="7" t="n">
        <x:f>F328-G328</x:f>
        <x:v>0</x:v>
      </x:c>
      <x:c r="J328" s="8" t="n">
        <x:v>0.3412510308159722</x:v>
      </x:c>
      <x:c r="K328" s="8" t="n">
        <x:v>0.3412510308159722</x:v>
      </x:c>
      <x:c r="L328" s="8" t="n">
        <x:v>0</x:v>
      </x:c>
      <x:c r="M328" s="7"/>
      <x:c r="N328" s="2" t="str">
        <x:v>exhaustive_enumeration</x:v>
      </x:c>
      <x:c r="O328" s="9" t="str">
        <x:v>000010011</x:v>
      </x:c>
    </x:row>
    <x:row r="329" ht="18" customHeight="1">
      <x:c r="A329" s="2" t="str">
        <x:v>controlled_n4_adjacent_bottlenecks_2</x:v>
      </x:c>
      <x:c r="B329" s="2" t="str">
        <x:v>Exact peak</x:v>
      </x:c>
      <x:c r="C329" s="2"/>
      <x:c r="D329" s="2" t="str">
        <x:v>success</x:v>
      </x:c>
      <x:c r="E329" s="2" t="n">
        <x:v>9</x:v>
      </x:c>
      <x:c r="F329" s="7" t="n">
        <x:v>80</x:v>
      </x:c>
      <x:c r="G329" s="7" t="n">
        <x:v>71.66666666666667</x:v>
      </x:c>
      <x:c r="H329" s="7" t="n">
        <x:f>IF(F329=0,"n.a.",100*(F329-G329)/F329)</x:f>
        <x:v>10.41666666666666</x:v>
      </x:c>
      <x:c r="I329" s="7" t="n">
        <x:f>F329-G329</x:f>
        <x:v>8.333333333333329</x:v>
      </x:c>
      <x:c r="J329" s="8" t="n">
        <x:v>0.34798816872427984</x:v>
      </x:c>
      <x:c r="K329" s="8" t="n">
        <x:v>0.3412510308159722</x:v>
      </x:c>
      <x:c r="L329" s="8" t="n">
        <x:v>0.0067371379083076555</x:v>
      </x:c>
      <x:c r="M329" s="7"/>
      <x:c r="N329" s="2" t="str">
        <x:v>exhaustive_enumeration</x:v>
      </x:c>
      <x:c r="O329" s="9" t="str">
        <x:v>000110011</x:v>
      </x:c>
    </x:row>
    <x:row r="330" ht="18" customHeight="1">
      <x:c r="A330" s="2" t="str">
        <x:v>controlled_n4_adjacent_bottlenecks_2</x:v>
      </x:c>
      <x:c r="B330" s="2" t="str">
        <x:v>BPSO</x:v>
      </x:c>
      <x:c r="C330" s="2" t="n">
        <x:v>42</x:v>
      </x:c>
      <x:c r="D330" s="2" t="str">
        <x:v>success</x:v>
      </x:c>
      <x:c r="E330" s="2" t="n">
        <x:v>9</x:v>
      </x:c>
      <x:c r="F330" s="7" t="n">
        <x:v>80</x:v>
      </x:c>
      <x:c r="G330" s="7" t="n">
        <x:v>80</x:v>
      </x:c>
      <x:c r="H330" s="7" t="n">
        <x:f>IF(F330=0,"n.a.",100*(F330-G330)/F330)</x:f>
        <x:v>0</x:v>
      </x:c>
      <x:c r="I330" s="7" t="n">
        <x:f>F330-G330</x:f>
        <x:v>0</x:v>
      </x:c>
      <x:c r="J330" s="8" t="n">
        <x:v>0.3412510308159722</x:v>
      </x:c>
      <x:c r="K330" s="8" t="n">
        <x:v>0.3412510308159722</x:v>
      </x:c>
      <x:c r="L330" s="8" t="n">
        <x:v>0</x:v>
      </x:c>
      <x:c r="M330" s="7" t="n">
        <x:v>19.530200006556697</x:v>
      </x:c>
      <x:c r="N330" s="2" t="str">
        <x:v>repository_particle_dynamics_on_frozen_qubo</x:v>
      </x:c>
      <x:c r="O330" s="9" t="str">
        <x:v>000100110</x:v>
      </x:c>
    </x:row>
    <x:row r="331" ht="18" customHeight="1">
      <x:c r="A331" s="2" t="str">
        <x:v>controlled_n4_adjacent_bottlenecks_2</x:v>
      </x:c>
      <x:c r="B331" s="2" t="str">
        <x:v>QAOA</x:v>
      </x:c>
      <x:c r="C331" s="2" t="n">
        <x:v>42</x:v>
      </x:c>
      <x:c r="D331" s="2" t="str">
        <x:v>success</x:v>
      </x:c>
      <x:c r="E331" s="2" t="n">
        <x:v>9</x:v>
      </x:c>
      <x:c r="F331" s="7" t="n">
        <x:v>80</x:v>
      </x:c>
      <x:c r="G331" s="7" t="n">
        <x:v>80</x:v>
      </x:c>
      <x:c r="H331" s="7" t="n">
        <x:f>IF(F331=0,"n.a.",100*(F331-G331)/F331)</x:f>
        <x:v>0</x:v>
      </x:c>
      <x:c r="I331" s="7" t="n">
        <x:f>F331-G331</x:f>
        <x:v>0</x:v>
      </x:c>
      <x:c r="J331" s="8" t="n">
        <x:v>0.3412510308159722</x:v>
      </x:c>
      <x:c r="K331" s="8" t="n">
        <x:v>0.3412510308159722</x:v>
      </x:c>
      <x:c r="L331" s="8" t="n">
        <x:v>0</x:v>
      </x:c>
      <x:c r="M331" s="7" t="n">
        <x:v>589.8223999975016</x:v>
      </x:c>
      <x:c r="N331" s="2" t="str">
        <x:v>qiskit.primitives.StatevectorSampler</x:v>
      </x:c>
      <x:c r="O331" s="9" t="str">
        <x:v>000101100</x:v>
      </x:c>
    </x:row>
    <x:row r="332" ht="18" customHeight="1">
      <x:c r="A332" s="2" t="str">
        <x:v>controlled_n4_adjacent_bottlenecks_2</x:v>
      </x:c>
      <x:c r="B332" s="2" t="str">
        <x:v>BPSO</x:v>
      </x:c>
      <x:c r="C332" s="2" t="n">
        <x:v>123</x:v>
      </x:c>
      <x:c r="D332" s="2" t="str">
        <x:v>success</x:v>
      </x:c>
      <x:c r="E332" s="2" t="n">
        <x:v>9</x:v>
      </x:c>
      <x:c r="F332" s="7" t="n">
        <x:v>80</x:v>
      </x:c>
      <x:c r="G332" s="7" t="n">
        <x:v>80</x:v>
      </x:c>
      <x:c r="H332" s="7" t="n">
        <x:f>IF(F332=0,"n.a.",100*(F332-G332)/F332)</x:f>
        <x:v>0</x:v>
      </x:c>
      <x:c r="I332" s="7" t="n">
        <x:f>F332-G332</x:f>
        <x:v>0</x:v>
      </x:c>
      <x:c r="J332" s="8" t="n">
        <x:v>0.3412510308159722</x:v>
      </x:c>
      <x:c r="K332" s="8" t="n">
        <x:v>0.3412510308159722</x:v>
      </x:c>
      <x:c r="L332" s="8" t="n">
        <x:v>0</x:v>
      </x:c>
      <x:c r="M332" s="7" t="n">
        <x:v>19.532500009518117</x:v>
      </x:c>
      <x:c r="N332" s="2" t="str">
        <x:v>repository_particle_dynamics_on_frozen_qubo</x:v>
      </x:c>
      <x:c r="O332" s="9" t="str">
        <x:v>000010011</x:v>
      </x:c>
    </x:row>
    <x:row r="333" ht="18" customHeight="1">
      <x:c r="A333" s="2" t="str">
        <x:v>controlled_n4_adjacent_bottlenecks_2</x:v>
      </x:c>
      <x:c r="B333" s="2" t="str">
        <x:v>QAOA</x:v>
      </x:c>
      <x:c r="C333" s="2" t="n">
        <x:v>123</x:v>
      </x:c>
      <x:c r="D333" s="2" t="str">
        <x:v>success</x:v>
      </x:c>
      <x:c r="E333" s="2" t="n">
        <x:v>9</x:v>
      </x:c>
      <x:c r="F333" s="7" t="n">
        <x:v>80</x:v>
      </x:c>
      <x:c r="G333" s="7" t="n">
        <x:v>80</x:v>
      </x:c>
      <x:c r="H333" s="7" t="n">
        <x:f>IF(F333=0,"n.a.",100*(F333-G333)/F333)</x:f>
        <x:v>0</x:v>
      </x:c>
      <x:c r="I333" s="7" t="n">
        <x:f>F333-G333</x:f>
        <x:v>0</x:v>
      </x:c>
      <x:c r="J333" s="8" t="n">
        <x:v>0.3412510308159722</x:v>
      </x:c>
      <x:c r="K333" s="8" t="n">
        <x:v>0.3412510308159722</x:v>
      </x:c>
      <x:c r="L333" s="8" t="n">
        <x:v>0</x:v>
      </x:c>
      <x:c r="M333" s="7" t="n">
        <x:v>624.9295000015991</x:v>
      </x:c>
      <x:c r="N333" s="2" t="str">
        <x:v>qiskit.primitives.StatevectorSampler</x:v>
      </x:c>
      <x:c r="O333" s="9" t="str">
        <x:v>000010110</x:v>
      </x:c>
    </x:row>
    <x:row r="334" ht="18" customHeight="1">
      <x:c r="A334" s="2" t="str">
        <x:v>controlled_n4_adjacent_bottlenecks_2</x:v>
      </x:c>
      <x:c r="B334" s="2" t="str">
        <x:v>BPSO</x:v>
      </x:c>
      <x:c r="C334" s="2" t="n">
        <x:v>456</x:v>
      </x:c>
      <x:c r="D334" s="2" t="str">
        <x:v>success</x:v>
      </x:c>
      <x:c r="E334" s="2" t="n">
        <x:v>9</x:v>
      </x:c>
      <x:c r="F334" s="7" t="n">
        <x:v>80</x:v>
      </x:c>
      <x:c r="G334" s="7" t="n">
        <x:v>80</x:v>
      </x:c>
      <x:c r="H334" s="7" t="n">
        <x:f>IF(F334=0,"n.a.",100*(F334-G334)/F334)</x:f>
        <x:v>0</x:v>
      </x:c>
      <x:c r="I334" s="7" t="n">
        <x:f>F334-G334</x:f>
        <x:v>0</x:v>
      </x:c>
      <x:c r="J334" s="8" t="n">
        <x:v>0.3412510308159722</x:v>
      </x:c>
      <x:c r="K334" s="8" t="n">
        <x:v>0.3412510308159722</x:v>
      </x:c>
      <x:c r="L334" s="8" t="n">
        <x:v>0</x:v>
      </x:c>
      <x:c r="M334" s="7" t="n">
        <x:v>19.04459999059327</x:v>
      </x:c>
      <x:c r="N334" s="2" t="str">
        <x:v>repository_particle_dynamics_on_frozen_qubo</x:v>
      </x:c>
      <x:c r="O334" s="9" t="str">
        <x:v>100001100</x:v>
      </x:c>
    </x:row>
    <x:row r="335" ht="18" customHeight="1">
      <x:c r="A335" s="2" t="str">
        <x:v>controlled_n4_adjacent_bottlenecks_2</x:v>
      </x:c>
      <x:c r="B335" s="2" t="str">
        <x:v>QAOA</x:v>
      </x:c>
      <x:c r="C335" s="2" t="n">
        <x:v>456</x:v>
      </x:c>
      <x:c r="D335" s="2" t="str">
        <x:v>success</x:v>
      </x:c>
      <x:c r="E335" s="2" t="n">
        <x:v>9</x:v>
      </x:c>
      <x:c r="F335" s="7" t="n">
        <x:v>80</x:v>
      </x:c>
      <x:c r="G335" s="7" t="n">
        <x:v>80</x:v>
      </x:c>
      <x:c r="H335" s="7" t="n">
        <x:f>IF(F335=0,"n.a.",100*(F335-G335)/F335)</x:f>
        <x:v>0</x:v>
      </x:c>
      <x:c r="I335" s="7" t="n">
        <x:f>F335-G335</x:f>
        <x:v>0</x:v>
      </x:c>
      <x:c r="J335" s="8" t="n">
        <x:v>0.3412510308159722</x:v>
      </x:c>
      <x:c r="K335" s="8" t="n">
        <x:v>0.3412510308159722</x:v>
      </x:c>
      <x:c r="L335" s="8" t="n">
        <x:v>0</x:v>
      </x:c>
      <x:c r="M335" s="7" t="n">
        <x:v>605.1819999993313</x:v>
      </x:c>
      <x:c r="N335" s="2" t="str">
        <x:v>qiskit.primitives.StatevectorSampler</x:v>
      </x:c>
      <x:c r="O335" s="9" t="str">
        <x:v>000100101</x:v>
      </x:c>
    </x:row>
    <x:row r="336" ht="18" customHeight="1">
      <x:c r="A336" s="2" t="str">
        <x:v>controlled_n4_adjacent_bottlenecks_2</x:v>
      </x:c>
      <x:c r="B336" s="2" t="str">
        <x:v>BPSO</x:v>
      </x:c>
      <x:c r="C336" s="2" t="n">
        <x:v>789</x:v>
      </x:c>
      <x:c r="D336" s="2" t="str">
        <x:v>success</x:v>
      </x:c>
      <x:c r="E336" s="2" t="n">
        <x:v>9</x:v>
      </x:c>
      <x:c r="F336" s="7" t="n">
        <x:v>80</x:v>
      </x:c>
      <x:c r="G336" s="7" t="n">
        <x:v>80</x:v>
      </x:c>
      <x:c r="H336" s="7" t="n">
        <x:f>IF(F336=0,"n.a.",100*(F336-G336)/F336)</x:f>
        <x:v>0</x:v>
      </x:c>
      <x:c r="I336" s="7" t="n">
        <x:f>F336-G336</x:f>
        <x:v>0</x:v>
      </x:c>
      <x:c r="J336" s="8" t="n">
        <x:v>0.3412510308159722</x:v>
      </x:c>
      <x:c r="K336" s="8" t="n">
        <x:v>0.3412510308159722</x:v>
      </x:c>
      <x:c r="L336" s="8" t="n">
        <x:v>0</x:v>
      </x:c>
      <x:c r="M336" s="7" t="n">
        <x:v>19.732599990675226</x:v>
      </x:c>
      <x:c r="N336" s="2" t="str">
        <x:v>repository_particle_dynamics_on_frozen_qubo</x:v>
      </x:c>
      <x:c r="O336" s="9" t="str">
        <x:v>001001001</x:v>
      </x:c>
    </x:row>
    <x:row r="337" ht="18" customHeight="1">
      <x:c r="A337" s="2" t="str">
        <x:v>controlled_n4_adjacent_bottlenecks_2</x:v>
      </x:c>
      <x:c r="B337" s="2" t="str">
        <x:v>QAOA</x:v>
      </x:c>
      <x:c r="C337" s="2" t="n">
        <x:v>789</x:v>
      </x:c>
      <x:c r="D337" s="2" t="str">
        <x:v>success</x:v>
      </x:c>
      <x:c r="E337" s="2" t="n">
        <x:v>9</x:v>
      </x:c>
      <x:c r="F337" s="7" t="n">
        <x:v>80</x:v>
      </x:c>
      <x:c r="G337" s="7" t="n">
        <x:v>80</x:v>
      </x:c>
      <x:c r="H337" s="7" t="n">
        <x:f>IF(F337=0,"n.a.",100*(F337-G337)/F337)</x:f>
        <x:v>0</x:v>
      </x:c>
      <x:c r="I337" s="7" t="n">
        <x:f>F337-G337</x:f>
        <x:v>0</x:v>
      </x:c>
      <x:c r="J337" s="8" t="n">
        <x:v>0.3412510308159722</x:v>
      </x:c>
      <x:c r="K337" s="8" t="n">
        <x:v>0.3412510308159722</x:v>
      </x:c>
      <x:c r="L337" s="8" t="n">
        <x:v>0</x:v>
      </x:c>
      <x:c r="M337" s="7" t="n">
        <x:v>599.6321999991778</x:v>
      </x:c>
      <x:c r="N337" s="2" t="str">
        <x:v>qiskit.primitives.StatevectorSampler</x:v>
      </x:c>
      <x:c r="O337" s="9" t="str">
        <x:v>100000101</x:v>
      </x:c>
    </x:row>
    <x:row r="338" ht="18" customHeight="1">
      <x:c r="A338" s="2" t="str">
        <x:v>controlled_n4_adjacent_bottlenecks_2</x:v>
      </x:c>
      <x:c r="B338" s="2" t="str">
        <x:v>BPSO</x:v>
      </x:c>
      <x:c r="C338" s="2" t="n">
        <x:v>2026</x:v>
      </x:c>
      <x:c r="D338" s="2" t="str">
        <x:v>success</x:v>
      </x:c>
      <x:c r="E338" s="2" t="n">
        <x:v>9</x:v>
      </x:c>
      <x:c r="F338" s="7" t="n">
        <x:v>80</x:v>
      </x:c>
      <x:c r="G338" s="7" t="n">
        <x:v>80</x:v>
      </x:c>
      <x:c r="H338" s="7" t="n">
        <x:f>IF(F338=0,"n.a.",100*(F338-G338)/F338)</x:f>
        <x:v>0</x:v>
      </x:c>
      <x:c r="I338" s="7" t="n">
        <x:f>F338-G338</x:f>
        <x:v>0</x:v>
      </x:c>
      <x:c r="J338" s="8" t="n">
        <x:v>0.3412510308159722</x:v>
      </x:c>
      <x:c r="K338" s="8" t="n">
        <x:v>0.3412510308159722</x:v>
      </x:c>
      <x:c r="L338" s="8" t="n">
        <x:v>0</x:v>
      </x:c>
      <x:c r="M338" s="7" t="n">
        <x:v>20.293800000217743</x:v>
      </x:c>
      <x:c r="N338" s="2" t="str">
        <x:v>repository_particle_dynamics_on_frozen_qubo</x:v>
      </x:c>
      <x:c r="O338" s="9" t="str">
        <x:v>100000101</x:v>
      </x:c>
    </x:row>
    <x:row r="339" ht="18" customHeight="1">
      <x:c r="A339" s="2" t="str">
        <x:v>controlled_n4_adjacent_bottlenecks_2</x:v>
      </x:c>
      <x:c r="B339" s="2" t="str">
        <x:v>QAOA</x:v>
      </x:c>
      <x:c r="C339" s="2" t="n">
        <x:v>2026</x:v>
      </x:c>
      <x:c r="D339" s="2" t="str">
        <x:v>success</x:v>
      </x:c>
      <x:c r="E339" s="2" t="n">
        <x:v>9</x:v>
      </x:c>
      <x:c r="F339" s="7" t="n">
        <x:v>80</x:v>
      </x:c>
      <x:c r="G339" s="7" t="n">
        <x:v>80</x:v>
      </x:c>
      <x:c r="H339" s="7" t="n">
        <x:f>IF(F339=0,"n.a.",100*(F339-G339)/F339)</x:f>
        <x:v>0</x:v>
      </x:c>
      <x:c r="I339" s="7" t="n">
        <x:f>F339-G339</x:f>
        <x:v>0</x:v>
      </x:c>
      <x:c r="J339" s="8" t="n">
        <x:v>0.3412510308159722</x:v>
      </x:c>
      <x:c r="K339" s="8" t="n">
        <x:v>0.3412510308159722</x:v>
      </x:c>
      <x:c r="L339" s="8" t="n">
        <x:v>0</x:v>
      </x:c>
      <x:c r="M339" s="7" t="n">
        <x:v>545.1113999879453</x:v>
      </x:c>
      <x:c r="N339" s="2" t="str">
        <x:v>qiskit.primitives.StatevectorSampler</x:v>
      </x:c>
      <x:c r="O339" s="9" t="str">
        <x:v>010000101</x:v>
      </x:c>
    </x:row>
    <x:row r="340" ht="18" customHeight="1">
      <x:c r="A340" s="2" t="str">
        <x:v>controlled_n4_adjacent_bottlenecks_3</x:v>
      </x:c>
      <x:c r="B340" s="2" t="str">
        <x:v>Unmanaged</x:v>
      </x:c>
      <x:c r="C340" s="2"/>
      <x:c r="D340" s="2" t="str">
        <x:v>baseline</x:v>
      </x:c>
      <x:c r="E340" s="2" t="n">
        <x:v>10</x:v>
      </x:c>
      <x:c r="F340" s="7" t="n">
        <x:v>95</x:v>
      </x:c>
      <x:c r="G340" s="7" t="n">
        <x:v>95</x:v>
      </x:c>
      <x:c r="H340" s="7" t="n">
        <x:f>IF(F340=0,"n.a.",100*(F340-G340)/F340)</x:f>
        <x:v>0</x:v>
      </x:c>
      <x:c r="I340" s="7" t="n">
        <x:f>F340-G340</x:f>
        <x:v>0</x:v>
      </x:c>
      <x:c r="J340" s="8"/>
      <x:c r="K340" s="8" t="n">
        <x:v>1.2346205652809927</x:v>
      </x:c>
      <x:c r="L340" s="8"/>
      <x:c r="M340" s="7"/>
      <x:c r="N340" s="2" t="str">
        <x:v>unmanaged_input</x:v>
      </x:c>
      <x:c r="O340" s="9"/>
    </x:row>
    <x:row r="341" ht="18" customHeight="1">
      <x:c r="A341" s="2" t="str">
        <x:v>controlled_n4_adjacent_bottlenecks_3</x:v>
      </x:c>
      <x:c r="B341" s="2" t="str">
        <x:v>Exact J</x:v>
      </x:c>
      <x:c r="C341" s="2"/>
      <x:c r="D341" s="2" t="str">
        <x:v>success</x:v>
      </x:c>
      <x:c r="E341" s="2" t="n">
        <x:v>10</x:v>
      </x:c>
      <x:c r="F341" s="7" t="n">
        <x:v>95</x:v>
      </x:c>
      <x:c r="G341" s="7" t="n">
        <x:v>88.33333333333333</x:v>
      </x:c>
      <x:c r="H341" s="7" t="n">
        <x:f>IF(F341=0,"n.a.",100*(F341-G341)/F341)</x:f>
        <x:v>7.017543859649129</x:v>
      </x:c>
      <x:c r="I341" s="7" t="n">
        <x:f>F341-G341</x:f>
        <x:v>6.666666666666671</x:v>
      </x:c>
      <x:c r="J341" s="8" t="n">
        <x:v>1.2346205652809927</x:v>
      </x:c>
      <x:c r="K341" s="8" t="n">
        <x:v>1.2346205652809927</x:v>
      </x:c>
      <x:c r="L341" s="8" t="n">
        <x:v>0</x:v>
      </x:c>
      <x:c r="M341" s="7"/>
      <x:c r="N341" s="2" t="str">
        <x:v>exhaustive_enumeration</x:v>
      </x:c>
      <x:c r="O341" s="9" t="str">
        <x:v>0000000111</x:v>
      </x:c>
    </x:row>
    <x:row r="342" ht="18" customHeight="1">
      <x:c r="A342" s="2" t="str">
        <x:v>controlled_n4_adjacent_bottlenecks_3</x:v>
      </x:c>
      <x:c r="B342" s="2" t="str">
        <x:v>Exact peak</x:v>
      </x:c>
      <x:c r="C342" s="2"/>
      <x:c r="D342" s="2" t="str">
        <x:v>success</x:v>
      </x:c>
      <x:c r="E342" s="2" t="n">
        <x:v>10</x:v>
      </x:c>
      <x:c r="F342" s="7" t="n">
        <x:v>95</x:v>
      </x:c>
      <x:c r="G342" s="7" t="n">
        <x:v>88.33333333333333</x:v>
      </x:c>
      <x:c r="H342" s="7" t="n">
        <x:f>IF(F342=0,"n.a.",100*(F342-G342)/F342)</x:f>
        <x:v>7.017543859649129</x:v>
      </x:c>
      <x:c r="I342" s="7" t="n">
        <x:f>F342-G342</x:f>
        <x:v>6.666666666666671</x:v>
      </x:c>
      <x:c r="J342" s="8" t="n">
        <x:v>1.2346205652809927</x:v>
      </x:c>
      <x:c r="K342" s="8" t="n">
        <x:v>1.2346205652809927</x:v>
      </x:c>
      <x:c r="L342" s="8" t="n">
        <x:v>0</x:v>
      </x:c>
      <x:c r="M342" s="7"/>
      <x:c r="N342" s="2" t="str">
        <x:v>exhaustive_enumeration</x:v>
      </x:c>
      <x:c r="O342" s="9" t="str">
        <x:v>0000000111</x:v>
      </x:c>
    </x:row>
    <x:row r="343" ht="18" customHeight="1">
      <x:c r="A343" s="2" t="str">
        <x:v>controlled_n4_adjacent_bottlenecks_3</x:v>
      </x:c>
      <x:c r="B343" s="2" t="str">
        <x:v>BPSO</x:v>
      </x:c>
      <x:c r="C343" s="2" t="n">
        <x:v>42</x:v>
      </x:c>
      <x:c r="D343" s="2" t="str">
        <x:v>success</x:v>
      </x:c>
      <x:c r="E343" s="2" t="n">
        <x:v>10</x:v>
      </x:c>
      <x:c r="F343" s="7" t="n">
        <x:v>95</x:v>
      </x:c>
      <x:c r="G343" s="7" t="n">
        <x:v>88.33333333333333</x:v>
      </x:c>
      <x:c r="H343" s="7" t="n">
        <x:f>IF(F343=0,"n.a.",100*(F343-G343)/F343)</x:f>
        <x:v>7.017543859649129</x:v>
      </x:c>
      <x:c r="I343" s="7" t="n">
        <x:f>F343-G343</x:f>
        <x:v>6.666666666666671</x:v>
      </x:c>
      <x:c r="J343" s="8" t="n">
        <x:v>1.2346205652809927</x:v>
      </x:c>
      <x:c r="K343" s="8" t="n">
        <x:v>1.2346205652809927</x:v>
      </x:c>
      <x:c r="L343" s="8" t="n">
        <x:v>0</x:v>
      </x:c>
      <x:c r="M343" s="7" t="n">
        <x:v>33.56500000518281</x:v>
      </x:c>
      <x:c r="N343" s="2" t="str">
        <x:v>repository_particle_dynamics_on_frozen_qubo</x:v>
      </x:c>
      <x:c r="O343" s="9" t="str">
        <x:v>0010000011</x:v>
      </x:c>
    </x:row>
    <x:row r="344" ht="18" customHeight="1">
      <x:c r="A344" s="2" t="str">
        <x:v>controlled_n4_adjacent_bottlenecks_3</x:v>
      </x:c>
      <x:c r="B344" s="2" t="str">
        <x:v>QAOA</x:v>
      </x:c>
      <x:c r="C344" s="2" t="n">
        <x:v>42</x:v>
      </x:c>
      <x:c r="D344" s="2" t="str">
        <x:v>success</x:v>
      </x:c>
      <x:c r="E344" s="2" t="n">
        <x:v>10</x:v>
      </x:c>
      <x:c r="F344" s="7" t="n">
        <x:v>95</x:v>
      </x:c>
      <x:c r="G344" s="7" t="n">
        <x:v>88.33333333333333</x:v>
      </x:c>
      <x:c r="H344" s="7" t="n">
        <x:f>IF(F344=0,"n.a.",100*(F344-G344)/F344)</x:f>
        <x:v>7.017543859649129</x:v>
      </x:c>
      <x:c r="I344" s="7" t="n">
        <x:f>F344-G344</x:f>
        <x:v>6.666666666666671</x:v>
      </x:c>
      <x:c r="J344" s="8" t="n">
        <x:v>1.2346205652809927</x:v>
      </x:c>
      <x:c r="K344" s="8" t="n">
        <x:v>1.2346205652809927</x:v>
      </x:c>
      <x:c r="L344" s="8" t="n">
        <x:v>0</x:v>
      </x:c>
      <x:c r="M344" s="7" t="n">
        <x:v>831.3419999903999</x:v>
      </x:c>
      <x:c r="N344" s="2" t="str">
        <x:v>qiskit.primitives.StatevectorSampler</x:v>
      </x:c>
      <x:c r="O344" s="9" t="str">
        <x:v>0000000111</x:v>
      </x:c>
    </x:row>
    <x:row r="345" ht="18" customHeight="1">
      <x:c r="A345" s="2" t="str">
        <x:v>controlled_n4_adjacent_bottlenecks_3</x:v>
      </x:c>
      <x:c r="B345" s="2" t="str">
        <x:v>BPSO</x:v>
      </x:c>
      <x:c r="C345" s="2" t="n">
        <x:v>123</x:v>
      </x:c>
      <x:c r="D345" s="2" t="str">
        <x:v>success</x:v>
      </x:c>
      <x:c r="E345" s="2" t="n">
        <x:v>10</x:v>
      </x:c>
      <x:c r="F345" s="7" t="n">
        <x:v>95</x:v>
      </x:c>
      <x:c r="G345" s="7" t="n">
        <x:v>88.33333333333333</x:v>
      </x:c>
      <x:c r="H345" s="7" t="n">
        <x:f>IF(F345=0,"n.a.",100*(F345-G345)/F345)</x:f>
        <x:v>7.017543859649129</x:v>
      </x:c>
      <x:c r="I345" s="7" t="n">
        <x:f>F345-G345</x:f>
        <x:v>6.666666666666671</x:v>
      </x:c>
      <x:c r="J345" s="8" t="n">
        <x:v>1.2346205652809927</x:v>
      </x:c>
      <x:c r="K345" s="8" t="n">
        <x:v>1.2346205652809927</x:v>
      </x:c>
      <x:c r="L345" s="8" t="n">
        <x:v>0</x:v>
      </x:c>
      <x:c r="M345" s="7" t="n">
        <x:v>20.71720000822097</x:v>
      </x:c>
      <x:c r="N345" s="2" t="str">
        <x:v>repository_particle_dynamics_on_frozen_qubo</x:v>
      </x:c>
      <x:c r="O345" s="9" t="str">
        <x:v>1000000011</x:v>
      </x:c>
    </x:row>
    <x:row r="346" ht="18" customHeight="1">
      <x:c r="A346" s="2" t="str">
        <x:v>controlled_n4_adjacent_bottlenecks_3</x:v>
      </x:c>
      <x:c r="B346" s="2" t="str">
        <x:v>QAOA</x:v>
      </x:c>
      <x:c r="C346" s="2" t="n">
        <x:v>123</x:v>
      </x:c>
      <x:c r="D346" s="2" t="str">
        <x:v>success</x:v>
      </x:c>
      <x:c r="E346" s="2" t="n">
        <x:v>10</x:v>
      </x:c>
      <x:c r="F346" s="7" t="n">
        <x:v>95</x:v>
      </x:c>
      <x:c r="G346" s="7" t="n">
        <x:v>88.33333333333333</x:v>
      </x:c>
      <x:c r="H346" s="7" t="n">
        <x:f>IF(F346=0,"n.a.",100*(F346-G346)/F346)</x:f>
        <x:v>7.017543859649129</x:v>
      </x:c>
      <x:c r="I346" s="7" t="n">
        <x:f>F346-G346</x:f>
        <x:v>6.666666666666671</x:v>
      </x:c>
      <x:c r="J346" s="8" t="n">
        <x:v>1.2346205652809927</x:v>
      </x:c>
      <x:c r="K346" s="8" t="n">
        <x:v>1.2346205652809927</x:v>
      </x:c>
      <x:c r="L346" s="8" t="n">
        <x:v>0</x:v>
      </x:c>
      <x:c r="M346" s="7" t="n">
        <x:v>657.437600006233</x:v>
      </x:c>
      <x:c r="N346" s="2" t="str">
        <x:v>qiskit.primitives.StatevectorSampler</x:v>
      </x:c>
      <x:c r="O346" s="9" t="str">
        <x:v>0000100011</x:v>
      </x:c>
    </x:row>
    <x:row r="347" ht="18" customHeight="1">
      <x:c r="A347" s="2" t="str">
        <x:v>controlled_n4_adjacent_bottlenecks_3</x:v>
      </x:c>
      <x:c r="B347" s="2" t="str">
        <x:v>BPSO</x:v>
      </x:c>
      <x:c r="C347" s="2" t="n">
        <x:v>456</x:v>
      </x:c>
      <x:c r="D347" s="2" t="str">
        <x:v>success</x:v>
      </x:c>
      <x:c r="E347" s="2" t="n">
        <x:v>10</x:v>
      </x:c>
      <x:c r="F347" s="7" t="n">
        <x:v>95</x:v>
      </x:c>
      <x:c r="G347" s="7" t="n">
        <x:v>88.33333333333333</x:v>
      </x:c>
      <x:c r="H347" s="7" t="n">
        <x:f>IF(F347=0,"n.a.",100*(F347-G347)/F347)</x:f>
        <x:v>7.017543859649129</x:v>
      </x:c>
      <x:c r="I347" s="7" t="n">
        <x:f>F347-G347</x:f>
        <x:v>6.666666666666671</x:v>
      </x:c>
      <x:c r="J347" s="8" t="n">
        <x:v>1.2346205652809927</x:v>
      </x:c>
      <x:c r="K347" s="8" t="n">
        <x:v>1.2346205652809927</x:v>
      </x:c>
      <x:c r="L347" s="8" t="n">
        <x:v>0</x:v>
      </x:c>
      <x:c r="M347" s="7" t="n">
        <x:v>21.579899999778718</x:v>
      </x:c>
      <x:c r="N347" s="2" t="str">
        <x:v>repository_particle_dynamics_on_frozen_qubo</x:v>
      </x:c>
      <x:c r="O347" s="9" t="str">
        <x:v>0000100011</x:v>
      </x:c>
    </x:row>
    <x:row r="348" ht="18" customHeight="1">
      <x:c r="A348" s="2" t="str">
        <x:v>controlled_n4_adjacent_bottlenecks_3</x:v>
      </x:c>
      <x:c r="B348" s="2" t="str">
        <x:v>QAOA</x:v>
      </x:c>
      <x:c r="C348" s="2" t="n">
        <x:v>456</x:v>
      </x:c>
      <x:c r="D348" s="2" t="str">
        <x:v>success</x:v>
      </x:c>
      <x:c r="E348" s="2" t="n">
        <x:v>10</x:v>
      </x:c>
      <x:c r="F348" s="7" t="n">
        <x:v>95</x:v>
      </x:c>
      <x:c r="G348" s="7" t="n">
        <x:v>88.33333333333333</x:v>
      </x:c>
      <x:c r="H348" s="7" t="n">
        <x:f>IF(F348=0,"n.a.",100*(F348-G348)/F348)</x:f>
        <x:v>7.017543859649129</x:v>
      </x:c>
      <x:c r="I348" s="7" t="n">
        <x:f>F348-G348</x:f>
        <x:v>6.666666666666671</x:v>
      </x:c>
      <x:c r="J348" s="8" t="n">
        <x:v>1.2346205652809927</x:v>
      </x:c>
      <x:c r="K348" s="8" t="n">
        <x:v>1.2346205652809927</x:v>
      </x:c>
      <x:c r="L348" s="8" t="n">
        <x:v>0</x:v>
      </x:c>
      <x:c r="M348" s="7" t="n">
        <x:v>632.9006000014488</x:v>
      </x:c>
      <x:c r="N348" s="2" t="str">
        <x:v>qiskit.primitives.StatevectorSampler</x:v>
      </x:c>
      <x:c r="O348" s="9" t="str">
        <x:v>0000000111</x:v>
      </x:c>
    </x:row>
    <x:row r="349" ht="18" customHeight="1">
      <x:c r="A349" s="2" t="str">
        <x:v>controlled_n4_adjacent_bottlenecks_3</x:v>
      </x:c>
      <x:c r="B349" s="2" t="str">
        <x:v>BPSO</x:v>
      </x:c>
      <x:c r="C349" s="2" t="n">
        <x:v>789</x:v>
      </x:c>
      <x:c r="D349" s="2" t="str">
        <x:v>success</x:v>
      </x:c>
      <x:c r="E349" s="2" t="n">
        <x:v>10</x:v>
      </x:c>
      <x:c r="F349" s="7" t="n">
        <x:v>95</x:v>
      </x:c>
      <x:c r="G349" s="7" t="n">
        <x:v>88.33333333333333</x:v>
      </x:c>
      <x:c r="H349" s="7" t="n">
        <x:f>IF(F349=0,"n.a.",100*(F349-G349)/F349)</x:f>
        <x:v>7.017543859649129</x:v>
      </x:c>
      <x:c r="I349" s="7" t="n">
        <x:f>F349-G349</x:f>
        <x:v>6.666666666666671</x:v>
      </x:c>
      <x:c r="J349" s="8" t="n">
        <x:v>1.2346205652809927</x:v>
      </x:c>
      <x:c r="K349" s="8" t="n">
        <x:v>1.2346205652809927</x:v>
      </x:c>
      <x:c r="L349" s="8" t="n">
        <x:v>0</x:v>
      </x:c>
      <x:c r="M349" s="7" t="n">
        <x:v>22.972499995375983</x:v>
      </x:c>
      <x:c r="N349" s="2" t="str">
        <x:v>repository_particle_dynamics_on_frozen_qubo</x:v>
      </x:c>
      <x:c r="O349" s="9" t="str">
        <x:v>0010000011</x:v>
      </x:c>
    </x:row>
    <x:row r="350" ht="18" customHeight="1">
      <x:c r="A350" s="2" t="str">
        <x:v>controlled_n4_adjacent_bottlenecks_3</x:v>
      </x:c>
      <x:c r="B350" s="2" t="str">
        <x:v>QAOA</x:v>
      </x:c>
      <x:c r="C350" s="2" t="n">
        <x:v>789</x:v>
      </x:c>
      <x:c r="D350" s="2" t="str">
        <x:v>success</x:v>
      </x:c>
      <x:c r="E350" s="2" t="n">
        <x:v>10</x:v>
      </x:c>
      <x:c r="F350" s="7" t="n">
        <x:v>95</x:v>
      </x:c>
      <x:c r="G350" s="7" t="n">
        <x:v>88.33333333333333</x:v>
      </x:c>
      <x:c r="H350" s="7" t="n">
        <x:f>IF(F350=0,"n.a.",100*(F350-G350)/F350)</x:f>
        <x:v>7.017543859649129</x:v>
      </x:c>
      <x:c r="I350" s="7" t="n">
        <x:f>F350-G350</x:f>
        <x:v>6.666666666666671</x:v>
      </x:c>
      <x:c r="J350" s="8" t="n">
        <x:v>1.2346205652809927</x:v>
      </x:c>
      <x:c r="K350" s="8" t="n">
        <x:v>1.2346205652809927</x:v>
      </x:c>
      <x:c r="L350" s="8" t="n">
        <x:v>0</x:v>
      </x:c>
      <x:c r="M350" s="7" t="n">
        <x:v>937.0589000027394</x:v>
      </x:c>
      <x:c r="N350" s="2" t="str">
        <x:v>qiskit.primitives.StatevectorSampler</x:v>
      </x:c>
      <x:c r="O350" s="9" t="str">
        <x:v>1000000011</x:v>
      </x:c>
    </x:row>
    <x:row r="351" ht="18" customHeight="1">
      <x:c r="A351" s="2" t="str">
        <x:v>controlled_n4_adjacent_bottlenecks_3</x:v>
      </x:c>
      <x:c r="B351" s="2" t="str">
        <x:v>BPSO</x:v>
      </x:c>
      <x:c r="C351" s="2" t="n">
        <x:v>2026</x:v>
      </x:c>
      <x:c r="D351" s="2" t="str">
        <x:v>success</x:v>
      </x:c>
      <x:c r="E351" s="2" t="n">
        <x:v>10</x:v>
      </x:c>
      <x:c r="F351" s="7" t="n">
        <x:v>95</x:v>
      </x:c>
      <x:c r="G351" s="7" t="n">
        <x:v>88.33333333333333</x:v>
      </x:c>
      <x:c r="H351" s="7" t="n">
        <x:f>IF(F351=0,"n.a.",100*(F351-G351)/F351)</x:f>
        <x:v>7.017543859649129</x:v>
      </x:c>
      <x:c r="I351" s="7" t="n">
        <x:f>F351-G351</x:f>
        <x:v>6.666666666666671</x:v>
      </x:c>
      <x:c r="J351" s="8" t="n">
        <x:v>1.2346205652809927</x:v>
      </x:c>
      <x:c r="K351" s="8" t="n">
        <x:v>1.2346205652809927</x:v>
      </x:c>
      <x:c r="L351" s="8" t="n">
        <x:v>0</x:v>
      </x:c>
      <x:c r="M351" s="7" t="n">
        <x:v>22.55810001224745</x:v>
      </x:c>
      <x:c r="N351" s="2" t="str">
        <x:v>repository_particle_dynamics_on_frozen_qubo</x:v>
      </x:c>
      <x:c r="O351" s="9" t="str">
        <x:v>0000010011</x:v>
      </x:c>
    </x:row>
    <x:row r="352" ht="18" customHeight="1">
      <x:c r="A352" s="2" t="str">
        <x:v>controlled_n4_adjacent_bottlenecks_3</x:v>
      </x:c>
      <x:c r="B352" s="2" t="str">
        <x:v>QAOA</x:v>
      </x:c>
      <x:c r="C352" s="2" t="n">
        <x:v>2026</x:v>
      </x:c>
      <x:c r="D352" s="2" t="str">
        <x:v>success</x:v>
      </x:c>
      <x:c r="E352" s="2" t="n">
        <x:v>10</x:v>
      </x:c>
      <x:c r="F352" s="7" t="n">
        <x:v>95</x:v>
      </x:c>
      <x:c r="G352" s="7" t="n">
        <x:v>88.33333333333333</x:v>
      </x:c>
      <x:c r="H352" s="7" t="n">
        <x:f>IF(F352=0,"n.a.",100*(F352-G352)/F352)</x:f>
        <x:v>7.017543859649129</x:v>
      </x:c>
      <x:c r="I352" s="7" t="n">
        <x:f>F352-G352</x:f>
        <x:v>6.666666666666671</x:v>
      </x:c>
      <x:c r="J352" s="8" t="n">
        <x:v>1.2346205652809927</x:v>
      </x:c>
      <x:c r="K352" s="8" t="n">
        <x:v>1.2346205652809927</x:v>
      </x:c>
      <x:c r="L352" s="8" t="n">
        <x:v>0</x:v>
      </x:c>
      <x:c r="M352" s="7" t="n">
        <x:v>688.5509999992792</x:v>
      </x:c>
      <x:c r="N352" s="2" t="str">
        <x:v>qiskit.primitives.StatevectorSampler</x:v>
      </x:c>
      <x:c r="O352" s="9" t="str">
        <x:v>0100000011</x:v>
      </x:c>
    </x:row>
    <x:row r="353" ht="18" customHeight="1">
      <x:c r="A353" s="2" t="str">
        <x:v>controlled_n4_separated_bottlenecks_1</x:v>
      </x:c>
      <x:c r="B353" s="2" t="str">
        <x:v>Unmanaged</x:v>
      </x:c>
      <x:c r="C353" s="2"/>
      <x:c r="D353" s="2" t="str">
        <x:v>baseline</x:v>
      </x:c>
      <x:c r="E353" s="2" t="n">
        <x:v>5</x:v>
      </x:c>
      <x:c r="F353" s="7" t="n">
        <x:v>65</x:v>
      </x:c>
      <x:c r="G353" s="7" t="n">
        <x:v>65</x:v>
      </x:c>
      <x:c r="H353" s="7" t="n">
        <x:f>IF(F353=0,"n.a.",100*(F353-G353)/F353)</x:f>
        <x:v>0</x:v>
      </x:c>
      <x:c r="I353" s="7" t="n">
        <x:f>F353-G353</x:f>
        <x:v>0</x:v>
      </x:c>
      <x:c r="J353" s="8"/>
      <x:c r="K353" s="8" t="n">
        <x:v>0.018622468171296314</x:v>
      </x:c>
      <x:c r="L353" s="8"/>
      <x:c r="M353" s="7"/>
      <x:c r="N353" s="2" t="str">
        <x:v>unmanaged_input</x:v>
      </x:c>
      <x:c r="O353" s="9"/>
    </x:row>
    <x:row r="354" ht="18" customHeight="1">
      <x:c r="A354" s="2" t="str">
        <x:v>controlled_n4_separated_bottlenecks_1</x:v>
      </x:c>
      <x:c r="B354" s="2" t="str">
        <x:v>Exact J</x:v>
      </x:c>
      <x:c r="C354" s="2"/>
      <x:c r="D354" s="2" t="str">
        <x:v>success</x:v>
      </x:c>
      <x:c r="E354" s="2" t="n">
        <x:v>5</x:v>
      </x:c>
      <x:c r="F354" s="7" t="n">
        <x:v>65</x:v>
      </x:c>
      <x:c r="G354" s="7" t="n">
        <x:v>55.00000000000001</x:v>
      </x:c>
      <x:c r="H354" s="7" t="n">
        <x:f>IF(F354=0,"n.a.",100*(F354-G354)/F354)</x:f>
        <x:v>15.384615384615374</x:v>
      </x:c>
      <x:c r="I354" s="7" t="n">
        <x:f>F354-G354</x:f>
        <x:v>9.999999999999993</x:v>
      </x:c>
      <x:c r="J354" s="8" t="n">
        <x:v>0.018622468171296314</x:v>
      </x:c>
      <x:c r="K354" s="8" t="n">
        <x:v>0.018622468171296314</x:v>
      </x:c>
      <x:c r="L354" s="8" t="n">
        <x:v>0</x:v>
      </x:c>
      <x:c r="M354" s="7"/>
      <x:c r="N354" s="2" t="str">
        <x:v>exhaustive_enumeration</x:v>
      </x:c>
      <x:c r="O354" s="9" t="str">
        <x:v>01101</x:v>
      </x:c>
    </x:row>
    <x:row r="355" ht="18" customHeight="1">
      <x:c r="A355" s="2" t="str">
        <x:v>controlled_n4_separated_bottlenecks_1</x:v>
      </x:c>
      <x:c r="B355" s="2" t="str">
        <x:v>Exact peak</x:v>
      </x:c>
      <x:c r="C355" s="2"/>
      <x:c r="D355" s="2" t="str">
        <x:v>success</x:v>
      </x:c>
      <x:c r="E355" s="2" t="n">
        <x:v>5</x:v>
      </x:c>
      <x:c r="F355" s="7" t="n">
        <x:v>65</x:v>
      </x:c>
      <x:c r="G355" s="7" t="n">
        <x:v>55.00000000000001</x:v>
      </x:c>
      <x:c r="H355" s="7" t="n">
        <x:f>IF(F355=0,"n.a.",100*(F355-G355)/F355)</x:f>
        <x:v>15.384615384615374</x:v>
      </x:c>
      <x:c r="I355" s="7" t="n">
        <x:f>F355-G355</x:f>
        <x:v>9.999999999999993</x:v>
      </x:c>
      <x:c r="J355" s="8" t="n">
        <x:v>0.018622468171296314</x:v>
      </x:c>
      <x:c r="K355" s="8" t="n">
        <x:v>0.018622468171296314</x:v>
      </x:c>
      <x:c r="L355" s="8" t="n">
        <x:v>0</x:v>
      </x:c>
      <x:c r="M355" s="7"/>
      <x:c r="N355" s="2" t="str">
        <x:v>exhaustive_enumeration</x:v>
      </x:c>
      <x:c r="O355" s="9" t="str">
        <x:v>01101</x:v>
      </x:c>
    </x:row>
    <x:row r="356" ht="18" customHeight="1">
      <x:c r="A356" s="2" t="str">
        <x:v>controlled_n4_separated_bottlenecks_1</x:v>
      </x:c>
      <x:c r="B356" s="2" t="str">
        <x:v>BPSO</x:v>
      </x:c>
      <x:c r="C356" s="2" t="n">
        <x:v>42</x:v>
      </x:c>
      <x:c r="D356" s="2" t="str">
        <x:v>success</x:v>
      </x:c>
      <x:c r="E356" s="2" t="n">
        <x:v>5</x:v>
      </x:c>
      <x:c r="F356" s="7" t="n">
        <x:v>65</x:v>
      </x:c>
      <x:c r="G356" s="7" t="n">
        <x:v>55.00000000000001</x:v>
      </x:c>
      <x:c r="H356" s="7" t="n">
        <x:f>IF(F356=0,"n.a.",100*(F356-G356)/F356)</x:f>
        <x:v>15.384615384615374</x:v>
      </x:c>
      <x:c r="I356" s="7" t="n">
        <x:f>F356-G356</x:f>
        <x:v>9.999999999999993</x:v>
      </x:c>
      <x:c r="J356" s="8" t="n">
        <x:v>0.018622468171296314</x:v>
      </x:c>
      <x:c r="K356" s="8" t="n">
        <x:v>0.018622468171296314</x:v>
      </x:c>
      <x:c r="L356" s="8" t="n">
        <x:v>0</x:v>
      </x:c>
      <x:c r="M356" s="7" t="n">
        <x:v>14.92050000524614</x:v>
      </x:c>
      <x:c r="N356" s="2" t="str">
        <x:v>repository_particle_dynamics_on_frozen_qubo</x:v>
      </x:c>
      <x:c r="O356" s="9" t="str">
        <x:v>10110</x:v>
      </x:c>
    </x:row>
    <x:row r="357" ht="18" customHeight="1">
      <x:c r="A357" s="2" t="str">
        <x:v>controlled_n4_separated_bottlenecks_1</x:v>
      </x:c>
      <x:c r="B357" s="2" t="str">
        <x:v>QAOA</x:v>
      </x:c>
      <x:c r="C357" s="2" t="n">
        <x:v>42</x:v>
      </x:c>
      <x:c r="D357" s="2" t="str">
        <x:v>success</x:v>
      </x:c>
      <x:c r="E357" s="2" t="n">
        <x:v>5</x:v>
      </x:c>
      <x:c r="F357" s="7" t="n">
        <x:v>65</x:v>
      </x:c>
      <x:c r="G357" s="7" t="n">
        <x:v>55.00000000000001</x:v>
      </x:c>
      <x:c r="H357" s="7" t="n">
        <x:f>IF(F357=0,"n.a.",100*(F357-G357)/F357)</x:f>
        <x:v>15.384615384615374</x:v>
      </x:c>
      <x:c r="I357" s="7" t="n">
        <x:f>F357-G357</x:f>
        <x:v>9.999999999999993</x:v>
      </x:c>
      <x:c r="J357" s="8" t="n">
        <x:v>0.018622468171296314</x:v>
      </x:c>
      <x:c r="K357" s="8" t="n">
        <x:v>0.018622468171296314</x:v>
      </x:c>
      <x:c r="L357" s="8" t="n">
        <x:v>0</x:v>
      </x:c>
      <x:c r="M357" s="7" t="n">
        <x:v>286.5277000091737</x:v>
      </x:c>
      <x:c r="N357" s="2" t="str">
        <x:v>qiskit.primitives.StatevectorSampler</x:v>
      </x:c>
      <x:c r="O357" s="9" t="str">
        <x:v>01101</x:v>
      </x:c>
    </x:row>
    <x:row r="358" ht="18" customHeight="1">
      <x:c r="A358" s="2" t="str">
        <x:v>controlled_n4_separated_bottlenecks_1</x:v>
      </x:c>
      <x:c r="B358" s="2" t="str">
        <x:v>BPSO</x:v>
      </x:c>
      <x:c r="C358" s="2" t="n">
        <x:v>123</x:v>
      </x:c>
      <x:c r="D358" s="2" t="str">
        <x:v>success</x:v>
      </x:c>
      <x:c r="E358" s="2" t="n">
        <x:v>5</x:v>
      </x:c>
      <x:c r="F358" s="7" t="n">
        <x:v>65</x:v>
      </x:c>
      <x:c r="G358" s="7" t="n">
        <x:v>55.00000000000001</x:v>
      </x:c>
      <x:c r="H358" s="7" t="n">
        <x:f>IF(F358=0,"n.a.",100*(F358-G358)/F358)</x:f>
        <x:v>15.384615384615374</x:v>
      </x:c>
      <x:c r="I358" s="7" t="n">
        <x:f>F358-G358</x:f>
        <x:v>9.999999999999993</x:v>
      </x:c>
      <x:c r="J358" s="8" t="n">
        <x:v>0.018622468171296314</x:v>
      </x:c>
      <x:c r="K358" s="8" t="n">
        <x:v>0.018622468171296314</x:v>
      </x:c>
      <x:c r="L358" s="8" t="n">
        <x:v>0</x:v>
      </x:c>
      <x:c r="M358" s="7" t="n">
        <x:v>15.63229999737814</x:v>
      </x:c>
      <x:c r="N358" s="2" t="str">
        <x:v>repository_particle_dynamics_on_frozen_qubo</x:v>
      </x:c>
      <x:c r="O358" s="9" t="str">
        <x:v>10101</x:v>
      </x:c>
    </x:row>
    <x:row r="359" ht="18" customHeight="1">
      <x:c r="A359" s="2" t="str">
        <x:v>controlled_n4_separated_bottlenecks_1</x:v>
      </x:c>
      <x:c r="B359" s="2" t="str">
        <x:v>QAOA</x:v>
      </x:c>
      <x:c r="C359" s="2" t="n">
        <x:v>123</x:v>
      </x:c>
      <x:c r="D359" s="2" t="str">
        <x:v>success</x:v>
      </x:c>
      <x:c r="E359" s="2" t="n">
        <x:v>5</x:v>
      </x:c>
      <x:c r="F359" s="7" t="n">
        <x:v>65</x:v>
      </x:c>
      <x:c r="G359" s="7" t="n">
        <x:v>55.00000000000001</x:v>
      </x:c>
      <x:c r="H359" s="7" t="n">
        <x:f>IF(F359=0,"n.a.",100*(F359-G359)/F359)</x:f>
        <x:v>15.384615384615374</x:v>
      </x:c>
      <x:c r="I359" s="7" t="n">
        <x:f>F359-G359</x:f>
        <x:v>9.999999999999993</x:v>
      </x:c>
      <x:c r="J359" s="8" t="n">
        <x:v>0.018622468171296314</x:v>
      </x:c>
      <x:c r="K359" s="8" t="n">
        <x:v>0.018622468171296314</x:v>
      </x:c>
      <x:c r="L359" s="8" t="n">
        <x:v>0</x:v>
      </x:c>
      <x:c r="M359" s="7" t="n">
        <x:v>203.4325999993598</x:v>
      </x:c>
      <x:c r="N359" s="2" t="str">
        <x:v>qiskit.primitives.StatevectorSampler</x:v>
      </x:c>
      <x:c r="O359" s="9" t="str">
        <x:v>10101</x:v>
      </x:c>
    </x:row>
    <x:row r="360" ht="18" customHeight="1">
      <x:c r="A360" s="2" t="str">
        <x:v>controlled_n4_separated_bottlenecks_1</x:v>
      </x:c>
      <x:c r="B360" s="2" t="str">
        <x:v>BPSO</x:v>
      </x:c>
      <x:c r="C360" s="2" t="n">
        <x:v>456</x:v>
      </x:c>
      <x:c r="D360" s="2" t="str">
        <x:v>success</x:v>
      </x:c>
      <x:c r="E360" s="2" t="n">
        <x:v>5</x:v>
      </x:c>
      <x:c r="F360" s="7" t="n">
        <x:v>65</x:v>
      </x:c>
      <x:c r="G360" s="7" t="n">
        <x:v>55.00000000000001</x:v>
      </x:c>
      <x:c r="H360" s="7" t="n">
        <x:f>IF(F360=0,"n.a.",100*(F360-G360)/F360)</x:f>
        <x:v>15.384615384615374</x:v>
      </x:c>
      <x:c r="I360" s="7" t="n">
        <x:f>F360-G360</x:f>
        <x:v>9.999999999999993</x:v>
      </x:c>
      <x:c r="J360" s="8" t="n">
        <x:v>0.018622468171296314</x:v>
      </x:c>
      <x:c r="K360" s="8" t="n">
        <x:v>0.018622468171296314</x:v>
      </x:c>
      <x:c r="L360" s="8" t="n">
        <x:v>0</x:v>
      </x:c>
      <x:c r="M360" s="7" t="n">
        <x:v>15.939500008244067</x:v>
      </x:c>
      <x:c r="N360" s="2" t="str">
        <x:v>repository_particle_dynamics_on_frozen_qubo</x:v>
      </x:c>
      <x:c r="O360" s="9" t="str">
        <x:v>11001</x:v>
      </x:c>
    </x:row>
    <x:row r="361" ht="18" customHeight="1">
      <x:c r="A361" s="2" t="str">
        <x:v>controlled_n4_separated_bottlenecks_1</x:v>
      </x:c>
      <x:c r="B361" s="2" t="str">
        <x:v>QAOA</x:v>
      </x:c>
      <x:c r="C361" s="2" t="n">
        <x:v>456</x:v>
      </x:c>
      <x:c r="D361" s="2" t="str">
        <x:v>success</x:v>
      </x:c>
      <x:c r="E361" s="2" t="n">
        <x:v>5</x:v>
      </x:c>
      <x:c r="F361" s="7" t="n">
        <x:v>65</x:v>
      </x:c>
      <x:c r="G361" s="7" t="n">
        <x:v>55.00000000000001</x:v>
      </x:c>
      <x:c r="H361" s="7" t="n">
        <x:f>IF(F361=0,"n.a.",100*(F361-G361)/F361)</x:f>
        <x:v>15.384615384615374</x:v>
      </x:c>
      <x:c r="I361" s="7" t="n">
        <x:f>F361-G361</x:f>
        <x:v>9.999999999999993</x:v>
      </x:c>
      <x:c r="J361" s="8" t="n">
        <x:v>0.018622468171296314</x:v>
      </x:c>
      <x:c r="K361" s="8" t="n">
        <x:v>0.018622468171296314</x:v>
      </x:c>
      <x:c r="L361" s="8" t="n">
        <x:v>0</x:v>
      </x:c>
      <x:c r="M361" s="7" t="n">
        <x:v>189.548599999398</x:v>
      </x:c>
      <x:c r="N361" s="2" t="str">
        <x:v>qiskit.primitives.StatevectorSampler</x:v>
      </x:c>
      <x:c r="O361" s="9" t="str">
        <x:v>01110</x:v>
      </x:c>
    </x:row>
    <x:row r="362" ht="18" customHeight="1">
      <x:c r="A362" s="2" t="str">
        <x:v>controlled_n4_separated_bottlenecks_1</x:v>
      </x:c>
      <x:c r="B362" s="2" t="str">
        <x:v>BPSO</x:v>
      </x:c>
      <x:c r="C362" s="2" t="n">
        <x:v>789</x:v>
      </x:c>
      <x:c r="D362" s="2" t="str">
        <x:v>success</x:v>
      </x:c>
      <x:c r="E362" s="2" t="n">
        <x:v>5</x:v>
      </x:c>
      <x:c r="F362" s="7" t="n">
        <x:v>65</x:v>
      </x:c>
      <x:c r="G362" s="7" t="n">
        <x:v>55.00000000000001</x:v>
      </x:c>
      <x:c r="H362" s="7" t="n">
        <x:f>IF(F362=0,"n.a.",100*(F362-G362)/F362)</x:f>
        <x:v>15.384615384615374</x:v>
      </x:c>
      <x:c r="I362" s="7" t="n">
        <x:f>F362-G362</x:f>
        <x:v>9.999999999999993</x:v>
      </x:c>
      <x:c r="J362" s="8" t="n">
        <x:v>0.018622468171296314</x:v>
      </x:c>
      <x:c r="K362" s="8" t="n">
        <x:v>0.018622468171296314</x:v>
      </x:c>
      <x:c r="L362" s="8" t="n">
        <x:v>0</x:v>
      </x:c>
      <x:c r="M362" s="7" t="n">
        <x:v>14.560699986759573</x:v>
      </x:c>
      <x:c r="N362" s="2" t="str">
        <x:v>repository_particle_dynamics_on_frozen_qubo</x:v>
      </x:c>
      <x:c r="O362" s="9" t="str">
        <x:v>10110</x:v>
      </x:c>
    </x:row>
    <x:row r="363" ht="18" customHeight="1">
      <x:c r="A363" s="2" t="str">
        <x:v>controlled_n4_separated_bottlenecks_1</x:v>
      </x:c>
      <x:c r="B363" s="2" t="str">
        <x:v>QAOA</x:v>
      </x:c>
      <x:c r="C363" s="2" t="n">
        <x:v>789</x:v>
      </x:c>
      <x:c r="D363" s="2" t="str">
        <x:v>success</x:v>
      </x:c>
      <x:c r="E363" s="2" t="n">
        <x:v>5</x:v>
      </x:c>
      <x:c r="F363" s="7" t="n">
        <x:v>65</x:v>
      </x:c>
      <x:c r="G363" s="7" t="n">
        <x:v>55.00000000000001</x:v>
      </x:c>
      <x:c r="H363" s="7" t="n">
        <x:f>IF(F363=0,"n.a.",100*(F363-G363)/F363)</x:f>
        <x:v>15.384615384615374</x:v>
      </x:c>
      <x:c r="I363" s="7" t="n">
        <x:f>F363-G363</x:f>
        <x:v>9.999999999999993</x:v>
      </x:c>
      <x:c r="J363" s="8" t="n">
        <x:v>0.018622468171296314</x:v>
      </x:c>
      <x:c r="K363" s="8" t="n">
        <x:v>0.018622468171296314</x:v>
      </x:c>
      <x:c r="L363" s="8" t="n">
        <x:v>0</x:v>
      </x:c>
      <x:c r="M363" s="7" t="n">
        <x:v>185.92059999355115</x:v>
      </x:c>
      <x:c r="N363" s="2" t="str">
        <x:v>qiskit.primitives.StatevectorSampler</x:v>
      </x:c>
      <x:c r="O363" s="9" t="str">
        <x:v>11001</x:v>
      </x:c>
    </x:row>
    <x:row r="364" ht="18" customHeight="1">
      <x:c r="A364" s="2" t="str">
        <x:v>controlled_n4_separated_bottlenecks_1</x:v>
      </x:c>
      <x:c r="B364" s="2" t="str">
        <x:v>BPSO</x:v>
      </x:c>
      <x:c r="C364" s="2" t="n">
        <x:v>2026</x:v>
      </x:c>
      <x:c r="D364" s="2" t="str">
        <x:v>success</x:v>
      </x:c>
      <x:c r="E364" s="2" t="n">
        <x:v>5</x:v>
      </x:c>
      <x:c r="F364" s="7" t="n">
        <x:v>65</x:v>
      </x:c>
      <x:c r="G364" s="7" t="n">
        <x:v>55.00000000000001</x:v>
      </x:c>
      <x:c r="H364" s="7" t="n">
        <x:f>IF(F364=0,"n.a.",100*(F364-G364)/F364)</x:f>
        <x:v>15.384615384615374</x:v>
      </x:c>
      <x:c r="I364" s="7" t="n">
        <x:f>F364-G364</x:f>
        <x:v>9.999999999999993</x:v>
      </x:c>
      <x:c r="J364" s="8" t="n">
        <x:v>0.018622468171296314</x:v>
      </x:c>
      <x:c r="K364" s="8" t="n">
        <x:v>0.018622468171296314</x:v>
      </x:c>
      <x:c r="L364" s="8" t="n">
        <x:v>0</x:v>
      </x:c>
      <x:c r="M364" s="7" t="n">
        <x:v>15.06639999570325</x:v>
      </x:c>
      <x:c r="N364" s="2" t="str">
        <x:v>repository_particle_dynamics_on_frozen_qubo</x:v>
      </x:c>
      <x:c r="O364" s="9" t="str">
        <x:v>01110</x:v>
      </x:c>
    </x:row>
    <x:row r="365" ht="18" customHeight="1">
      <x:c r="A365" s="2" t="str">
        <x:v>controlled_n4_separated_bottlenecks_1</x:v>
      </x:c>
      <x:c r="B365" s="2" t="str">
        <x:v>QAOA</x:v>
      </x:c>
      <x:c r="C365" s="2" t="n">
        <x:v>2026</x:v>
      </x:c>
      <x:c r="D365" s="2" t="str">
        <x:v>success</x:v>
      </x:c>
      <x:c r="E365" s="2" t="n">
        <x:v>5</x:v>
      </x:c>
      <x:c r="F365" s="7" t="n">
        <x:v>65</x:v>
      </x:c>
      <x:c r="G365" s="7" t="n">
        <x:v>55.00000000000001</x:v>
      </x:c>
      <x:c r="H365" s="7" t="n">
        <x:f>IF(F365=0,"n.a.",100*(F365-G365)/F365)</x:f>
        <x:v>15.384615384615374</x:v>
      </x:c>
      <x:c r="I365" s="7" t="n">
        <x:f>F365-G365</x:f>
        <x:v>9.999999999999993</x:v>
      </x:c>
      <x:c r="J365" s="8" t="n">
        <x:v>0.018622468171296314</x:v>
      </x:c>
      <x:c r="K365" s="8" t="n">
        <x:v>0.018622468171296314</x:v>
      </x:c>
      <x:c r="L365" s="8" t="n">
        <x:v>0</x:v>
      </x:c>
      <x:c r="M365" s="7" t="n">
        <x:v>200.81200001004618</x:v>
      </x:c>
      <x:c r="N365" s="2" t="str">
        <x:v>qiskit.primitives.StatevectorSampler</x:v>
      </x:c>
      <x:c r="O365" s="9" t="str">
        <x:v>11001</x:v>
      </x:c>
    </x:row>
    <x:row r="366" ht="18" customHeight="1">
      <x:c r="A366" s="2" t="str">
        <x:v>controlled_n4_separated_bottlenecks_2</x:v>
      </x:c>
      <x:c r="B366" s="2" t="str">
        <x:v>Unmanaged</x:v>
      </x:c>
      <x:c r="C366" s="2"/>
      <x:c r="D366" s="2" t="str">
        <x:v>baseline</x:v>
      </x:c>
      <x:c r="E366" s="2" t="n">
        <x:v>9</x:v>
      </x:c>
      <x:c r="F366" s="7" t="n">
        <x:v>80</x:v>
      </x:c>
      <x:c r="G366" s="7" t="n">
        <x:v>80</x:v>
      </x:c>
      <x:c r="H366" s="7" t="n">
        <x:f>IF(F366=0,"n.a.",100*(F366-G366)/F366)</x:f>
        <x:v>0</x:v>
      </x:c>
      <x:c r="I366" s="7" t="n">
        <x:f>F366-G366</x:f>
        <x:v>0</x:v>
      </x:c>
      <x:c r="J366" s="8"/>
      <x:c r="K366" s="8" t="n">
        <x:v>0.2737381687242799</x:v>
      </x:c>
      <x:c r="L366" s="8"/>
      <x:c r="M366" s="7"/>
      <x:c r="N366" s="2" t="str">
        <x:v>unmanaged_input</x:v>
      </x:c>
      <x:c r="O366" s="9"/>
    </x:row>
    <x:row r="367" ht="18" customHeight="1">
      <x:c r="A367" s="2" t="str">
        <x:v>controlled_n4_separated_bottlenecks_2</x:v>
      </x:c>
      <x:c r="B367" s="2" t="str">
        <x:v>Exact J</x:v>
      </x:c>
      <x:c r="C367" s="2"/>
      <x:c r="D367" s="2" t="str">
        <x:v>success</x:v>
      </x:c>
      <x:c r="E367" s="2" t="n">
        <x:v>9</x:v>
      </x:c>
      <x:c r="F367" s="7" t="n">
        <x:v>80</x:v>
      </x:c>
      <x:c r="G367" s="7" t="n">
        <x:v>71.66666666666667</x:v>
      </x:c>
      <x:c r="H367" s="7" t="n">
        <x:f>IF(F367=0,"n.a.",100*(F367-G367)/F367)</x:f>
        <x:v>10.41666666666666</x:v>
      </x:c>
      <x:c r="I367" s="7" t="n">
        <x:f>F367-G367</x:f>
        <x:v>8.333333333333329</x:v>
      </x:c>
      <x:c r="J367" s="8" t="n">
        <x:v>0.2737381687242799</x:v>
      </x:c>
      <x:c r="K367" s="8" t="n">
        <x:v>0.2737381687242799</x:v>
      </x:c>
      <x:c r="L367" s="8" t="n">
        <x:v>0</x:v>
      </x:c>
      <x:c r="M367" s="7"/>
      <x:c r="N367" s="2" t="str">
        <x:v>exhaustive_enumeration</x:v>
      </x:c>
      <x:c r="O367" s="9" t="str">
        <x:v>001110011</x:v>
      </x:c>
    </x:row>
    <x:row r="368" ht="18" customHeight="1">
      <x:c r="A368" s="2" t="str">
        <x:v>controlled_n4_separated_bottlenecks_2</x:v>
      </x:c>
      <x:c r="B368" s="2" t="str">
        <x:v>Exact peak</x:v>
      </x:c>
      <x:c r="C368" s="2"/>
      <x:c r="D368" s="2" t="str">
        <x:v>success</x:v>
      </x:c>
      <x:c r="E368" s="2" t="n">
        <x:v>9</x:v>
      </x:c>
      <x:c r="F368" s="7" t="n">
        <x:v>80</x:v>
      </x:c>
      <x:c r="G368" s="7" t="n">
        <x:v>71.66666666666667</x:v>
      </x:c>
      <x:c r="H368" s="7" t="n">
        <x:f>IF(F368=0,"n.a.",100*(F368-G368)/F368)</x:f>
        <x:v>10.41666666666666</x:v>
      </x:c>
      <x:c r="I368" s="7" t="n">
        <x:f>F368-G368</x:f>
        <x:v>8.333333333333329</x:v>
      </x:c>
      <x:c r="J368" s="8" t="n">
        <x:v>0.2737381687242799</x:v>
      </x:c>
      <x:c r="K368" s="8" t="n">
        <x:v>0.2737381687242799</x:v>
      </x:c>
      <x:c r="L368" s="8" t="n">
        <x:v>0</x:v>
      </x:c>
      <x:c r="M368" s="7"/>
      <x:c r="N368" s="2" t="str">
        <x:v>exhaustive_enumeration</x:v>
      </x:c>
      <x:c r="O368" s="9" t="str">
        <x:v>001110011</x:v>
      </x:c>
    </x:row>
    <x:row r="369" ht="18" customHeight="1">
      <x:c r="A369" s="2" t="str">
        <x:v>controlled_n4_separated_bottlenecks_2</x:v>
      </x:c>
      <x:c r="B369" s="2" t="str">
        <x:v>BPSO</x:v>
      </x:c>
      <x:c r="C369" s="2" t="n">
        <x:v>42</x:v>
      </x:c>
      <x:c r="D369" s="2" t="str">
        <x:v>success</x:v>
      </x:c>
      <x:c r="E369" s="2" t="n">
        <x:v>9</x:v>
      </x:c>
      <x:c r="F369" s="7" t="n">
        <x:v>80</x:v>
      </x:c>
      <x:c r="G369" s="7" t="n">
        <x:v>71.66666666666667</x:v>
      </x:c>
      <x:c r="H369" s="7" t="n">
        <x:f>IF(F369=0,"n.a.",100*(F369-G369)/F369)</x:f>
        <x:v>10.41666666666666</x:v>
      </x:c>
      <x:c r="I369" s="7" t="n">
        <x:f>F369-G369</x:f>
        <x:v>8.333333333333329</x:v>
      </x:c>
      <x:c r="J369" s="8" t="n">
        <x:v>0.2737381687242799</x:v>
      </x:c>
      <x:c r="K369" s="8" t="n">
        <x:v>0.2737381687242799</x:v>
      </x:c>
      <x:c r="L369" s="8" t="n">
        <x:v>0</x:v>
      </x:c>
      <x:c r="M369" s="7" t="n">
        <x:v>20.186100009595975</x:v>
      </x:c>
      <x:c r="N369" s="2" t="str">
        <x:v>repository_particle_dynamics_on_frozen_qubo</x:v>
      </x:c>
      <x:c r="O369" s="9" t="str">
        <x:v>110100101</x:v>
      </x:c>
    </x:row>
    <x:row r="370" ht="18" customHeight="1">
      <x:c r="A370" s="2" t="str">
        <x:v>controlled_n4_separated_bottlenecks_2</x:v>
      </x:c>
      <x:c r="B370" s="2" t="str">
        <x:v>QAOA</x:v>
      </x:c>
      <x:c r="C370" s="2" t="n">
        <x:v>42</x:v>
      </x:c>
      <x:c r="D370" s="2" t="str">
        <x:v>success</x:v>
      </x:c>
      <x:c r="E370" s="2" t="n">
        <x:v>9</x:v>
      </x:c>
      <x:c r="F370" s="7" t="n">
        <x:v>80</x:v>
      </x:c>
      <x:c r="G370" s="7" t="n">
        <x:v>71.66666666666667</x:v>
      </x:c>
      <x:c r="H370" s="7" t="n">
        <x:f>IF(F370=0,"n.a.",100*(F370-G370)/F370)</x:f>
        <x:v>10.41666666666666</x:v>
      </x:c>
      <x:c r="I370" s="7" t="n">
        <x:f>F370-G370</x:f>
        <x:v>8.333333333333329</x:v>
      </x:c>
      <x:c r="J370" s="8" t="n">
        <x:v>0.2737381687242799</x:v>
      </x:c>
      <x:c r="K370" s="8" t="n">
        <x:v>0.2737381687242799</x:v>
      </x:c>
      <x:c r="L370" s="8" t="n">
        <x:v>0</x:v>
      </x:c>
      <x:c r="M370" s="7" t="n">
        <x:v>655.9152999980142</x:v>
      </x:c>
      <x:c r="N370" s="2" t="str">
        <x:v>qiskit.primitives.StatevectorSampler</x:v>
      </x:c>
      <x:c r="O370" s="9" t="str">
        <x:v>100110011</x:v>
      </x:c>
    </x:row>
    <x:row r="371" ht="18" customHeight="1">
      <x:c r="A371" s="2" t="str">
        <x:v>controlled_n4_separated_bottlenecks_2</x:v>
      </x:c>
      <x:c r="B371" s="2" t="str">
        <x:v>BPSO</x:v>
      </x:c>
      <x:c r="C371" s="2" t="n">
        <x:v>123</x:v>
      </x:c>
      <x:c r="D371" s="2" t="str">
        <x:v>success</x:v>
      </x:c>
      <x:c r="E371" s="2" t="n">
        <x:v>9</x:v>
      </x:c>
      <x:c r="F371" s="7" t="n">
        <x:v>80</x:v>
      </x:c>
      <x:c r="G371" s="7" t="n">
        <x:v>71.66666666666667</x:v>
      </x:c>
      <x:c r="H371" s="7" t="n">
        <x:f>IF(F371=0,"n.a.",100*(F371-G371)/F371)</x:f>
        <x:v>10.41666666666666</x:v>
      </x:c>
      <x:c r="I371" s="7" t="n">
        <x:f>F371-G371</x:f>
        <x:v>8.333333333333329</x:v>
      </x:c>
      <x:c r="J371" s="8" t="n">
        <x:v>0.2737381687242799</x:v>
      </x:c>
      <x:c r="K371" s="8" t="n">
        <x:v>0.2737381687242799</x:v>
      </x:c>
      <x:c r="L371" s="8" t="n">
        <x:v>0</x:v>
      </x:c>
      <x:c r="M371" s="7" t="n">
        <x:v>20.685900002717972</x:v>
      </x:c>
      <x:c r="N371" s="2" t="str">
        <x:v>repository_particle_dynamics_on_frozen_qubo</x:v>
      </x:c>
      <x:c r="O371" s="9" t="str">
        <x:v>110101010</x:v>
      </x:c>
    </x:row>
    <x:row r="372" ht="18" customHeight="1">
      <x:c r="A372" s="2" t="str">
        <x:v>controlled_n4_separated_bottlenecks_2</x:v>
      </x:c>
      <x:c r="B372" s="2" t="str">
        <x:v>QAOA</x:v>
      </x:c>
      <x:c r="C372" s="2" t="n">
        <x:v>123</x:v>
      </x:c>
      <x:c r="D372" s="2" t="str">
        <x:v>success</x:v>
      </x:c>
      <x:c r="E372" s="2" t="n">
        <x:v>9</x:v>
      </x:c>
      <x:c r="F372" s="7" t="n">
        <x:v>80</x:v>
      </x:c>
      <x:c r="G372" s="7" t="n">
        <x:v>71.66666666666667</x:v>
      </x:c>
      <x:c r="H372" s="7" t="n">
        <x:f>IF(F372=0,"n.a.",100*(F372-G372)/F372)</x:f>
        <x:v>10.41666666666666</x:v>
      </x:c>
      <x:c r="I372" s="7" t="n">
        <x:f>F372-G372</x:f>
        <x:v>8.333333333333329</x:v>
      </x:c>
      <x:c r="J372" s="8" t="n">
        <x:v>0.2737381687242799</x:v>
      </x:c>
      <x:c r="K372" s="8" t="n">
        <x:v>0.2737381687242799</x:v>
      </x:c>
      <x:c r="L372" s="8" t="n">
        <x:v>0</x:v>
      </x:c>
      <x:c r="M372" s="7" t="n">
        <x:v>757.2394000017084</x:v>
      </x:c>
      <x:c r="N372" s="2" t="str">
        <x:v>qiskit.primitives.StatevectorSampler</x:v>
      </x:c>
      <x:c r="O372" s="9" t="str">
        <x:v>101011100</x:v>
      </x:c>
    </x:row>
    <x:row r="373" ht="18" customHeight="1">
      <x:c r="A373" s="2" t="str">
        <x:v>controlled_n4_separated_bottlenecks_2</x:v>
      </x:c>
      <x:c r="B373" s="2" t="str">
        <x:v>BPSO</x:v>
      </x:c>
      <x:c r="C373" s="2" t="n">
        <x:v>456</x:v>
      </x:c>
      <x:c r="D373" s="2" t="str">
        <x:v>success</x:v>
      </x:c>
      <x:c r="E373" s="2" t="n">
        <x:v>9</x:v>
      </x:c>
      <x:c r="F373" s="7" t="n">
        <x:v>80</x:v>
      </x:c>
      <x:c r="G373" s="7" t="n">
        <x:v>71.66666666666667</x:v>
      </x:c>
      <x:c r="H373" s="7" t="n">
        <x:f>IF(F373=0,"n.a.",100*(F373-G373)/F373)</x:f>
        <x:v>10.41666666666666</x:v>
      </x:c>
      <x:c r="I373" s="7" t="n">
        <x:f>F373-G373</x:f>
        <x:v>8.333333333333329</x:v>
      </x:c>
      <x:c r="J373" s="8" t="n">
        <x:v>0.2737381687242799</x:v>
      </x:c>
      <x:c r="K373" s="8" t="n">
        <x:v>0.2737381687242799</x:v>
      </x:c>
      <x:c r="L373" s="8" t="n">
        <x:v>0</x:v>
      </x:c>
      <x:c r="M373" s="7" t="n">
        <x:v>19.11409999593161</x:v>
      </x:c>
      <x:c r="N373" s="2" t="str">
        <x:v>repository_particle_dynamics_on_frozen_qubo</x:v>
      </x:c>
      <x:c r="O373" s="9" t="str">
        <x:v>110010101</x:v>
      </x:c>
    </x:row>
    <x:row r="374" ht="18" customHeight="1">
      <x:c r="A374" s="2" t="str">
        <x:v>controlled_n4_separated_bottlenecks_2</x:v>
      </x:c>
      <x:c r="B374" s="2" t="str">
        <x:v>QAOA</x:v>
      </x:c>
      <x:c r="C374" s="2" t="n">
        <x:v>456</x:v>
      </x:c>
      <x:c r="D374" s="2" t="str">
        <x:v>success</x:v>
      </x:c>
      <x:c r="E374" s="2" t="n">
        <x:v>9</x:v>
      </x:c>
      <x:c r="F374" s="7" t="n">
        <x:v>80</x:v>
      </x:c>
      <x:c r="G374" s="7" t="n">
        <x:v>71.66666666666667</x:v>
      </x:c>
      <x:c r="H374" s="7" t="n">
        <x:f>IF(F374=0,"n.a.",100*(F374-G374)/F374)</x:f>
        <x:v>10.41666666666666</x:v>
      </x:c>
      <x:c r="I374" s="7" t="n">
        <x:f>F374-G374</x:f>
        <x:v>8.333333333333329</x:v>
      </x:c>
      <x:c r="J374" s="8" t="n">
        <x:v>0.2737381687242799</x:v>
      </x:c>
      <x:c r="K374" s="8" t="n">
        <x:v>0.2737381687242799</x:v>
      </x:c>
      <x:c r="L374" s="8" t="n">
        <x:v>0</x:v>
      </x:c>
      <x:c r="M374" s="7" t="n">
        <x:v>629.8944000009215</x:v>
      </x:c>
      <x:c r="N374" s="2" t="str">
        <x:v>qiskit.primitives.StatevectorSampler</x:v>
      </x:c>
      <x:c r="O374" s="9" t="str">
        <x:v>001111010</x:v>
      </x:c>
    </x:row>
    <x:row r="375" ht="18" customHeight="1">
      <x:c r="A375" s="2" t="str">
        <x:v>controlled_n4_separated_bottlenecks_2</x:v>
      </x:c>
      <x:c r="B375" s="2" t="str">
        <x:v>BPSO</x:v>
      </x:c>
      <x:c r="C375" s="2" t="n">
        <x:v>789</x:v>
      </x:c>
      <x:c r="D375" s="2" t="str">
        <x:v>success</x:v>
      </x:c>
      <x:c r="E375" s="2" t="n">
        <x:v>9</x:v>
      </x:c>
      <x:c r="F375" s="7" t="n">
        <x:v>80</x:v>
      </x:c>
      <x:c r="G375" s="7" t="n">
        <x:v>71.66666666666667</x:v>
      </x:c>
      <x:c r="H375" s="7" t="n">
        <x:f>IF(F375=0,"n.a.",100*(F375-G375)/F375)</x:f>
        <x:v>10.41666666666666</x:v>
      </x:c>
      <x:c r="I375" s="7" t="n">
        <x:f>F375-G375</x:f>
        <x:v>8.333333333333329</x:v>
      </x:c>
      <x:c r="J375" s="8" t="n">
        <x:v>0.2737381687242799</x:v>
      </x:c>
      <x:c r="K375" s="8" t="n">
        <x:v>0.2737381687242799</x:v>
      </x:c>
      <x:c r="L375" s="8" t="n">
        <x:v>0</x:v>
      </x:c>
      <x:c r="M375" s="7" t="n">
        <x:v>19.29950001067482</x:v>
      </x:c>
      <x:c r="N375" s="2" t="str">
        <x:v>repository_particle_dynamics_on_frozen_qubo</x:v>
      </x:c>
      <x:c r="O375" s="9" t="str">
        <x:v>110010011</x:v>
      </x:c>
    </x:row>
    <x:row r="376" ht="18" customHeight="1">
      <x:c r="A376" s="2" t="str">
        <x:v>controlled_n4_separated_bottlenecks_2</x:v>
      </x:c>
      <x:c r="B376" s="2" t="str">
        <x:v>QAOA</x:v>
      </x:c>
      <x:c r="C376" s="2" t="n">
        <x:v>789</x:v>
      </x:c>
      <x:c r="D376" s="2" t="str">
        <x:v>success</x:v>
      </x:c>
      <x:c r="E376" s="2" t="n">
        <x:v>9</x:v>
      </x:c>
      <x:c r="F376" s="7" t="n">
        <x:v>80</x:v>
      </x:c>
      <x:c r="G376" s="7" t="n">
        <x:v>71.66666666666667</x:v>
      </x:c>
      <x:c r="H376" s="7" t="n">
        <x:f>IF(F376=0,"n.a.",100*(F376-G376)/F376)</x:f>
        <x:v>10.41666666666666</x:v>
      </x:c>
      <x:c r="I376" s="7" t="n">
        <x:f>F376-G376</x:f>
        <x:v>8.333333333333329</x:v>
      </x:c>
      <x:c r="J376" s="8" t="n">
        <x:v>0.2737381687242799</x:v>
      </x:c>
      <x:c r="K376" s="8" t="n">
        <x:v>0.2737381687242799</x:v>
      </x:c>
      <x:c r="L376" s="8" t="n">
        <x:v>0</x:v>
      </x:c>
      <x:c r="M376" s="7" t="n">
        <x:v>564.4067999965046</x:v>
      </x:c>
      <x:c r="N376" s="2" t="str">
        <x:v>qiskit.primitives.StatevectorSampler</x:v>
      </x:c>
      <x:c r="O376" s="9" t="str">
        <x:v>101011001</x:v>
      </x:c>
    </x:row>
    <x:row r="377" ht="18" customHeight="1">
      <x:c r="A377" s="2" t="str">
        <x:v>controlled_n4_separated_bottlenecks_2</x:v>
      </x:c>
      <x:c r="B377" s="2" t="str">
        <x:v>BPSO</x:v>
      </x:c>
      <x:c r="C377" s="2" t="n">
        <x:v>2026</x:v>
      </x:c>
      <x:c r="D377" s="2" t="str">
        <x:v>success</x:v>
      </x:c>
      <x:c r="E377" s="2" t="n">
        <x:v>9</x:v>
      </x:c>
      <x:c r="F377" s="7" t="n">
        <x:v>80</x:v>
      </x:c>
      <x:c r="G377" s="7" t="n">
        <x:v>71.66666666666667</x:v>
      </x:c>
      <x:c r="H377" s="7" t="n">
        <x:f>IF(F377=0,"n.a.",100*(F377-G377)/F377)</x:f>
        <x:v>10.41666666666666</x:v>
      </x:c>
      <x:c r="I377" s="7" t="n">
        <x:f>F377-G377</x:f>
        <x:v>8.333333333333329</x:v>
      </x:c>
      <x:c r="J377" s="8" t="n">
        <x:v>0.2737381687242799</x:v>
      </x:c>
      <x:c r="K377" s="8" t="n">
        <x:v>0.2737381687242799</x:v>
      </x:c>
      <x:c r="L377" s="8" t="n">
        <x:v>0</x:v>
      </x:c>
      <x:c r="M377" s="7" t="n">
        <x:v>19.13030000287108</x:v>
      </x:c>
      <x:c r="N377" s="2" t="str">
        <x:v>repository_particle_dynamics_on_frozen_qubo</x:v>
      </x:c>
      <x:c r="O377" s="9" t="str">
        <x:v>110011010</x:v>
      </x:c>
    </x:row>
    <x:row r="378" ht="18" customHeight="1">
      <x:c r="A378" s="2" t="str">
        <x:v>controlled_n4_separated_bottlenecks_2</x:v>
      </x:c>
      <x:c r="B378" s="2" t="str">
        <x:v>QAOA</x:v>
      </x:c>
      <x:c r="C378" s="2" t="n">
        <x:v>2026</x:v>
      </x:c>
      <x:c r="D378" s="2" t="str">
        <x:v>success</x:v>
      </x:c>
      <x:c r="E378" s="2" t="n">
        <x:v>9</x:v>
      </x:c>
      <x:c r="F378" s="7" t="n">
        <x:v>80</x:v>
      </x:c>
      <x:c r="G378" s="7" t="n">
        <x:v>71.66666666666667</x:v>
      </x:c>
      <x:c r="H378" s="7" t="n">
        <x:f>IF(F378=0,"n.a.",100*(F378-G378)/F378)</x:f>
        <x:v>10.41666666666666</x:v>
      </x:c>
      <x:c r="I378" s="7" t="n">
        <x:f>F378-G378</x:f>
        <x:v>8.333333333333329</x:v>
      </x:c>
      <x:c r="J378" s="8" t="n">
        <x:v>0.2737381687242799</x:v>
      </x:c>
      <x:c r="K378" s="8" t="n">
        <x:v>0.2737381687242799</x:v>
      </x:c>
      <x:c r="L378" s="8" t="n">
        <x:v>0</x:v>
      </x:c>
      <x:c r="M378" s="7" t="n">
        <x:v>575.6689999980154</x:v>
      </x:c>
      <x:c r="N378" s="2" t="str">
        <x:v>qiskit.primitives.StatevectorSampler</x:v>
      </x:c>
      <x:c r="O378" s="9" t="str">
        <x:v>101011100</x:v>
      </x:c>
    </x:row>
    <x:row r="379" ht="18" customHeight="1">
      <x:c r="A379" s="2" t="str">
        <x:v>controlled_n4_separated_bottlenecks_3</x:v>
      </x:c>
      <x:c r="B379" s="2" t="str">
        <x:v>Unmanaged</x:v>
      </x:c>
      <x:c r="C379" s="2"/>
      <x:c r="D379" s="2" t="str">
        <x:v>baseline</x:v>
      </x:c>
      <x:c r="E379" s="2" t="n">
        <x:v>10</x:v>
      </x:c>
      <x:c r="F379" s="7" t="n">
        <x:v>95</x:v>
      </x:c>
      <x:c r="G379" s="7" t="n">
        <x:v>95</x:v>
      </x:c>
      <x:c r="H379" s="7" t="n">
        <x:f>IF(F379=0,"n.a.",100*(F379-G379)/F379)</x:f>
        <x:v>0</x:v>
      </x:c>
      <x:c r="I379" s="7" t="n">
        <x:f>F379-G379</x:f>
        <x:v>0</x:v>
      </x:c>
      <x:c r="J379" s="8"/>
      <x:c r="K379" s="8" t="n">
        <x:v>0.7965668402777781</x:v>
      </x:c>
      <x:c r="L379" s="8"/>
      <x:c r="M379" s="7"/>
      <x:c r="N379" s="2" t="str">
        <x:v>unmanaged_input</x:v>
      </x:c>
      <x:c r="O379" s="9"/>
    </x:row>
    <x:row r="380" ht="18" customHeight="1">
      <x:c r="A380" s="2" t="str">
        <x:v>controlled_n4_separated_bottlenecks_3</x:v>
      </x:c>
      <x:c r="B380" s="2" t="str">
        <x:v>Exact J</x:v>
      </x:c>
      <x:c r="C380" s="2"/>
      <x:c r="D380" s="2" t="str">
        <x:v>success</x:v>
      </x:c>
      <x:c r="E380" s="2" t="n">
        <x:v>10</x:v>
      </x:c>
      <x:c r="F380" s="7" t="n">
        <x:v>95</x:v>
      </x:c>
      <x:c r="G380" s="7" t="n">
        <x:v>80</x:v>
      </x:c>
      <x:c r="H380" s="7" t="n">
        <x:f>IF(F380=0,"n.a.",100*(F380-G380)/F380)</x:f>
        <x:v>15.789473684210526</x:v>
      </x:c>
      <x:c r="I380" s="7" t="n">
        <x:f>F380-G380</x:f>
        <x:v>15</x:v>
      </x:c>
      <x:c r="J380" s="8" t="n">
        <x:v>0.7965668402777781</x:v>
      </x:c>
      <x:c r="K380" s="8" t="n">
        <x:v>0.7965668402777781</x:v>
      </x:c>
      <x:c r="L380" s="8" t="n">
        <x:v>0</x:v>
      </x:c>
      <x:c r="M380" s="7"/>
      <x:c r="N380" s="2" t="str">
        <x:v>exhaustive_enumeration</x:v>
      </x:c>
      <x:c r="O380" s="9" t="str">
        <x:v>0001111101</x:v>
      </x:c>
    </x:row>
    <x:row r="381" ht="18" customHeight="1">
      <x:c r="A381" s="2" t="str">
        <x:v>controlled_n4_separated_bottlenecks_3</x:v>
      </x:c>
      <x:c r="B381" s="2" t="str">
        <x:v>Exact peak</x:v>
      </x:c>
      <x:c r="C381" s="2"/>
      <x:c r="D381" s="2" t="str">
        <x:v>success</x:v>
      </x:c>
      <x:c r="E381" s="2" t="n">
        <x:v>10</x:v>
      </x:c>
      <x:c r="F381" s="7" t="n">
        <x:v>95</x:v>
      </x:c>
      <x:c r="G381" s="7" t="n">
        <x:v>80</x:v>
      </x:c>
      <x:c r="H381" s="7" t="n">
        <x:f>IF(F381=0,"n.a.",100*(F381-G381)/F381)</x:f>
        <x:v>15.789473684210526</x:v>
      </x:c>
      <x:c r="I381" s="7" t="n">
        <x:f>F381-G381</x:f>
        <x:v>15</x:v>
      </x:c>
      <x:c r="J381" s="8" t="n">
        <x:v>0.7965668402777781</x:v>
      </x:c>
      <x:c r="K381" s="8" t="n">
        <x:v>0.7965668402777781</x:v>
      </x:c>
      <x:c r="L381" s="8" t="n">
        <x:v>0</x:v>
      </x:c>
      <x:c r="M381" s="7"/>
      <x:c r="N381" s="2" t="str">
        <x:v>exhaustive_enumeration</x:v>
      </x:c>
      <x:c r="O381" s="9" t="str">
        <x:v>0001111101</x:v>
      </x:c>
    </x:row>
    <x:row r="382" ht="18" customHeight="1">
      <x:c r="A382" s="2" t="str">
        <x:v>controlled_n4_separated_bottlenecks_3</x:v>
      </x:c>
      <x:c r="B382" s="2" t="str">
        <x:v>BPSO</x:v>
      </x:c>
      <x:c r="C382" s="2" t="n">
        <x:v>42</x:v>
      </x:c>
      <x:c r="D382" s="2" t="str">
        <x:v>success</x:v>
      </x:c>
      <x:c r="E382" s="2" t="n">
        <x:v>10</x:v>
      </x:c>
      <x:c r="F382" s="7" t="n">
        <x:v>95</x:v>
      </x:c>
      <x:c r="G382" s="7" t="n">
        <x:v>80</x:v>
      </x:c>
      <x:c r="H382" s="7" t="n">
        <x:f>IF(F382=0,"n.a.",100*(F382-G382)/F382)</x:f>
        <x:v>15.789473684210526</x:v>
      </x:c>
      <x:c r="I382" s="7" t="n">
        <x:f>F382-G382</x:f>
        <x:v>15</x:v>
      </x:c>
      <x:c r="J382" s="8" t="n">
        <x:v>0.7965668402777781</x:v>
      </x:c>
      <x:c r="K382" s="8" t="n">
        <x:v>0.7965668402777781</x:v>
      </x:c>
      <x:c r="L382" s="8" t="n">
        <x:v>0</x:v>
      </x:c>
      <x:c r="M382" s="7" t="n">
        <x:v>20.649099998991005</x:v>
      </x:c>
      <x:c r="N382" s="2" t="str">
        <x:v>repository_particle_dynamics_on_frozen_qubo</x:v>
      </x:c>
      <x:c r="O382" s="9" t="str">
        <x:v>1101110001</x:v>
      </x:c>
    </x:row>
    <x:row r="383" ht="18" customHeight="1">
      <x:c r="A383" s="2" t="str">
        <x:v>controlled_n4_separated_bottlenecks_3</x:v>
      </x:c>
      <x:c r="B383" s="2" t="str">
        <x:v>QAOA</x:v>
      </x:c>
      <x:c r="C383" s="2" t="n">
        <x:v>42</x:v>
      </x:c>
      <x:c r="D383" s="2" t="str">
        <x:v>success</x:v>
      </x:c>
      <x:c r="E383" s="2" t="n">
        <x:v>10</x:v>
      </x:c>
      <x:c r="F383" s="7" t="n">
        <x:v>95</x:v>
      </x:c>
      <x:c r="G383" s="7" t="n">
        <x:v>80</x:v>
      </x:c>
      <x:c r="H383" s="7" t="n">
        <x:f>IF(F383=0,"n.a.",100*(F383-G383)/F383)</x:f>
        <x:v>15.789473684210526</x:v>
      </x:c>
      <x:c r="I383" s="7" t="n">
        <x:f>F383-G383</x:f>
        <x:v>15</x:v>
      </x:c>
      <x:c r="J383" s="8" t="n">
        <x:v>0.7965668402777779</x:v>
      </x:c>
      <x:c r="K383" s="8" t="n">
        <x:v>0.7965668402777781</x:v>
      </x:c>
      <x:c r="L383" s="8" t="n">
        <x:v>0</x:v>
      </x:c>
      <x:c r="M383" s="7" t="n">
        <x:v>721.5984999929788</x:v>
      </x:c>
      <x:c r="N383" s="2" t="str">
        <x:v>qiskit.primitives.StatevectorSampler</x:v>
      </x:c>
      <x:c r="O383" s="9" t="str">
        <x:v>0011110110</x:v>
      </x:c>
    </x:row>
    <x:row r="384" ht="18" customHeight="1">
      <x:c r="A384" s="2" t="str">
        <x:v>controlled_n4_separated_bottlenecks_3</x:v>
      </x:c>
      <x:c r="B384" s="2" t="str">
        <x:v>BPSO</x:v>
      </x:c>
      <x:c r="C384" s="2" t="n">
        <x:v>123</x:v>
      </x:c>
      <x:c r="D384" s="2" t="str">
        <x:v>success</x:v>
      </x:c>
      <x:c r="E384" s="2" t="n">
        <x:v>10</x:v>
      </x:c>
      <x:c r="F384" s="7" t="n">
        <x:v>95</x:v>
      </x:c>
      <x:c r="G384" s="7" t="n">
        <x:v>80</x:v>
      </x:c>
      <x:c r="H384" s="7" t="n">
        <x:f>IF(F384=0,"n.a.",100*(F384-G384)/F384)</x:f>
        <x:v>15.789473684210526</x:v>
      </x:c>
      <x:c r="I384" s="7" t="n">
        <x:f>F384-G384</x:f>
        <x:v>15</x:v>
      </x:c>
      <x:c r="J384" s="8" t="n">
        <x:v>0.7965668402777781</x:v>
      </x:c>
      <x:c r="K384" s="8" t="n">
        <x:v>0.7965668402777781</x:v>
      </x:c>
      <x:c r="L384" s="8" t="n">
        <x:v>0</x:v>
      </x:c>
      <x:c r="M384" s="7" t="n">
        <x:v>20.341499999631196</x:v>
      </x:c>
      <x:c r="N384" s="2" t="str">
        <x:v>repository_particle_dynamics_on_frozen_qubo</x:v>
      </x:c>
      <x:c r="O384" s="9" t="str">
        <x:v>1001110110</x:v>
      </x:c>
    </x:row>
    <x:row r="385" ht="18" customHeight="1">
      <x:c r="A385" s="2" t="str">
        <x:v>controlled_n4_separated_bottlenecks_3</x:v>
      </x:c>
      <x:c r="B385" s="2" t="str">
        <x:v>QAOA</x:v>
      </x:c>
      <x:c r="C385" s="2" t="n">
        <x:v>123</x:v>
      </x:c>
      <x:c r="D385" s="2" t="str">
        <x:v>success</x:v>
      </x:c>
      <x:c r="E385" s="2" t="n">
        <x:v>10</x:v>
      </x:c>
      <x:c r="F385" s="7" t="n">
        <x:v>95</x:v>
      </x:c>
      <x:c r="G385" s="7" t="n">
        <x:v>80</x:v>
      </x:c>
      <x:c r="H385" s="7" t="n">
        <x:f>IF(F385=0,"n.a.",100*(F385-G385)/F385)</x:f>
        <x:v>15.789473684210526</x:v>
      </x:c>
      <x:c r="I385" s="7" t="n">
        <x:f>F385-G385</x:f>
        <x:v>15</x:v>
      </x:c>
      <x:c r="J385" s="8" t="n">
        <x:v>0.7965668402777779</x:v>
      </x:c>
      <x:c r="K385" s="8" t="n">
        <x:v>0.7965668402777781</x:v>
      </x:c>
      <x:c r="L385" s="8" t="n">
        <x:v>0</x:v>
      </x:c>
      <x:c r="M385" s="7" t="n">
        <x:v>712.6693000027444</x:v>
      </x:c>
      <x:c r="N385" s="2" t="str">
        <x:v>qiskit.primitives.StatevectorSampler</x:v>
      </x:c>
      <x:c r="O385" s="9" t="str">
        <x:v>1010101101</x:v>
      </x:c>
    </x:row>
    <x:row r="386" ht="18" customHeight="1">
      <x:c r="A386" s="2" t="str">
        <x:v>controlled_n4_separated_bottlenecks_3</x:v>
      </x:c>
      <x:c r="B386" s="2" t="str">
        <x:v>BPSO</x:v>
      </x:c>
      <x:c r="C386" s="2" t="n">
        <x:v>456</x:v>
      </x:c>
      <x:c r="D386" s="2" t="str">
        <x:v>success</x:v>
      </x:c>
      <x:c r="E386" s="2" t="n">
        <x:v>10</x:v>
      </x:c>
      <x:c r="F386" s="7" t="n">
        <x:v>95</x:v>
      </x:c>
      <x:c r="G386" s="7" t="n">
        <x:v>80</x:v>
      </x:c>
      <x:c r="H386" s="7" t="n">
        <x:f>IF(F386=0,"n.a.",100*(F386-G386)/F386)</x:f>
        <x:v>15.789473684210526</x:v>
      </x:c>
      <x:c r="I386" s="7" t="n">
        <x:f>F386-G386</x:f>
        <x:v>15</x:v>
      </x:c>
      <x:c r="J386" s="8" t="n">
        <x:v>0.7965668402777781</x:v>
      </x:c>
      <x:c r="K386" s="8" t="n">
        <x:v>0.7965668402777781</x:v>
      </x:c>
      <x:c r="L386" s="8" t="n">
        <x:v>0</x:v>
      </x:c>
      <x:c r="M386" s="7" t="n">
        <x:v>20.43569998932071</x:v>
      </x:c>
      <x:c r="N386" s="2" t="str">
        <x:v>repository_particle_dynamics_on_frozen_qubo</x:v>
      </x:c>
      <x:c r="O386" s="9" t="str">
        <x:v>1111010001</x:v>
      </x:c>
    </x:row>
    <x:row r="387" ht="18" customHeight="1">
      <x:c r="A387" s="2" t="str">
        <x:v>controlled_n4_separated_bottlenecks_3</x:v>
      </x:c>
      <x:c r="B387" s="2" t="str">
        <x:v>QAOA</x:v>
      </x:c>
      <x:c r="C387" s="2" t="n">
        <x:v>456</x:v>
      </x:c>
      <x:c r="D387" s="2" t="str">
        <x:v>success</x:v>
      </x:c>
      <x:c r="E387" s="2" t="n">
        <x:v>10</x:v>
      </x:c>
      <x:c r="F387" s="7" t="n">
        <x:v>95</x:v>
      </x:c>
      <x:c r="G387" s="7" t="n">
        <x:v>80</x:v>
      </x:c>
      <x:c r="H387" s="7" t="n">
        <x:f>IF(F387=0,"n.a.",100*(F387-G387)/F387)</x:f>
        <x:v>15.789473684210526</x:v>
      </x:c>
      <x:c r="I387" s="7" t="n">
        <x:f>F387-G387</x:f>
        <x:v>15</x:v>
      </x:c>
      <x:c r="J387" s="8" t="n">
        <x:v>0.7965668402777779</x:v>
      </x:c>
      <x:c r="K387" s="8" t="n">
        <x:v>0.7965668402777781</x:v>
      </x:c>
      <x:c r="L387" s="8" t="n">
        <x:v>0</x:v>
      </x:c>
      <x:c r="M387" s="7" t="n">
        <x:v>679.2237999907229</x:v>
      </x:c>
      <x:c r="N387" s="2" t="str">
        <x:v>qiskit.primitives.StatevectorSampler</x:v>
      </x:c>
      <x:c r="O387" s="9" t="str">
        <x:v>0110111010</x:v>
      </x:c>
    </x:row>
    <x:row r="388" ht="18" customHeight="1">
      <x:c r="A388" s="2" t="str">
        <x:v>controlled_n4_separated_bottlenecks_3</x:v>
      </x:c>
      <x:c r="B388" s="2" t="str">
        <x:v>BPSO</x:v>
      </x:c>
      <x:c r="C388" s="2" t="n">
        <x:v>789</x:v>
      </x:c>
      <x:c r="D388" s="2" t="str">
        <x:v>success</x:v>
      </x:c>
      <x:c r="E388" s="2" t="n">
        <x:v>10</x:v>
      </x:c>
      <x:c r="F388" s="7" t="n">
        <x:v>95</x:v>
      </x:c>
      <x:c r="G388" s="7" t="n">
        <x:v>80</x:v>
      </x:c>
      <x:c r="H388" s="7" t="n">
        <x:f>IF(F388=0,"n.a.",100*(F388-G388)/F388)</x:f>
        <x:v>15.789473684210526</x:v>
      </x:c>
      <x:c r="I388" s="7" t="n">
        <x:f>F388-G388</x:f>
        <x:v>15</x:v>
      </x:c>
      <x:c r="J388" s="8" t="n">
        <x:v>0.7965668402777781</x:v>
      </x:c>
      <x:c r="K388" s="8" t="n">
        <x:v>0.7965668402777781</x:v>
      </x:c>
      <x:c r="L388" s="8" t="n">
        <x:v>0</x:v>
      </x:c>
      <x:c r="M388" s="7" t="n">
        <x:v>20.50099999178201</x:v>
      </x:c>
      <x:c r="N388" s="2" t="str">
        <x:v>repository_particle_dynamics_on_frozen_qubo</x:v>
      </x:c>
      <x:c r="O388" s="9" t="str">
        <x:v>1110100101</x:v>
      </x:c>
    </x:row>
    <x:row r="389" ht="18" customHeight="1">
      <x:c r="A389" s="2" t="str">
        <x:v>controlled_n4_separated_bottlenecks_3</x:v>
      </x:c>
      <x:c r="B389" s="2" t="str">
        <x:v>QAOA</x:v>
      </x:c>
      <x:c r="C389" s="2" t="n">
        <x:v>789</x:v>
      </x:c>
      <x:c r="D389" s="2" t="str">
        <x:v>success</x:v>
      </x:c>
      <x:c r="E389" s="2" t="n">
        <x:v>10</x:v>
      </x:c>
      <x:c r="F389" s="7" t="n">
        <x:v>95</x:v>
      </x:c>
      <x:c r="G389" s="7" t="n">
        <x:v>80</x:v>
      </x:c>
      <x:c r="H389" s="7" t="n">
        <x:f>IF(F389=0,"n.a.",100*(F389-G389)/F389)</x:f>
        <x:v>15.789473684210526</x:v>
      </x:c>
      <x:c r="I389" s="7" t="n">
        <x:f>F389-G389</x:f>
        <x:v>15</x:v>
      </x:c>
      <x:c r="J389" s="8" t="n">
        <x:v>0.7965668402777779</x:v>
      </x:c>
      <x:c r="K389" s="8" t="n">
        <x:v>0.7965668402777781</x:v>
      </x:c>
      <x:c r="L389" s="8" t="n">
        <x:v>0</x:v>
      </x:c>
      <x:c r="M389" s="7" t="n">
        <x:v>727.8347999963444</x:v>
      </x:c>
      <x:c r="N389" s="2" t="str">
        <x:v>qiskit.primitives.StatevectorSampler</x:v>
      </x:c>
      <x:c r="O389" s="9" t="str">
        <x:v>0001111101</x:v>
      </x:c>
    </x:row>
    <x:row r="390" ht="18" customHeight="1">
      <x:c r="A390" s="2" t="str">
        <x:v>controlled_n4_separated_bottlenecks_3</x:v>
      </x:c>
      <x:c r="B390" s="2" t="str">
        <x:v>BPSO</x:v>
      </x:c>
      <x:c r="C390" s="2" t="n">
        <x:v>2026</x:v>
      </x:c>
      <x:c r="D390" s="2" t="str">
        <x:v>success</x:v>
      </x:c>
      <x:c r="E390" s="2" t="n">
        <x:v>10</x:v>
      </x:c>
      <x:c r="F390" s="7" t="n">
        <x:v>95</x:v>
      </x:c>
      <x:c r="G390" s="7" t="n">
        <x:v>80</x:v>
      </x:c>
      <x:c r="H390" s="7" t="n">
        <x:f>IF(F390=0,"n.a.",100*(F390-G390)/F390)</x:f>
        <x:v>15.789473684210526</x:v>
      </x:c>
      <x:c r="I390" s="7" t="n">
        <x:f>F390-G390</x:f>
        <x:v>15</x:v>
      </x:c>
      <x:c r="J390" s="8" t="n">
        <x:v>0.7965668402777781</x:v>
      </x:c>
      <x:c r="K390" s="8" t="n">
        <x:v>0.7965668402777781</x:v>
      </x:c>
      <x:c r="L390" s="8" t="n">
        <x:v>0</x:v>
      </x:c>
      <x:c r="M390" s="7" t="n">
        <x:v>20.419799999217503</x:v>
      </x:c>
      <x:c r="N390" s="2" t="str">
        <x:v>repository_particle_dynamics_on_frozen_qubo</x:v>
      </x:c>
      <x:c r="O390" s="9" t="str">
        <x:v>1010101110</x:v>
      </x:c>
    </x:row>
    <x:row r="391" ht="18" customHeight="1">
      <x:c r="A391" s="2" t="str">
        <x:v>controlled_n4_separated_bottlenecks_3</x:v>
      </x:c>
      <x:c r="B391" s="2" t="str">
        <x:v>QAOA</x:v>
      </x:c>
      <x:c r="C391" s="2" t="n">
        <x:v>2026</x:v>
      </x:c>
      <x:c r="D391" s="2" t="str">
        <x:v>success</x:v>
      </x:c>
      <x:c r="E391" s="2" t="n">
        <x:v>10</x:v>
      </x:c>
      <x:c r="F391" s="7" t="n">
        <x:v>95</x:v>
      </x:c>
      <x:c r="G391" s="7" t="n">
        <x:v>80</x:v>
      </x:c>
      <x:c r="H391" s="7" t="n">
        <x:f>IF(F391=0,"n.a.",100*(F391-G391)/F391)</x:f>
        <x:v>15.789473684210526</x:v>
      </x:c>
      <x:c r="I391" s="7" t="n">
        <x:f>F391-G391</x:f>
        <x:v>15</x:v>
      </x:c>
      <x:c r="J391" s="8" t="n">
        <x:v>0.7965668402777779</x:v>
      </x:c>
      <x:c r="K391" s="8" t="n">
        <x:v>0.7965668402777781</x:v>
      </x:c>
      <x:c r="L391" s="8" t="n">
        <x:v>0</x:v>
      </x:c>
      <x:c r="M391" s="7" t="n">
        <x:v>822.274699996342</x:v>
      </x:c>
      <x:c r="N391" s="2" t="str">
        <x:v>qiskit.primitives.StatevectorSampler</x:v>
      </x:c>
      <x:c r="O391" s="9" t="str">
        <x:v>1110010110</x:v>
      </x:c>
    </x:row>
    <x:row r="392" ht="18" customHeight="1">
      <x:c r="A392" s="2" t="str">
        <x:v>controlled_n4_distributed_peak_1</x:v>
      </x:c>
      <x:c r="B392" s="2" t="str">
        <x:v>Unmanaged</x:v>
      </x:c>
      <x:c r="C392" s="2"/>
      <x:c r="D392" s="2" t="str">
        <x:v>baseline</x:v>
      </x:c>
      <x:c r="E392" s="2" t="n">
        <x:v>10</x:v>
      </x:c>
      <x:c r="F392" s="7" t="n">
        <x:v>85</x:v>
      </x:c>
      <x:c r="G392" s="7" t="n">
        <x:v>85</x:v>
      </x:c>
      <x:c r="H392" s="7" t="n">
        <x:f>IF(F392=0,"n.a.",100*(F392-G392)/F392)</x:f>
        <x:v>0</x:v>
      </x:c>
      <x:c r="I392" s="7" t="n">
        <x:f>F392-G392</x:f>
        <x:v>0</x:v>
      </x:c>
      <x:c r="J392" s="8"/>
      <x:c r="K392" s="8" t="n">
        <x:v>2.541971082899306</x:v>
      </x:c>
      <x:c r="L392" s="8"/>
      <x:c r="M392" s="7"/>
      <x:c r="N392" s="2" t="str">
        <x:v>unmanaged_input</x:v>
      </x:c>
      <x:c r="O392" s="9"/>
    </x:row>
    <x:row r="393" ht="18" customHeight="1">
      <x:c r="A393" s="2" t="str">
        <x:v>controlled_n4_distributed_peak_1</x:v>
      </x:c>
      <x:c r="B393" s="2" t="str">
        <x:v>Exact J</x:v>
      </x:c>
      <x:c r="C393" s="2"/>
      <x:c r="D393" s="2" t="str">
        <x:v>success</x:v>
      </x:c>
      <x:c r="E393" s="2" t="n">
        <x:v>10</x:v>
      </x:c>
      <x:c r="F393" s="7" t="n">
        <x:v>85</x:v>
      </x:c>
      <x:c r="G393" s="7" t="n">
        <x:v>110.00000000000001</x:v>
      </x:c>
      <x:c r="H393" s="7" t="n">
        <x:f>IF(F393=0,"n.a.",100*(F393-G393)/F393)</x:f>
        <x:v>-29.41176470588237</x:v>
      </x:c>
      <x:c r="I393" s="7" t="n">
        <x:f>F393-G393</x:f>
        <x:v>-25.000000000000014</x:v>
      </x:c>
      <x:c r="J393" s="8" t="n">
        <x:v>2.541971082899306</x:v>
      </x:c>
      <x:c r="K393" s="8" t="n">
        <x:v>2.541971082899306</x:v>
      </x:c>
      <x:c r="L393" s="8" t="n">
        <x:v>0</x:v>
      </x:c>
      <x:c r="M393" s="7"/>
      <x:c r="N393" s="2" t="str">
        <x:v>exhaustive_enumeration</x:v>
      </x:c>
      <x:c r="O393" s="9" t="str">
        <x:v>0001110000</x:v>
      </x:c>
    </x:row>
    <x:row r="394" ht="18" customHeight="1">
      <x:c r="A394" s="2" t="str">
        <x:v>controlled_n4_distributed_peak_1</x:v>
      </x:c>
      <x:c r="B394" s="2" t="str">
        <x:v>Exact peak</x:v>
      </x:c>
      <x:c r="C394" s="2"/>
      <x:c r="D394" s="2" t="str">
        <x:v>success</x:v>
      </x:c>
      <x:c r="E394" s="2" t="n">
        <x:v>10</x:v>
      </x:c>
      <x:c r="F394" s="7" t="n">
        <x:v>85</x:v>
      </x:c>
      <x:c r="G394" s="7" t="n">
        <x:v>105</x:v>
      </x:c>
      <x:c r="H394" s="7" t="n">
        <x:f>IF(F394=0,"n.a.",100*(F394-G394)/F394)</x:f>
        <x:v>-23.529411764705884</x:v>
      </x:c>
      <x:c r="I394" s="7" t="n">
        <x:f>F394-G394</x:f>
        <x:v>-20</x:v>
      </x:c>
      <x:c r="J394" s="8" t="n">
        <x:v>2.644027520576132</x:v>
      </x:c>
      <x:c r="K394" s="8" t="n">
        <x:v>2.541971082899306</x:v>
      </x:c>
      <x:c r="L394" s="8" t="n">
        <x:v>0.10205643767682604</x:v>
      </x:c>
      <x:c r="M394" s="7"/>
      <x:c r="N394" s="2" t="str">
        <x:v>exhaustive_enumeration</x:v>
      </x:c>
      <x:c r="O394" s="9" t="str">
        <x:v>0000110000</x:v>
      </x:c>
    </x:row>
    <x:row r="395" ht="18" customHeight="1">
      <x:c r="A395" s="2" t="str">
        <x:v>controlled_n4_distributed_peak_1</x:v>
      </x:c>
      <x:c r="B395" s="2" t="str">
        <x:v>BPSO</x:v>
      </x:c>
      <x:c r="C395" s="2" t="n">
        <x:v>42</x:v>
      </x:c>
      <x:c r="D395" s="2" t="str">
        <x:v>success</x:v>
      </x:c>
      <x:c r="E395" s="2" t="n">
        <x:v>10</x:v>
      </x:c>
      <x:c r="F395" s="7" t="n">
        <x:v>85</x:v>
      </x:c>
      <x:c r="G395" s="7" t="n">
        <x:v>110.00000000000001</x:v>
      </x:c>
      <x:c r="H395" s="7" t="n">
        <x:f>IF(F395=0,"n.a.",100*(F395-G395)/F395)</x:f>
        <x:v>-29.41176470588237</x:v>
      </x:c>
      <x:c r="I395" s="7" t="n">
        <x:f>F395-G395</x:f>
        <x:v>-25.000000000000014</x:v>
      </x:c>
      <x:c r="J395" s="8" t="n">
        <x:v>2.541971082899306</x:v>
      </x:c>
      <x:c r="K395" s="8" t="n">
        <x:v>2.541971082899306</x:v>
      </x:c>
      <x:c r="L395" s="8" t="n">
        <x:v>0</x:v>
      </x:c>
      <x:c r="M395" s="7" t="n">
        <x:v>21.10559999709949</x:v>
      </x:c>
      <x:c r="N395" s="2" t="str">
        <x:v>repository_particle_dynamics_on_frozen_qubo</x:v>
      </x:c>
      <x:c r="O395" s="9" t="str">
        <x:v>0100110000</x:v>
      </x:c>
    </x:row>
    <x:row r="396" ht="18" customHeight="1">
      <x:c r="A396" s="2" t="str">
        <x:v>controlled_n4_distributed_peak_1</x:v>
      </x:c>
      <x:c r="B396" s="2" t="str">
        <x:v>QAOA</x:v>
      </x:c>
      <x:c r="C396" s="2" t="n">
        <x:v>42</x:v>
      </x:c>
      <x:c r="D396" s="2" t="str">
        <x:v>success</x:v>
      </x:c>
      <x:c r="E396" s="2" t="n">
        <x:v>10</x:v>
      </x:c>
      <x:c r="F396" s="7" t="n">
        <x:v>85</x:v>
      </x:c>
      <x:c r="G396" s="7" t="n">
        <x:v>110.00000000000001</x:v>
      </x:c>
      <x:c r="H396" s="7" t="n">
        <x:f>IF(F396=0,"n.a.",100*(F396-G396)/F396)</x:f>
        <x:v>-29.41176470588237</x:v>
      </x:c>
      <x:c r="I396" s="7" t="n">
        <x:f>F396-G396</x:f>
        <x:v>-25.000000000000014</x:v>
      </x:c>
      <x:c r="J396" s="8" t="n">
        <x:v>2.541971082899306</x:v>
      </x:c>
      <x:c r="K396" s="8" t="n">
        <x:v>2.541971082899306</x:v>
      </x:c>
      <x:c r="L396" s="8" t="n">
        <x:v>0</x:v>
      </x:c>
      <x:c r="M396" s="7" t="n">
        <x:v>714.4089999928838</x:v>
      </x:c>
      <x:c r="N396" s="2" t="str">
        <x:v>qiskit.primitives.StatevectorSampler</x:v>
      </x:c>
      <x:c r="O396" s="9" t="str">
        <x:v>1100010000</x:v>
      </x:c>
    </x:row>
    <x:row r="397" ht="18" customHeight="1">
      <x:c r="A397" s="2" t="str">
        <x:v>controlled_n4_distributed_peak_1</x:v>
      </x:c>
      <x:c r="B397" s="2" t="str">
        <x:v>BPSO</x:v>
      </x:c>
      <x:c r="C397" s="2" t="n">
        <x:v>123</x:v>
      </x:c>
      <x:c r="D397" s="2" t="str">
        <x:v>success</x:v>
      </x:c>
      <x:c r="E397" s="2" t="n">
        <x:v>10</x:v>
      </x:c>
      <x:c r="F397" s="7" t="n">
        <x:v>85</x:v>
      </x:c>
      <x:c r="G397" s="7" t="n">
        <x:v>110.00000000000001</x:v>
      </x:c>
      <x:c r="H397" s="7" t="n">
        <x:f>IF(F397=0,"n.a.",100*(F397-G397)/F397)</x:f>
        <x:v>-29.41176470588237</x:v>
      </x:c>
      <x:c r="I397" s="7" t="n">
        <x:f>F397-G397</x:f>
        <x:v>-25.000000000000014</x:v>
      </x:c>
      <x:c r="J397" s="8" t="n">
        <x:v>2.541971082899306</x:v>
      </x:c>
      <x:c r="K397" s="8" t="n">
        <x:v>2.541971082899306</x:v>
      </x:c>
      <x:c r="L397" s="8" t="n">
        <x:v>0</x:v>
      </x:c>
      <x:c r="M397" s="7" t="n">
        <x:v>20.455999998375773</x:v>
      </x:c>
      <x:c r="N397" s="2" t="str">
        <x:v>repository_particle_dynamics_on_frozen_qubo</x:v>
      </x:c>
      <x:c r="O397" s="9" t="str">
        <x:v>0011010000</x:v>
      </x:c>
    </x:row>
    <x:row r="398" ht="18" customHeight="1">
      <x:c r="A398" s="2" t="str">
        <x:v>controlled_n4_distributed_peak_1</x:v>
      </x:c>
      <x:c r="B398" s="2" t="str">
        <x:v>QAOA</x:v>
      </x:c>
      <x:c r="C398" s="2" t="n">
        <x:v>123</x:v>
      </x:c>
      <x:c r="D398" s="2" t="str">
        <x:v>success</x:v>
      </x:c>
      <x:c r="E398" s="2" t="n">
        <x:v>10</x:v>
      </x:c>
      <x:c r="F398" s="7" t="n">
        <x:v>85</x:v>
      </x:c>
      <x:c r="G398" s="7" t="n">
        <x:v>110.00000000000001</x:v>
      </x:c>
      <x:c r="H398" s="7" t="n">
        <x:f>IF(F398=0,"n.a.",100*(F398-G398)/F398)</x:f>
        <x:v>-29.41176470588237</x:v>
      </x:c>
      <x:c r="I398" s="7" t="n">
        <x:f>F398-G398</x:f>
        <x:v>-25.000000000000014</x:v>
      </x:c>
      <x:c r="J398" s="8" t="n">
        <x:v>2.541971082899306</x:v>
      </x:c>
      <x:c r="K398" s="8" t="n">
        <x:v>2.541971082899306</x:v>
      </x:c>
      <x:c r="L398" s="8" t="n">
        <x:v>0</x:v>
      </x:c>
      <x:c r="M398" s="7" t="n">
        <x:v>760.8922999934293</x:v>
      </x:c>
      <x:c r="N398" s="2" t="str">
        <x:v>qiskit.primitives.StatevectorSampler</x:v>
      </x:c>
      <x:c r="O398" s="9" t="str">
        <x:v>0110100000</x:v>
      </x:c>
    </x:row>
    <x:row r="399" ht="18" customHeight="1">
      <x:c r="A399" s="2" t="str">
        <x:v>controlled_n4_distributed_peak_1</x:v>
      </x:c>
      <x:c r="B399" s="2" t="str">
        <x:v>BPSO</x:v>
      </x:c>
      <x:c r="C399" s="2" t="n">
        <x:v>456</x:v>
      </x:c>
      <x:c r="D399" s="2" t="str">
        <x:v>success</x:v>
      </x:c>
      <x:c r="E399" s="2" t="n">
        <x:v>10</x:v>
      </x:c>
      <x:c r="F399" s="7" t="n">
        <x:v>85</x:v>
      </x:c>
      <x:c r="G399" s="7" t="n">
        <x:v>110.00000000000001</x:v>
      </x:c>
      <x:c r="H399" s="7" t="n">
        <x:f>IF(F399=0,"n.a.",100*(F399-G399)/F399)</x:f>
        <x:v>-29.41176470588237</x:v>
      </x:c>
      <x:c r="I399" s="7" t="n">
        <x:f>F399-G399</x:f>
        <x:v>-25.000000000000014</x:v>
      </x:c>
      <x:c r="J399" s="8" t="n">
        <x:v>2.541971082899306</x:v>
      </x:c>
      <x:c r="K399" s="8" t="n">
        <x:v>2.541971082899306</x:v>
      </x:c>
      <x:c r="L399" s="8" t="n">
        <x:v>0</x:v>
      </x:c>
      <x:c r="M399" s="7" t="n">
        <x:v>20.357599991257302</x:v>
      </x:c>
      <x:c r="N399" s="2" t="str">
        <x:v>repository_particle_dynamics_on_frozen_qubo</x:v>
      </x:c>
      <x:c r="O399" s="9" t="str">
        <x:v>1000110000</x:v>
      </x:c>
    </x:row>
    <x:row r="400" ht="18" customHeight="1">
      <x:c r="A400" s="2" t="str">
        <x:v>controlled_n4_distributed_peak_1</x:v>
      </x:c>
      <x:c r="B400" s="2" t="str">
        <x:v>QAOA</x:v>
      </x:c>
      <x:c r="C400" s="2" t="n">
        <x:v>456</x:v>
      </x:c>
      <x:c r="D400" s="2" t="str">
        <x:v>success</x:v>
      </x:c>
      <x:c r="E400" s="2" t="n">
        <x:v>10</x:v>
      </x:c>
      <x:c r="F400" s="7" t="n">
        <x:v>85</x:v>
      </x:c>
      <x:c r="G400" s="7" t="n">
        <x:v>110.00000000000001</x:v>
      </x:c>
      <x:c r="H400" s="7" t="n">
        <x:f>IF(F400=0,"n.a.",100*(F400-G400)/F400)</x:f>
        <x:v>-29.41176470588237</x:v>
      </x:c>
      <x:c r="I400" s="7" t="n">
        <x:f>F400-G400</x:f>
        <x:v>-25.000000000000014</x:v>
      </x:c>
      <x:c r="J400" s="8" t="n">
        <x:v>2.541971082899306</x:v>
      </x:c>
      <x:c r="K400" s="8" t="n">
        <x:v>2.541971082899306</x:v>
      </x:c>
      <x:c r="L400" s="8" t="n">
        <x:v>0</x:v>
      </x:c>
      <x:c r="M400" s="7" t="n">
        <x:v>694.3406999926083</x:v>
      </x:c>
      <x:c r="N400" s="2" t="str">
        <x:v>qiskit.primitives.StatevectorSampler</x:v>
      </x:c>
      <x:c r="O400" s="9" t="str">
        <x:v>1001010000</x:v>
      </x:c>
    </x:row>
    <x:row r="401" ht="18" customHeight="1">
      <x:c r="A401" s="2" t="str">
        <x:v>controlled_n4_distributed_peak_1</x:v>
      </x:c>
      <x:c r="B401" s="2" t="str">
        <x:v>BPSO</x:v>
      </x:c>
      <x:c r="C401" s="2" t="n">
        <x:v>789</x:v>
      </x:c>
      <x:c r="D401" s="2" t="str">
        <x:v>success</x:v>
      </x:c>
      <x:c r="E401" s="2" t="n">
        <x:v>10</x:v>
      </x:c>
      <x:c r="F401" s="7" t="n">
        <x:v>85</x:v>
      </x:c>
      <x:c r="G401" s="7" t="n">
        <x:v>110.00000000000001</x:v>
      </x:c>
      <x:c r="H401" s="7" t="n">
        <x:f>IF(F401=0,"n.a.",100*(F401-G401)/F401)</x:f>
        <x:v>-29.41176470588237</x:v>
      </x:c>
      <x:c r="I401" s="7" t="n">
        <x:f>F401-G401</x:f>
        <x:v>-25.000000000000014</x:v>
      </x:c>
      <x:c r="J401" s="8" t="n">
        <x:v>2.541971082899306</x:v>
      </x:c>
      <x:c r="K401" s="8" t="n">
        <x:v>2.541971082899306</x:v>
      </x:c>
      <x:c r="L401" s="8" t="n">
        <x:v>0</x:v>
      </x:c>
      <x:c r="M401" s="7" t="n">
        <x:v>20.493700008955784</x:v>
      </x:c>
      <x:c r="N401" s="2" t="str">
        <x:v>repository_particle_dynamics_on_frozen_qubo</x:v>
      </x:c>
      <x:c r="O401" s="9" t="str">
        <x:v>0110010000</x:v>
      </x:c>
    </x:row>
    <x:row r="402" ht="18" customHeight="1">
      <x:c r="A402" s="2" t="str">
        <x:v>controlled_n4_distributed_peak_1</x:v>
      </x:c>
      <x:c r="B402" s="2" t="str">
        <x:v>QAOA</x:v>
      </x:c>
      <x:c r="C402" s="2" t="n">
        <x:v>789</x:v>
      </x:c>
      <x:c r="D402" s="2" t="str">
        <x:v>success</x:v>
      </x:c>
      <x:c r="E402" s="2" t="n">
        <x:v>10</x:v>
      </x:c>
      <x:c r="F402" s="7" t="n">
        <x:v>85</x:v>
      </x:c>
      <x:c r="G402" s="7" t="n">
        <x:v>110.00000000000001</x:v>
      </x:c>
      <x:c r="H402" s="7" t="n">
        <x:f>IF(F402=0,"n.a.",100*(F402-G402)/F402)</x:f>
        <x:v>-29.41176470588237</x:v>
      </x:c>
      <x:c r="I402" s="7" t="n">
        <x:f>F402-G402</x:f>
        <x:v>-25.000000000000014</x:v>
      </x:c>
      <x:c r="J402" s="8" t="n">
        <x:v>2.541971082899306</x:v>
      </x:c>
      <x:c r="K402" s="8" t="n">
        <x:v>2.541971082899306</x:v>
      </x:c>
      <x:c r="L402" s="8" t="n">
        <x:v>0</x:v>
      </x:c>
      <x:c r="M402" s="7" t="n">
        <x:v>930.620999992243</x:v>
      </x:c>
      <x:c r="N402" s="2" t="str">
        <x:v>qiskit.primitives.StatevectorSampler</x:v>
      </x:c>
      <x:c r="O402" s="9" t="str">
        <x:v>0101100000</x:v>
      </x:c>
    </x:row>
    <x:row r="403" ht="18" customHeight="1">
      <x:c r="A403" s="2" t="str">
        <x:v>controlled_n4_distributed_peak_1</x:v>
      </x:c>
      <x:c r="B403" s="2" t="str">
        <x:v>BPSO</x:v>
      </x:c>
      <x:c r="C403" s="2" t="n">
        <x:v>2026</x:v>
      </x:c>
      <x:c r="D403" s="2" t="str">
        <x:v>success</x:v>
      </x:c>
      <x:c r="E403" s="2" t="n">
        <x:v>10</x:v>
      </x:c>
      <x:c r="F403" s="7" t="n">
        <x:v>85</x:v>
      </x:c>
      <x:c r="G403" s="7" t="n">
        <x:v>110.00000000000001</x:v>
      </x:c>
      <x:c r="H403" s="7" t="n">
        <x:f>IF(F403=0,"n.a.",100*(F403-G403)/F403)</x:f>
        <x:v>-29.41176470588237</x:v>
      </x:c>
      <x:c r="I403" s="7" t="n">
        <x:f>F403-G403</x:f>
        <x:v>-25.000000000000014</x:v>
      </x:c>
      <x:c r="J403" s="8" t="n">
        <x:v>2.541971082899306</x:v>
      </x:c>
      <x:c r="K403" s="8" t="n">
        <x:v>2.541971082899306</x:v>
      </x:c>
      <x:c r="L403" s="8" t="n">
        <x:v>0</x:v>
      </x:c>
      <x:c r="M403" s="7" t="n">
        <x:v>21.045900008175522</x:v>
      </x:c>
      <x:c r="N403" s="2" t="str">
        <x:v>repository_particle_dynamics_on_frozen_qubo</x:v>
      </x:c>
      <x:c r="O403" s="9" t="str">
        <x:v>1110000000</x:v>
      </x:c>
    </x:row>
    <x:row r="404" ht="18" customHeight="1">
      <x:c r="A404" s="2" t="str">
        <x:v>controlled_n4_distributed_peak_1</x:v>
      </x:c>
      <x:c r="B404" s="2" t="str">
        <x:v>QAOA</x:v>
      </x:c>
      <x:c r="C404" s="2" t="n">
        <x:v>2026</x:v>
      </x:c>
      <x:c r="D404" s="2" t="str">
        <x:v>success</x:v>
      </x:c>
      <x:c r="E404" s="2" t="n">
        <x:v>10</x:v>
      </x:c>
      <x:c r="F404" s="7" t="n">
        <x:v>85</x:v>
      </x:c>
      <x:c r="G404" s="7" t="n">
        <x:v>110.00000000000001</x:v>
      </x:c>
      <x:c r="H404" s="7" t="n">
        <x:f>IF(F404=0,"n.a.",100*(F404-G404)/F404)</x:f>
        <x:v>-29.41176470588237</x:v>
      </x:c>
      <x:c r="I404" s="7" t="n">
        <x:f>F404-G404</x:f>
        <x:v>-25.000000000000014</x:v>
      </x:c>
      <x:c r="J404" s="8" t="n">
        <x:v>2.541971082899306</x:v>
      </x:c>
      <x:c r="K404" s="8" t="n">
        <x:v>2.541971082899306</x:v>
      </x:c>
      <x:c r="L404" s="8" t="n">
        <x:v>0</x:v>
      </x:c>
      <x:c r="M404" s="7" t="n">
        <x:v>781.5254000015557</x:v>
      </x:c>
      <x:c r="N404" s="2" t="str">
        <x:v>qiskit.primitives.StatevectorSampler</x:v>
      </x:c>
      <x:c r="O404" s="9" t="str">
        <x:v>0001110000</x:v>
      </x:c>
    </x:row>
    <x:row r="405" ht="18" customHeight="1">
      <x:c r="A405" s="2" t="str">
        <x:v>controlled_n4_distributed_peak_2</x:v>
      </x:c>
      <x:c r="B405" s="2" t="str">
        <x:v>Unmanaged</x:v>
      </x:c>
      <x:c r="C405" s="2"/>
      <x:c r="D405" s="2" t="str">
        <x:v>baseline</x:v>
      </x:c>
      <x:c r="E405" s="2" t="n">
        <x:v>10</x:v>
      </x:c>
      <x:c r="F405" s="7" t="n">
        <x:v>85</x:v>
      </x:c>
      <x:c r="G405" s="7" t="n">
        <x:v>85</x:v>
      </x:c>
      <x:c r="H405" s="7" t="n">
        <x:f>IF(F405=0,"n.a.",100*(F405-G405)/F405)</x:f>
        <x:v>0</x:v>
      </x:c>
      <x:c r="I405" s="7" t="n">
        <x:f>F405-G405</x:f>
        <x:v>0</x:v>
      </x:c>
      <x:c r="J405" s="8"/>
      <x:c r="K405" s="8" t="n">
        <x:v>3.314944548932612</x:v>
      </x:c>
      <x:c r="L405" s="8"/>
      <x:c r="M405" s="7"/>
      <x:c r="N405" s="2" t="str">
        <x:v>unmanaged_input</x:v>
      </x:c>
      <x:c r="O405" s="9"/>
    </x:row>
    <x:row r="406" ht="18" customHeight="1">
      <x:c r="A406" s="2" t="str">
        <x:v>controlled_n4_distributed_peak_2</x:v>
      </x:c>
      <x:c r="B406" s="2" t="str">
        <x:v>Exact J</x:v>
      </x:c>
      <x:c r="C406" s="2"/>
      <x:c r="D406" s="2" t="str">
        <x:v>success</x:v>
      </x:c>
      <x:c r="E406" s="2" t="n">
        <x:v>10</x:v>
      </x:c>
      <x:c r="F406" s="7" t="n">
        <x:v>85</x:v>
      </x:c>
      <x:c r="G406" s="7" t="n">
        <x:v>118.33333333333333</x:v>
      </x:c>
      <x:c r="H406" s="7" t="n">
        <x:f>IF(F406=0,"n.a.",100*(F406-G406)/F406)</x:f>
        <x:v>-39.2156862745098</x:v>
      </x:c>
      <x:c r="I406" s="7" t="n">
        <x:f>F406-G406</x:f>
        <x:v>-33.33333333333333</x:v>
      </x:c>
      <x:c r="J406" s="8" t="n">
        <x:v>3.314944548932612</x:v>
      </x:c>
      <x:c r="K406" s="8" t="n">
        <x:v>3.314944548932612</x:v>
      </x:c>
      <x:c r="L406" s="8" t="n">
        <x:v>0</x:v>
      </x:c>
      <x:c r="M406" s="7"/>
      <x:c r="N406" s="2" t="str">
        <x:v>exhaustive_enumeration</x:v>
      </x:c>
      <x:c r="O406" s="9" t="str">
        <x:v>0001110001</x:v>
      </x:c>
    </x:row>
    <x:row r="407" ht="18" customHeight="1">
      <x:c r="A407" s="2" t="str">
        <x:v>controlled_n4_distributed_peak_2</x:v>
      </x:c>
      <x:c r="B407" s="2" t="str">
        <x:v>Exact peak</x:v>
      </x:c>
      <x:c r="C407" s="2"/>
      <x:c r="D407" s="2" t="str">
        <x:v>success</x:v>
      </x:c>
      <x:c r="E407" s="2" t="n">
        <x:v>10</x:v>
      </x:c>
      <x:c r="F407" s="7" t="n">
        <x:v>85</x:v>
      </x:c>
      <x:c r="G407" s="7" t="n">
        <x:v>115.625</x:v>
      </x:c>
      <x:c r="H407" s="7" t="n">
        <x:f>IF(F407=0,"n.a.",100*(F407-G407)/F407)</x:f>
        <x:v>-36.029411764705884</x:v>
      </x:c>
      <x:c r="I407" s="7" t="n">
        <x:f>F407-G407</x:f>
        <x:v>-30.625</x:v>
      </x:c>
      <x:c r="J407" s="8" t="n">
        <x:v>3.3480457356770823</x:v>
      </x:c>
      <x:c r="K407" s="8" t="n">
        <x:v>3.314944548932612</x:v>
      </x:c>
      <x:c r="L407" s="8" t="n">
        <x:v>0.03310118674447038</x:v>
      </x:c>
      <x:c r="M407" s="7"/>
      <x:c r="N407" s="2" t="str">
        <x:v>exhaustive_enumeration</x:v>
      </x:c>
      <x:c r="O407" s="9" t="str">
        <x:v>0001110000</x:v>
      </x:c>
    </x:row>
    <x:row r="408" ht="18" customHeight="1">
      <x:c r="A408" s="2" t="str">
        <x:v>controlled_n4_distributed_peak_2</x:v>
      </x:c>
      <x:c r="B408" s="2" t="str">
        <x:v>BPSO</x:v>
      </x:c>
      <x:c r="C408" s="2" t="n">
        <x:v>42</x:v>
      </x:c>
      <x:c r="D408" s="2" t="str">
        <x:v>success</x:v>
      </x:c>
      <x:c r="E408" s="2" t="n">
        <x:v>10</x:v>
      </x:c>
      <x:c r="F408" s="7" t="n">
        <x:v>85</x:v>
      </x:c>
      <x:c r="G408" s="7" t="n">
        <x:v>118.33333333333333</x:v>
      </x:c>
      <x:c r="H408" s="7" t="n">
        <x:f>IF(F408=0,"n.a.",100*(F408-G408)/F408)</x:f>
        <x:v>-39.2156862745098</x:v>
      </x:c>
      <x:c r="I408" s="7" t="n">
        <x:f>F408-G408</x:f>
        <x:v>-33.33333333333333</x:v>
      </x:c>
      <x:c r="J408" s="8" t="n">
        <x:v>3.314944548932612</x:v>
      </x:c>
      <x:c r="K408" s="8" t="n">
        <x:v>3.314944548932612</x:v>
      </x:c>
      <x:c r="L408" s="8" t="n">
        <x:v>0</x:v>
      </x:c>
      <x:c r="M408" s="7" t="n">
        <x:v>20.448399998713285</x:v>
      </x:c>
      <x:c r="N408" s="2" t="str">
        <x:v>repository_particle_dynamics_on_frozen_qubo</x:v>
      </x:c>
      <x:c r="O408" s="9" t="str">
        <x:v>0111000100</x:v>
      </x:c>
    </x:row>
    <x:row r="409" ht="18" customHeight="1">
      <x:c r="A409" s="2" t="str">
        <x:v>controlled_n4_distributed_peak_2</x:v>
      </x:c>
      <x:c r="B409" s="2" t="str">
        <x:v>QAOA</x:v>
      </x:c>
      <x:c r="C409" s="2" t="n">
        <x:v>42</x:v>
      </x:c>
      <x:c r="D409" s="2" t="str">
        <x:v>success</x:v>
      </x:c>
      <x:c r="E409" s="2" t="n">
        <x:v>10</x:v>
      </x:c>
      <x:c r="F409" s="7" t="n">
        <x:v>85</x:v>
      </x:c>
      <x:c r="G409" s="7" t="n">
        <x:v>118.33333333333333</x:v>
      </x:c>
      <x:c r="H409" s="7" t="n">
        <x:f>IF(F409=0,"n.a.",100*(F409-G409)/F409)</x:f>
        <x:v>-39.2156862745098</x:v>
      </x:c>
      <x:c r="I409" s="7" t="n">
        <x:f>F409-G409</x:f>
        <x:v>-33.33333333333333</x:v>
      </x:c>
      <x:c r="J409" s="8" t="n">
        <x:v>3.314944548932612</x:v>
      </x:c>
      <x:c r="K409" s="8" t="n">
        <x:v>3.314944548932612</x:v>
      </x:c>
      <x:c r="L409" s="8" t="n">
        <x:v>0</x:v>
      </x:c>
      <x:c r="M409" s="7" t="n">
        <x:v>710.7340999937151</x:v>
      </x:c>
      <x:c r="N409" s="2" t="str">
        <x:v>qiskit.primitives.StatevectorSampler</x:v>
      </x:c>
      <x:c r="O409" s="9" t="str">
        <x:v>0010110010</x:v>
      </x:c>
    </x:row>
    <x:row r="410" ht="18" customHeight="1">
      <x:c r="A410" s="2" t="str">
        <x:v>controlled_n4_distributed_peak_2</x:v>
      </x:c>
      <x:c r="B410" s="2" t="str">
        <x:v>BPSO</x:v>
      </x:c>
      <x:c r="C410" s="2" t="n">
        <x:v>123</x:v>
      </x:c>
      <x:c r="D410" s="2" t="str">
        <x:v>success</x:v>
      </x:c>
      <x:c r="E410" s="2" t="n">
        <x:v>10</x:v>
      </x:c>
      <x:c r="F410" s="7" t="n">
        <x:v>85</x:v>
      </x:c>
      <x:c r="G410" s="7" t="n">
        <x:v>118.33333333333333</x:v>
      </x:c>
      <x:c r="H410" s="7" t="n">
        <x:f>IF(F410=0,"n.a.",100*(F410-G410)/F410)</x:f>
        <x:v>-39.2156862745098</x:v>
      </x:c>
      <x:c r="I410" s="7" t="n">
        <x:f>F410-G410</x:f>
        <x:v>-33.33333333333333</x:v>
      </x:c>
      <x:c r="J410" s="8" t="n">
        <x:v>3.314944548932612</x:v>
      </x:c>
      <x:c r="K410" s="8" t="n">
        <x:v>3.314944548932612</x:v>
      </x:c>
      <x:c r="L410" s="8" t="n">
        <x:v>0</x:v>
      </x:c>
      <x:c r="M410" s="7" t="n">
        <x:v>20.36170000792481</x:v>
      </x:c>
      <x:c r="N410" s="2" t="str">
        <x:v>repository_particle_dynamics_on_frozen_qubo</x:v>
      </x:c>
      <x:c r="O410" s="9" t="str">
        <x:v>1010011000</x:v>
      </x:c>
    </x:row>
    <x:row r="411" ht="18" customHeight="1">
      <x:c r="A411" s="2" t="str">
        <x:v>controlled_n4_distributed_peak_2</x:v>
      </x:c>
      <x:c r="B411" s="2" t="str">
        <x:v>QAOA</x:v>
      </x:c>
      <x:c r="C411" s="2" t="n">
        <x:v>123</x:v>
      </x:c>
      <x:c r="D411" s="2" t="str">
        <x:v>success</x:v>
      </x:c>
      <x:c r="E411" s="2" t="n">
        <x:v>10</x:v>
      </x:c>
      <x:c r="F411" s="7" t="n">
        <x:v>85</x:v>
      </x:c>
      <x:c r="G411" s="7" t="n">
        <x:v>118.33333333333333</x:v>
      </x:c>
      <x:c r="H411" s="7" t="n">
        <x:f>IF(F411=0,"n.a.",100*(F411-G411)/F411)</x:f>
        <x:v>-39.2156862745098</x:v>
      </x:c>
      <x:c r="I411" s="7" t="n">
        <x:f>F411-G411</x:f>
        <x:v>-33.33333333333333</x:v>
      </x:c>
      <x:c r="J411" s="8" t="n">
        <x:v>3.314944548932612</x:v>
      </x:c>
      <x:c r="K411" s="8" t="n">
        <x:v>3.314944548932612</x:v>
      </x:c>
      <x:c r="L411" s="8" t="n">
        <x:v>0</x:v>
      </x:c>
      <x:c r="M411" s="7" t="n">
        <x:v>1161.0450000007404</x:v>
      </x:c>
      <x:c r="N411" s="2" t="str">
        <x:v>qiskit.primitives.StatevectorSampler</x:v>
      </x:c>
      <x:c r="O411" s="9" t="str">
        <x:v>1010010100</x:v>
      </x:c>
    </x:row>
    <x:row r="412" ht="18" customHeight="1">
      <x:c r="A412" s="2" t="str">
        <x:v>controlled_n4_distributed_peak_2</x:v>
      </x:c>
      <x:c r="B412" s="2" t="str">
        <x:v>BPSO</x:v>
      </x:c>
      <x:c r="C412" s="2" t="n">
        <x:v>456</x:v>
      </x:c>
      <x:c r="D412" s="2" t="str">
        <x:v>success</x:v>
      </x:c>
      <x:c r="E412" s="2" t="n">
        <x:v>10</x:v>
      </x:c>
      <x:c r="F412" s="7" t="n">
        <x:v>85</x:v>
      </x:c>
      <x:c r="G412" s="7" t="n">
        <x:v>118.33333333333333</x:v>
      </x:c>
      <x:c r="H412" s="7" t="n">
        <x:f>IF(F412=0,"n.a.",100*(F412-G412)/F412)</x:f>
        <x:v>-39.2156862745098</x:v>
      </x:c>
      <x:c r="I412" s="7" t="n">
        <x:f>F412-G412</x:f>
        <x:v>-33.33333333333333</x:v>
      </x:c>
      <x:c r="J412" s="8" t="n">
        <x:v>3.314944548932612</x:v>
      </x:c>
      <x:c r="K412" s="8" t="n">
        <x:v>3.314944548932612</x:v>
      </x:c>
      <x:c r="L412" s="8" t="n">
        <x:v>0</x:v>
      </x:c>
      <x:c r="M412" s="7" t="n">
        <x:v>20.719199994346127</x:v>
      </x:c>
      <x:c r="N412" s="2" t="str">
        <x:v>repository_particle_dynamics_on_frozen_qubo</x:v>
      </x:c>
      <x:c r="O412" s="9" t="str">
        <x:v>1110001000</x:v>
      </x:c>
    </x:row>
    <x:row r="413" ht="18" customHeight="1">
      <x:c r="A413" s="2" t="str">
        <x:v>controlled_n4_distributed_peak_2</x:v>
      </x:c>
      <x:c r="B413" s="2" t="str">
        <x:v>QAOA</x:v>
      </x:c>
      <x:c r="C413" s="2" t="n">
        <x:v>456</x:v>
      </x:c>
      <x:c r="D413" s="2" t="str">
        <x:v>success</x:v>
      </x:c>
      <x:c r="E413" s="2" t="n">
        <x:v>10</x:v>
      </x:c>
      <x:c r="F413" s="7" t="n">
        <x:v>85</x:v>
      </x:c>
      <x:c r="G413" s="7" t="n">
        <x:v>118.33333333333333</x:v>
      </x:c>
      <x:c r="H413" s="7" t="n">
        <x:f>IF(F413=0,"n.a.",100*(F413-G413)/F413)</x:f>
        <x:v>-39.2156862745098</x:v>
      </x:c>
      <x:c r="I413" s="7" t="n">
        <x:f>F413-G413</x:f>
        <x:v>-33.33333333333333</x:v>
      </x:c>
      <x:c r="J413" s="8" t="n">
        <x:v>3.314944548932612</x:v>
      </x:c>
      <x:c r="K413" s="8" t="n">
        <x:v>3.314944548932612</x:v>
      </x:c>
      <x:c r="L413" s="8" t="n">
        <x:v>0</x:v>
      </x:c>
      <x:c r="M413" s="7" t="n">
        <x:v>659.7970000002533</x:v>
      </x:c>
      <x:c r="N413" s="2" t="str">
        <x:v>qiskit.primitives.StatevectorSampler</x:v>
      </x:c>
      <x:c r="O413" s="9" t="str">
        <x:v>0011100001</x:v>
      </x:c>
    </x:row>
    <x:row r="414" ht="18" customHeight="1">
      <x:c r="A414" s="2" t="str">
        <x:v>controlled_n4_distributed_peak_2</x:v>
      </x:c>
      <x:c r="B414" s="2" t="str">
        <x:v>BPSO</x:v>
      </x:c>
      <x:c r="C414" s="2" t="n">
        <x:v>789</x:v>
      </x:c>
      <x:c r="D414" s="2" t="str">
        <x:v>success</x:v>
      </x:c>
      <x:c r="E414" s="2" t="n">
        <x:v>10</x:v>
      </x:c>
      <x:c r="F414" s="7" t="n">
        <x:v>85</x:v>
      </x:c>
      <x:c r="G414" s="7" t="n">
        <x:v>118.33333333333333</x:v>
      </x:c>
      <x:c r="H414" s="7" t="n">
        <x:f>IF(F414=0,"n.a.",100*(F414-G414)/F414)</x:f>
        <x:v>-39.2156862745098</x:v>
      </x:c>
      <x:c r="I414" s="7" t="n">
        <x:f>F414-G414</x:f>
        <x:v>-33.33333333333333</x:v>
      </x:c>
      <x:c r="J414" s="8" t="n">
        <x:v>3.314944548932612</x:v>
      </x:c>
      <x:c r="K414" s="8" t="n">
        <x:v>3.314944548932612</x:v>
      </x:c>
      <x:c r="L414" s="8" t="n">
        <x:v>0</x:v>
      </x:c>
      <x:c r="M414" s="7" t="n">
        <x:v>20.368999990751036</x:v>
      </x:c>
      <x:c r="N414" s="2" t="str">
        <x:v>repository_particle_dynamics_on_frozen_qubo</x:v>
      </x:c>
      <x:c r="O414" s="9" t="str">
        <x:v>0101100010</x:v>
      </x:c>
    </x:row>
    <x:row r="415" ht="18" customHeight="1">
      <x:c r="A415" s="2" t="str">
        <x:v>controlled_n4_distributed_peak_2</x:v>
      </x:c>
      <x:c r="B415" s="2" t="str">
        <x:v>QAOA</x:v>
      </x:c>
      <x:c r="C415" s="2" t="n">
        <x:v>789</x:v>
      </x:c>
      <x:c r="D415" s="2" t="str">
        <x:v>success</x:v>
      </x:c>
      <x:c r="E415" s="2" t="n">
        <x:v>10</x:v>
      </x:c>
      <x:c r="F415" s="7" t="n">
        <x:v>85</x:v>
      </x:c>
      <x:c r="G415" s="7" t="n">
        <x:v>118.33333333333333</x:v>
      </x:c>
      <x:c r="H415" s="7" t="n">
        <x:f>IF(F415=0,"n.a.",100*(F415-G415)/F415)</x:f>
        <x:v>-39.2156862745098</x:v>
      </x:c>
      <x:c r="I415" s="7" t="n">
        <x:f>F415-G415</x:f>
        <x:v>-33.33333333333333</x:v>
      </x:c>
      <x:c r="J415" s="8" t="n">
        <x:v>3.314944548932612</x:v>
      </x:c>
      <x:c r="K415" s="8" t="n">
        <x:v>3.314944548932612</x:v>
      </x:c>
      <x:c r="L415" s="8" t="n">
        <x:v>0</x:v>
      </x:c>
      <x:c r="M415" s="7" t="n">
        <x:v>832.0806999981869</x:v>
      </x:c>
      <x:c r="N415" s="2" t="str">
        <x:v>qiskit.primitives.StatevectorSampler</x:v>
      </x:c>
      <x:c r="O415" s="9" t="str">
        <x:v>1010100001</x:v>
      </x:c>
    </x:row>
    <x:row r="416" ht="18" customHeight="1">
      <x:c r="A416" s="2" t="str">
        <x:v>controlled_n4_distributed_peak_2</x:v>
      </x:c>
      <x:c r="B416" s="2" t="str">
        <x:v>BPSO</x:v>
      </x:c>
      <x:c r="C416" s="2" t="n">
        <x:v>2026</x:v>
      </x:c>
      <x:c r="D416" s="2" t="str">
        <x:v>success</x:v>
      </x:c>
      <x:c r="E416" s="2" t="n">
        <x:v>10</x:v>
      </x:c>
      <x:c r="F416" s="7" t="n">
        <x:v>85</x:v>
      </x:c>
      <x:c r="G416" s="7" t="n">
        <x:v>118.33333333333333</x:v>
      </x:c>
      <x:c r="H416" s="7" t="n">
        <x:f>IF(F416=0,"n.a.",100*(F416-G416)/F416)</x:f>
        <x:v>-39.2156862745098</x:v>
      </x:c>
      <x:c r="I416" s="7" t="n">
        <x:f>F416-G416</x:f>
        <x:v>-33.33333333333333</x:v>
      </x:c>
      <x:c r="J416" s="8" t="n">
        <x:v>3.314944548932612</x:v>
      </x:c>
      <x:c r="K416" s="8" t="n">
        <x:v>3.314944548932612</x:v>
      </x:c>
      <x:c r="L416" s="8" t="n">
        <x:v>0</x:v>
      </x:c>
      <x:c r="M416" s="7" t="n">
        <x:v>20.587299994076602</x:v>
      </x:c>
      <x:c r="N416" s="2" t="str">
        <x:v>repository_particle_dynamics_on_frozen_qubo</x:v>
      </x:c>
      <x:c r="O416" s="9" t="str">
        <x:v>1000110010</x:v>
      </x:c>
    </x:row>
    <x:row r="417" ht="18" customHeight="1">
      <x:c r="A417" s="2" t="str">
        <x:v>controlled_n4_distributed_peak_2</x:v>
      </x:c>
      <x:c r="B417" s="2" t="str">
        <x:v>QAOA</x:v>
      </x:c>
      <x:c r="C417" s="2" t="n">
        <x:v>2026</x:v>
      </x:c>
      <x:c r="D417" s="2" t="str">
        <x:v>success</x:v>
      </x:c>
      <x:c r="E417" s="2" t="n">
        <x:v>10</x:v>
      </x:c>
      <x:c r="F417" s="7" t="n">
        <x:v>85</x:v>
      </x:c>
      <x:c r="G417" s="7" t="n">
        <x:v>118.33333333333333</x:v>
      </x:c>
      <x:c r="H417" s="7" t="n">
        <x:f>IF(F417=0,"n.a.",100*(F417-G417)/F417)</x:f>
        <x:v>-39.2156862745098</x:v>
      </x:c>
      <x:c r="I417" s="7" t="n">
        <x:f>F417-G417</x:f>
        <x:v>-33.33333333333333</x:v>
      </x:c>
      <x:c r="J417" s="8" t="n">
        <x:v>3.314944548932612</x:v>
      </x:c>
      <x:c r="K417" s="8" t="n">
        <x:v>3.314944548932612</x:v>
      </x:c>
      <x:c r="L417" s="8" t="n">
        <x:v>0</x:v>
      </x:c>
      <x:c r="M417" s="7" t="n">
        <x:v>755.6877000024542</x:v>
      </x:c>
      <x:c r="N417" s="2" t="str">
        <x:v>qiskit.primitives.StatevectorSampler</x:v>
      </x:c>
      <x:c r="O417" s="9" t="str">
        <x:v>0001110001</x:v>
      </x:c>
    </x:row>
    <x:row r="418" ht="18" customHeight="1">
      <x:c r="A418" s="2" t="str">
        <x:v>controlled_n4_distributed_peak_3</x:v>
      </x:c>
      <x:c r="B418" s="2" t="str">
        <x:v>Unmanaged</x:v>
      </x:c>
      <x:c r="C418" s="2"/>
      <x:c r="D418" s="2" t="str">
        <x:v>baseline</x:v>
      </x:c>
      <x:c r="E418" s="2" t="n">
        <x:v>10</x:v>
      </x:c>
      <x:c r="F418" s="7" t="n">
        <x:v>85</x:v>
      </x:c>
      <x:c r="G418" s="7" t="n">
        <x:v>85</x:v>
      </x:c>
      <x:c r="H418" s="7" t="n">
        <x:f>IF(F418=0,"n.a.",100*(F418-G418)/F418)</x:f>
        <x:v>0</x:v>
      </x:c>
      <x:c r="I418" s="7" t="n">
        <x:f>F418-G418</x:f>
        <x:v>0</x:v>
      </x:c>
      <x:c r="J418" s="8"/>
      <x:c r="K418" s="8" t="n">
        <x:v>5.0431876044881685</x:v>
      </x:c>
      <x:c r="L418" s="8"/>
      <x:c r="M418" s="7"/>
      <x:c r="N418" s="2" t="str">
        <x:v>unmanaged_input</x:v>
      </x:c>
      <x:c r="O418" s="9"/>
    </x:row>
    <x:row r="419" ht="18" customHeight="1">
      <x:c r="A419" s="2" t="str">
        <x:v>controlled_n4_distributed_peak_3</x:v>
      </x:c>
      <x:c r="B419" s="2" t="str">
        <x:v>Exact J</x:v>
      </x:c>
      <x:c r="C419" s="2"/>
      <x:c r="D419" s="2" t="str">
        <x:v>success</x:v>
      </x:c>
      <x:c r="E419" s="2" t="n">
        <x:v>10</x:v>
      </x:c>
      <x:c r="F419" s="7" t="n">
        <x:v>85</x:v>
      </x:c>
      <x:c r="G419" s="7" t="n">
        <x:v>126.25</x:v>
      </x:c>
      <x:c r="H419" s="7" t="n">
        <x:f>IF(F419=0,"n.a.",100*(F419-G419)/F419)</x:f>
        <x:v>-48.529411764705884</x:v>
      </x:c>
      <x:c r="I419" s="7" t="n">
        <x:f>F419-G419</x:f>
        <x:v>-41.25</x:v>
      </x:c>
      <x:c r="J419" s="8" t="n">
        <x:v>5.0431876044881685</x:v>
      </x:c>
      <x:c r="K419" s="8" t="n">
        <x:v>5.0431876044881685</x:v>
      </x:c>
      <x:c r="L419" s="8" t="n">
        <x:v>0</x:v>
      </x:c>
      <x:c r="M419" s="7"/>
      <x:c r="N419" s="2" t="str">
        <x:v>exhaustive_enumeration</x:v>
      </x:c>
      <x:c r="O419" s="9" t="str">
        <x:v>0001110001</x:v>
      </x:c>
    </x:row>
    <x:row r="420" ht="18" customHeight="1">
      <x:c r="A420" s="2" t="str">
        <x:v>controlled_n4_distributed_peak_3</x:v>
      </x:c>
      <x:c r="B420" s="2" t="str">
        <x:v>Exact peak</x:v>
      </x:c>
      <x:c r="C420" s="2"/>
      <x:c r="D420" s="2" t="str">
        <x:v>success</x:v>
      </x:c>
      <x:c r="E420" s="2" t="n">
        <x:v>10</x:v>
      </x:c>
      <x:c r="F420" s="7" t="n">
        <x:v>85</x:v>
      </x:c>
      <x:c r="G420" s="7" t="n">
        <x:v>126.25</x:v>
      </x:c>
      <x:c r="H420" s="7" t="n">
        <x:f>IF(F420=0,"n.a.",100*(F420-G420)/F420)</x:f>
        <x:v>-48.529411764705884</x:v>
      </x:c>
      <x:c r="I420" s="7" t="n">
        <x:f>F420-G420</x:f>
        <x:v>-41.25</x:v>
      </x:c>
      <x:c r="J420" s="8" t="n">
        <x:v>5.0431876044881685</x:v>
      </x:c>
      <x:c r="K420" s="8" t="n">
        <x:v>5.0431876044881685</x:v>
      </x:c>
      <x:c r="L420" s="8" t="n">
        <x:v>0</x:v>
      </x:c>
      <x:c r="M420" s="7"/>
      <x:c r="N420" s="2" t="str">
        <x:v>exhaustive_enumeration</x:v>
      </x:c>
      <x:c r="O420" s="9" t="str">
        <x:v>0001110001</x:v>
      </x:c>
    </x:row>
    <x:row r="421" ht="18" customHeight="1">
      <x:c r="A421" s="2" t="str">
        <x:v>controlled_n4_distributed_peak_3</x:v>
      </x:c>
      <x:c r="B421" s="2" t="str">
        <x:v>BPSO</x:v>
      </x:c>
      <x:c r="C421" s="2" t="n">
        <x:v>42</x:v>
      </x:c>
      <x:c r="D421" s="2" t="str">
        <x:v>success</x:v>
      </x:c>
      <x:c r="E421" s="2" t="n">
        <x:v>10</x:v>
      </x:c>
      <x:c r="F421" s="7" t="n">
        <x:v>85</x:v>
      </x:c>
      <x:c r="G421" s="7" t="n">
        <x:v>126.25</x:v>
      </x:c>
      <x:c r="H421" s="7" t="n">
        <x:f>IF(F421=0,"n.a.",100*(F421-G421)/F421)</x:f>
        <x:v>-48.529411764705884</x:v>
      </x:c>
      <x:c r="I421" s="7" t="n">
        <x:f>F421-G421</x:f>
        <x:v>-41.25</x:v>
      </x:c>
      <x:c r="J421" s="8" t="n">
        <x:v>5.0431876044881685</x:v>
      </x:c>
      <x:c r="K421" s="8" t="n">
        <x:v>5.0431876044881685</x:v>
      </x:c>
      <x:c r="L421" s="8" t="n">
        <x:v>0</x:v>
      </x:c>
      <x:c r="M421" s="7" t="n">
        <x:v>20.349499987787567</x:v>
      </x:c>
      <x:c r="N421" s="2" t="str">
        <x:v>repository_particle_dynamics_on_frozen_qubo</x:v>
      </x:c>
      <x:c r="O421" s="9" t="str">
        <x:v>1010100001</x:v>
      </x:c>
    </x:row>
    <x:row r="422" ht="18" customHeight="1">
      <x:c r="A422" s="2" t="str">
        <x:v>controlled_n4_distributed_peak_3</x:v>
      </x:c>
      <x:c r="B422" s="2" t="str">
        <x:v>QAOA</x:v>
      </x:c>
      <x:c r="C422" s="2" t="n">
        <x:v>42</x:v>
      </x:c>
      <x:c r="D422" s="2" t="str">
        <x:v>success</x:v>
      </x:c>
      <x:c r="E422" s="2" t="n">
        <x:v>10</x:v>
      </x:c>
      <x:c r="F422" s="7" t="n">
        <x:v>85</x:v>
      </x:c>
      <x:c r="G422" s="7" t="n">
        <x:v>126.25</x:v>
      </x:c>
      <x:c r="H422" s="7" t="n">
        <x:f>IF(F422=0,"n.a.",100*(F422-G422)/F422)</x:f>
        <x:v>-48.529411764705884</x:v>
      </x:c>
      <x:c r="I422" s="7" t="n">
        <x:f>F422-G422</x:f>
        <x:v>-41.25</x:v>
      </x:c>
      <x:c r="J422" s="8" t="n">
        <x:v>5.0431876044881685</x:v>
      </x:c>
      <x:c r="K422" s="8" t="n">
        <x:v>5.0431876044881685</x:v>
      </x:c>
      <x:c r="L422" s="8" t="n">
        <x:v>0</x:v>
      </x:c>
      <x:c r="M422" s="7" t="n">
        <x:v>769.7684000013396</x:v>
      </x:c>
      <x:c r="N422" s="2" t="str">
        <x:v>qiskit.primitives.StatevectorSampler</x:v>
      </x:c>
      <x:c r="O422" s="9" t="str">
        <x:v>0011101000</x:v>
      </x:c>
    </x:row>
    <x:row r="423" ht="18" customHeight="1">
      <x:c r="A423" s="2" t="str">
        <x:v>controlled_n4_distributed_peak_3</x:v>
      </x:c>
      <x:c r="B423" s="2" t="str">
        <x:v>BPSO</x:v>
      </x:c>
      <x:c r="C423" s="2" t="n">
        <x:v>123</x:v>
      </x:c>
      <x:c r="D423" s="2" t="str">
        <x:v>success</x:v>
      </x:c>
      <x:c r="E423" s="2" t="n">
        <x:v>10</x:v>
      </x:c>
      <x:c r="F423" s="7" t="n">
        <x:v>85</x:v>
      </x:c>
      <x:c r="G423" s="7" t="n">
        <x:v>126.25</x:v>
      </x:c>
      <x:c r="H423" s="7" t="n">
        <x:f>IF(F423=0,"n.a.",100*(F423-G423)/F423)</x:f>
        <x:v>-48.529411764705884</x:v>
      </x:c>
      <x:c r="I423" s="7" t="n">
        <x:f>F423-G423</x:f>
        <x:v>-41.25</x:v>
      </x:c>
      <x:c r="J423" s="8" t="n">
        <x:v>5.0431876044881685</x:v>
      </x:c>
      <x:c r="K423" s="8" t="n">
        <x:v>5.0431876044881685</x:v>
      </x:c>
      <x:c r="L423" s="8" t="n">
        <x:v>0</x:v>
      </x:c>
      <x:c r="M423" s="7" t="n">
        <x:v>20.5475000111619</x:v>
      </x:c>
      <x:c r="N423" s="2" t="str">
        <x:v>repository_particle_dynamics_on_frozen_qubo</x:v>
      </x:c>
      <x:c r="O423" s="9" t="str">
        <x:v>1010011000</x:v>
      </x:c>
    </x:row>
    <x:row r="424" ht="18" customHeight="1">
      <x:c r="A424" s="2" t="str">
        <x:v>controlled_n4_distributed_peak_3</x:v>
      </x:c>
      <x:c r="B424" s="2" t="str">
        <x:v>QAOA</x:v>
      </x:c>
      <x:c r="C424" s="2" t="n">
        <x:v>123</x:v>
      </x:c>
      <x:c r="D424" s="2" t="str">
        <x:v>success</x:v>
      </x:c>
      <x:c r="E424" s="2" t="n">
        <x:v>10</x:v>
      </x:c>
      <x:c r="F424" s="7" t="n">
        <x:v>85</x:v>
      </x:c>
      <x:c r="G424" s="7" t="n">
        <x:v>126.25</x:v>
      </x:c>
      <x:c r="H424" s="7" t="n">
        <x:f>IF(F424=0,"n.a.",100*(F424-G424)/F424)</x:f>
        <x:v>-48.529411764705884</x:v>
      </x:c>
      <x:c r="I424" s="7" t="n">
        <x:f>F424-G424</x:f>
        <x:v>-41.25</x:v>
      </x:c>
      <x:c r="J424" s="8" t="n">
        <x:v>5.0431876044881685</x:v>
      </x:c>
      <x:c r="K424" s="8" t="n">
        <x:v>5.0431876044881685</x:v>
      </x:c>
      <x:c r="L424" s="8" t="n">
        <x:v>0</x:v>
      </x:c>
      <x:c r="M424" s="7" t="n">
        <x:v>857.9258999961894</x:v>
      </x:c>
      <x:c r="N424" s="2" t="str">
        <x:v>qiskit.primitives.StatevectorSampler</x:v>
      </x:c>
      <x:c r="O424" s="9" t="str">
        <x:v>0101010100</x:v>
      </x:c>
    </x:row>
    <x:row r="425" ht="18" customHeight="1">
      <x:c r="A425" s="2" t="str">
        <x:v>controlled_n4_distributed_peak_3</x:v>
      </x:c>
      <x:c r="B425" s="2" t="str">
        <x:v>BPSO</x:v>
      </x:c>
      <x:c r="C425" s="2" t="n">
        <x:v>456</x:v>
      </x:c>
      <x:c r="D425" s="2" t="str">
        <x:v>success</x:v>
      </x:c>
      <x:c r="E425" s="2" t="n">
        <x:v>10</x:v>
      </x:c>
      <x:c r="F425" s="7" t="n">
        <x:v>85</x:v>
      </x:c>
      <x:c r="G425" s="7" t="n">
        <x:v>126.25</x:v>
      </x:c>
      <x:c r="H425" s="7" t="n">
        <x:f>IF(F425=0,"n.a.",100*(F425-G425)/F425)</x:f>
        <x:v>-48.529411764705884</x:v>
      </x:c>
      <x:c r="I425" s="7" t="n">
        <x:f>F425-G425</x:f>
        <x:v>-41.25</x:v>
      </x:c>
      <x:c r="J425" s="8" t="n">
        <x:v>5.0431876044881685</x:v>
      </x:c>
      <x:c r="K425" s="8" t="n">
        <x:v>5.0431876044881685</x:v>
      </x:c>
      <x:c r="L425" s="8" t="n">
        <x:v>0</x:v>
      </x:c>
      <x:c r="M425" s="7" t="n">
        <x:v>21.4210000121966</x:v>
      </x:c>
      <x:c r="N425" s="2" t="str">
        <x:v>repository_particle_dynamics_on_frozen_qubo</x:v>
      </x:c>
      <x:c r="O425" s="9" t="str">
        <x:v>1110001000</x:v>
      </x:c>
    </x:row>
    <x:row r="426" ht="18" customHeight="1">
      <x:c r="A426" s="2" t="str">
        <x:v>controlled_n4_distributed_peak_3</x:v>
      </x:c>
      <x:c r="B426" s="2" t="str">
        <x:v>QAOA</x:v>
      </x:c>
      <x:c r="C426" s="2" t="n">
        <x:v>456</x:v>
      </x:c>
      <x:c r="D426" s="2" t="str">
        <x:v>success</x:v>
      </x:c>
      <x:c r="E426" s="2" t="n">
        <x:v>10</x:v>
      </x:c>
      <x:c r="F426" s="7" t="n">
        <x:v>85</x:v>
      </x:c>
      <x:c r="G426" s="7" t="n">
        <x:v>126.25</x:v>
      </x:c>
      <x:c r="H426" s="7" t="n">
        <x:f>IF(F426=0,"n.a.",100*(F426-G426)/F426)</x:f>
        <x:v>-48.529411764705884</x:v>
      </x:c>
      <x:c r="I426" s="7" t="n">
        <x:f>F426-G426</x:f>
        <x:v>-41.25</x:v>
      </x:c>
      <x:c r="J426" s="8" t="n">
        <x:v>5.0431876044881685</x:v>
      </x:c>
      <x:c r="K426" s="8" t="n">
        <x:v>5.0431876044881685</x:v>
      </x:c>
      <x:c r="L426" s="8" t="n">
        <x:v>0</x:v>
      </x:c>
      <x:c r="M426" s="7" t="n">
        <x:v>764.9707999953534</x:v>
      </x:c>
      <x:c r="N426" s="2" t="str">
        <x:v>qiskit.primitives.StatevectorSampler</x:v>
      </x:c>
      <x:c r="O426" s="9" t="str">
        <x:v>0011010010</x:v>
      </x:c>
    </x:row>
    <x:row r="427" ht="18" customHeight="1">
      <x:c r="A427" s="2" t="str">
        <x:v>controlled_n4_distributed_peak_3</x:v>
      </x:c>
      <x:c r="B427" s="2" t="str">
        <x:v>BPSO</x:v>
      </x:c>
      <x:c r="C427" s="2" t="n">
        <x:v>789</x:v>
      </x:c>
      <x:c r="D427" s="2" t="str">
        <x:v>success</x:v>
      </x:c>
      <x:c r="E427" s="2" t="n">
        <x:v>10</x:v>
      </x:c>
      <x:c r="F427" s="7" t="n">
        <x:v>85</x:v>
      </x:c>
      <x:c r="G427" s="7" t="n">
        <x:v>126.25</x:v>
      </x:c>
      <x:c r="H427" s="7" t="n">
        <x:f>IF(F427=0,"n.a.",100*(F427-G427)/F427)</x:f>
        <x:v>-48.529411764705884</x:v>
      </x:c>
      <x:c r="I427" s="7" t="n">
        <x:f>F427-G427</x:f>
        <x:v>-41.25</x:v>
      </x:c>
      <x:c r="J427" s="8" t="n">
        <x:v>5.0431876044881685</x:v>
      </x:c>
      <x:c r="K427" s="8" t="n">
        <x:v>5.0431876044881685</x:v>
      </x:c>
      <x:c r="L427" s="8" t="n">
        <x:v>0</x:v>
      </x:c>
      <x:c r="M427" s="7" t="n">
        <x:v>21.708600004785694</x:v>
      </x:c>
      <x:c r="N427" s="2" t="str">
        <x:v>repository_particle_dynamics_on_frozen_qubo</x:v>
      </x:c>
      <x:c r="O427" s="9" t="str">
        <x:v>0101100010</x:v>
      </x:c>
    </x:row>
    <x:row r="428" ht="18" customHeight="1">
      <x:c r="A428" s="2" t="str">
        <x:v>controlled_n4_distributed_peak_3</x:v>
      </x:c>
      <x:c r="B428" s="2" t="str">
        <x:v>QAOA</x:v>
      </x:c>
      <x:c r="C428" s="2" t="n">
        <x:v>789</x:v>
      </x:c>
      <x:c r="D428" s="2" t="str">
        <x:v>success</x:v>
      </x:c>
      <x:c r="E428" s="2" t="n">
        <x:v>10</x:v>
      </x:c>
      <x:c r="F428" s="7" t="n">
        <x:v>85</x:v>
      </x:c>
      <x:c r="G428" s="7" t="n">
        <x:v>126.25</x:v>
      </x:c>
      <x:c r="H428" s="7" t="n">
        <x:f>IF(F428=0,"n.a.",100*(F428-G428)/F428)</x:f>
        <x:v>-48.529411764705884</x:v>
      </x:c>
      <x:c r="I428" s="7" t="n">
        <x:f>F428-G428</x:f>
        <x:v>-41.25</x:v>
      </x:c>
      <x:c r="J428" s="8" t="n">
        <x:v>5.0431876044881685</x:v>
      </x:c>
      <x:c r="K428" s="8" t="n">
        <x:v>5.0431876044881685</x:v>
      </x:c>
      <x:c r="L428" s="8" t="n">
        <x:v>0</x:v>
      </x:c>
      <x:c r="M428" s="7" t="n">
        <x:v>704.9759999936214</x:v>
      </x:c>
      <x:c r="N428" s="2" t="str">
        <x:v>qiskit.primitives.StatevectorSampler</x:v>
      </x:c>
      <x:c r="O428" s="9" t="str">
        <x:v>1101000001</x:v>
      </x:c>
    </x:row>
    <x:row r="429" ht="18" customHeight="1">
      <x:c r="A429" s="2" t="str">
        <x:v>controlled_n4_distributed_peak_3</x:v>
      </x:c>
      <x:c r="B429" s="2" t="str">
        <x:v>BPSO</x:v>
      </x:c>
      <x:c r="C429" s="2" t="n">
        <x:v>2026</x:v>
      </x:c>
      <x:c r="D429" s="2" t="str">
        <x:v>success</x:v>
      </x:c>
      <x:c r="E429" s="2" t="n">
        <x:v>10</x:v>
      </x:c>
      <x:c r="F429" s="7" t="n">
        <x:v>85</x:v>
      </x:c>
      <x:c r="G429" s="7" t="n">
        <x:v>126.25</x:v>
      </x:c>
      <x:c r="H429" s="7" t="n">
        <x:f>IF(F429=0,"n.a.",100*(F429-G429)/F429)</x:f>
        <x:v>-48.529411764705884</x:v>
      </x:c>
      <x:c r="I429" s="7" t="n">
        <x:f>F429-G429</x:f>
        <x:v>-41.25</x:v>
      </x:c>
      <x:c r="J429" s="8" t="n">
        <x:v>5.0431876044881685</x:v>
      </x:c>
      <x:c r="K429" s="8" t="n">
        <x:v>5.0431876044881685</x:v>
      </x:c>
      <x:c r="L429" s="8" t="n">
        <x:v>0</x:v>
      </x:c>
      <x:c r="M429" s="7" t="n">
        <x:v>21.00609999615699</x:v>
      </x:c>
      <x:c r="N429" s="2" t="str">
        <x:v>repository_particle_dynamics_on_frozen_qubo</x:v>
      </x:c>
      <x:c r="O429" s="9" t="str">
        <x:v>1000110010</x:v>
      </x:c>
    </x:row>
    <x:row r="430" ht="18" customHeight="1">
      <x:c r="A430" s="2" t="str">
        <x:v>controlled_n4_distributed_peak_3</x:v>
      </x:c>
      <x:c r="B430" s="2" t="str">
        <x:v>QAOA</x:v>
      </x:c>
      <x:c r="C430" s="2" t="n">
        <x:v>2026</x:v>
      </x:c>
      <x:c r="D430" s="2" t="str">
        <x:v>success</x:v>
      </x:c>
      <x:c r="E430" s="2" t="n">
        <x:v>10</x:v>
      </x:c>
      <x:c r="F430" s="7" t="n">
        <x:v>85</x:v>
      </x:c>
      <x:c r="G430" s="7" t="n">
        <x:v>126.25</x:v>
      </x:c>
      <x:c r="H430" s="7" t="n">
        <x:f>IF(F430=0,"n.a.",100*(F430-G430)/F430)</x:f>
        <x:v>-48.529411764705884</x:v>
      </x:c>
      <x:c r="I430" s="7" t="n">
        <x:f>F430-G430</x:f>
        <x:v>-41.25</x:v>
      </x:c>
      <x:c r="J430" s="8" t="n">
        <x:v>5.044943680877058</x:v>
      </x:c>
      <x:c r="K430" s="8" t="n">
        <x:v>5.0431876044881685</x:v>
      </x:c>
      <x:c r="L430" s="8" t="n">
        <x:v>0.001756076388889305</x:v>
      </x:c>
      <x:c r="M430" s="7" t="n">
        <x:v>738.6586999928113</x:v>
      </x:c>
      <x:c r="N430" s="2" t="str">
        <x:v>qiskit.primitives.StatevectorSampler</x:v>
      </x:c>
      <x:c r="O430" s="9" t="str">
        <x:v>1101010000</x:v>
      </x:c>
    </x:row>
    <x:row r="431" ht="18" customHeight="1">
      <x:c r="A431" s="2" t="str">
        <x:v>controlled_n4_lane_closure_1</x:v>
      </x:c>
      <x:c r="B431" s="2" t="str">
        <x:v>Unmanaged</x:v>
      </x:c>
      <x:c r="C431" s="2"/>
      <x:c r="D431" s="2" t="str">
        <x:v>baseline</x:v>
      </x:c>
      <x:c r="E431" s="2" t="n">
        <x:v>0</x:v>
      </x:c>
      <x:c r="F431" s="7" t="n">
        <x:v>55.00000000000001</x:v>
      </x:c>
      <x:c r="G431" s="7" t="n">
        <x:v>55.00000000000001</x:v>
      </x:c>
      <x:c r="H431" s="7" t="n">
        <x:f>IF(F431=0,"n.a.",100*(F431-G431)/F431)</x:f>
        <x:v>0</x:v>
      </x:c>
      <x:c r="I431" s="7" t="n">
        <x:f>F431-G431</x:f>
        <x:v>0</x:v>
      </x:c>
      <x:c r="J431" s="8"/>
      <x:c r="K431" s="8" t="n">
        <x:v>0.04682060185185194</x:v>
      </x:c>
      <x:c r="L431" s="8"/>
      <x:c r="M431" s="7"/>
      <x:c r="N431" s="2" t="str">
        <x:v>unmanaged_input</x:v>
      </x:c>
      <x:c r="O431" s="9"/>
    </x:row>
    <x:row r="432" ht="18" customHeight="1">
      <x:c r="A432" s="2" t="str">
        <x:v>controlled_n4_lane_closure_1</x:v>
      </x:c>
      <x:c r="B432" s="2" t="str">
        <x:v>Exact J</x:v>
      </x:c>
      <x:c r="C432" s="2"/>
      <x:c r="D432" s="2" t="str">
        <x:v>no_congestion</x:v>
      </x:c>
      <x:c r="E432" s="2" t="n">
        <x:v>0</x:v>
      </x:c>
      <x:c r="F432" s="7" t="n">
        <x:v>55.00000000000001</x:v>
      </x:c>
      <x:c r="G432" s="7" t="n">
        <x:v>55.00000000000001</x:v>
      </x:c>
      <x:c r="H432" s="7" t="n">
        <x:f>IF(F432=0,"n.a.",100*(F432-G432)/F432)</x:f>
        <x:v>0</x:v>
      </x:c>
      <x:c r="I432" s="7" t="n">
        <x:f>F432-G432</x:f>
        <x:v>0</x:v>
      </x:c>
      <x:c r="J432" s="8" t="n">
        <x:v>0.04682060185185194</x:v>
      </x:c>
      <x:c r="K432" s="8" t="n">
        <x:v>0.04682060185185194</x:v>
      </x:c>
      <x:c r="L432" s="8" t="n">
        <x:v>0</x:v>
      </x:c>
      <x:c r="M432" s="7" t="n">
        <x:v>0</x:v>
      </x:c>
      <x:c r="N432" s="2" t="str">
        <x:v>not_invoked</x:v>
      </x:c>
      <x:c r="O432" s="9" t="str"/>
    </x:row>
    <x:row r="433" ht="18" customHeight="1">
      <x:c r="A433" s="2" t="str">
        <x:v>controlled_n4_lane_closure_1</x:v>
      </x:c>
      <x:c r="B433" s="2" t="str">
        <x:v>Exact peak</x:v>
      </x:c>
      <x:c r="C433" s="2"/>
      <x:c r="D433" s="2" t="str">
        <x:v>no_congestion</x:v>
      </x:c>
      <x:c r="E433" s="2" t="n">
        <x:v>0</x:v>
      </x:c>
      <x:c r="F433" s="7" t="n">
        <x:v>55.00000000000001</x:v>
      </x:c>
      <x:c r="G433" s="7" t="n">
        <x:v>55.00000000000001</x:v>
      </x:c>
      <x:c r="H433" s="7" t="n">
        <x:f>IF(F433=0,"n.a.",100*(F433-G433)/F433)</x:f>
        <x:v>0</x:v>
      </x:c>
      <x:c r="I433" s="7" t="n">
        <x:f>F433-G433</x:f>
        <x:v>0</x:v>
      </x:c>
      <x:c r="J433" s="8" t="n">
        <x:v>0.04682060185185194</x:v>
      </x:c>
      <x:c r="K433" s="8" t="n">
        <x:v>0.04682060185185194</x:v>
      </x:c>
      <x:c r="L433" s="8" t="n">
        <x:v>0</x:v>
      </x:c>
      <x:c r="M433" s="7" t="n">
        <x:v>0</x:v>
      </x:c>
      <x:c r="N433" s="2" t="str">
        <x:v>not_invoked</x:v>
      </x:c>
      <x:c r="O433" s="9" t="str"/>
    </x:row>
    <x:row r="434" ht="18" customHeight="1">
      <x:c r="A434" s="2" t="str">
        <x:v>controlled_n4_lane_closure_1</x:v>
      </x:c>
      <x:c r="B434" s="2" t="str">
        <x:v>BPSO</x:v>
      </x:c>
      <x:c r="C434" s="2" t="n">
        <x:v>42</x:v>
      </x:c>
      <x:c r="D434" s="2" t="str">
        <x:v>no_congestion</x:v>
      </x:c>
      <x:c r="E434" s="2" t="n">
        <x:v>0</x:v>
      </x:c>
      <x:c r="F434" s="7" t="n">
        <x:v>55.00000000000001</x:v>
      </x:c>
      <x:c r="G434" s="7" t="n">
        <x:v>55.00000000000001</x:v>
      </x:c>
      <x:c r="H434" s="7" t="n">
        <x:f>IF(F434=0,"n.a.",100*(F434-G434)/F434)</x:f>
        <x:v>0</x:v>
      </x:c>
      <x:c r="I434" s="7" t="n">
        <x:f>F434-G434</x:f>
        <x:v>0</x:v>
      </x:c>
      <x:c r="J434" s="8" t="n">
        <x:v>0.04682060185185194</x:v>
      </x:c>
      <x:c r="K434" s="8" t="n">
        <x:v>0.04682060185185194</x:v>
      </x:c>
      <x:c r="L434" s="8" t="n">
        <x:v>0</x:v>
      </x:c>
      <x:c r="M434" s="7" t="n">
        <x:v>0</x:v>
      </x:c>
      <x:c r="N434" s="2" t="str">
        <x:v>not_invoked</x:v>
      </x:c>
      <x:c r="O434" s="9" t="str"/>
    </x:row>
    <x:row r="435" ht="18" customHeight="1">
      <x:c r="A435" s="2" t="str">
        <x:v>controlled_n4_lane_closure_1</x:v>
      </x:c>
      <x:c r="B435" s="2" t="str">
        <x:v>QAOA</x:v>
      </x:c>
      <x:c r="C435" s="2" t="n">
        <x:v>42</x:v>
      </x:c>
      <x:c r="D435" s="2" t="str">
        <x:v>no_congestion</x:v>
      </x:c>
      <x:c r="E435" s="2" t="n">
        <x:v>0</x:v>
      </x:c>
      <x:c r="F435" s="7" t="n">
        <x:v>55.00000000000001</x:v>
      </x:c>
      <x:c r="G435" s="7" t="n">
        <x:v>55.00000000000001</x:v>
      </x:c>
      <x:c r="H435" s="7" t="n">
        <x:f>IF(F435=0,"n.a.",100*(F435-G435)/F435)</x:f>
        <x:v>0</x:v>
      </x:c>
      <x:c r="I435" s="7" t="n">
        <x:f>F435-G435</x:f>
        <x:v>0</x:v>
      </x:c>
      <x:c r="J435" s="8" t="n">
        <x:v>0.04682060185185194</x:v>
      </x:c>
      <x:c r="K435" s="8" t="n">
        <x:v>0.04682060185185194</x:v>
      </x:c>
      <x:c r="L435" s="8" t="n">
        <x:v>0</x:v>
      </x:c>
      <x:c r="M435" s="7" t="n">
        <x:v>0</x:v>
      </x:c>
      <x:c r="N435" s="2" t="str">
        <x:v>not_invoked</x:v>
      </x:c>
      <x:c r="O435" s="9" t="str"/>
    </x:row>
    <x:row r="436" ht="18" customHeight="1">
      <x:c r="A436" s="2" t="str">
        <x:v>controlled_n4_lane_closure_1</x:v>
      </x:c>
      <x:c r="B436" s="2" t="str">
        <x:v>BPSO</x:v>
      </x:c>
      <x:c r="C436" s="2" t="n">
        <x:v>123</x:v>
      </x:c>
      <x:c r="D436" s="2" t="str">
        <x:v>no_congestion</x:v>
      </x:c>
      <x:c r="E436" s="2" t="n">
        <x:v>0</x:v>
      </x:c>
      <x:c r="F436" s="7" t="n">
        <x:v>55.00000000000001</x:v>
      </x:c>
      <x:c r="G436" s="7" t="n">
        <x:v>55.00000000000001</x:v>
      </x:c>
      <x:c r="H436" s="7" t="n">
        <x:f>IF(F436=0,"n.a.",100*(F436-G436)/F436)</x:f>
        <x:v>0</x:v>
      </x:c>
      <x:c r="I436" s="7" t="n">
        <x:f>F436-G436</x:f>
        <x:v>0</x:v>
      </x:c>
      <x:c r="J436" s="8" t="n">
        <x:v>0.04682060185185194</x:v>
      </x:c>
      <x:c r="K436" s="8" t="n">
        <x:v>0.04682060185185194</x:v>
      </x:c>
      <x:c r="L436" s="8" t="n">
        <x:v>0</x:v>
      </x:c>
      <x:c r="M436" s="7" t="n">
        <x:v>0</x:v>
      </x:c>
      <x:c r="N436" s="2" t="str">
        <x:v>not_invoked</x:v>
      </x:c>
      <x:c r="O436" s="9" t="str"/>
    </x:row>
    <x:row r="437" ht="18" customHeight="1">
      <x:c r="A437" s="2" t="str">
        <x:v>controlled_n4_lane_closure_1</x:v>
      </x:c>
      <x:c r="B437" s="2" t="str">
        <x:v>QAOA</x:v>
      </x:c>
      <x:c r="C437" s="2" t="n">
        <x:v>123</x:v>
      </x:c>
      <x:c r="D437" s="2" t="str">
        <x:v>no_congestion</x:v>
      </x:c>
      <x:c r="E437" s="2" t="n">
        <x:v>0</x:v>
      </x:c>
      <x:c r="F437" s="7" t="n">
        <x:v>55.00000000000001</x:v>
      </x:c>
      <x:c r="G437" s="7" t="n">
        <x:v>55.00000000000001</x:v>
      </x:c>
      <x:c r="H437" s="7" t="n">
        <x:f>IF(F437=0,"n.a.",100*(F437-G437)/F437)</x:f>
        <x:v>0</x:v>
      </x:c>
      <x:c r="I437" s="7" t="n">
        <x:f>F437-G437</x:f>
        <x:v>0</x:v>
      </x:c>
      <x:c r="J437" s="8" t="n">
        <x:v>0.04682060185185194</x:v>
      </x:c>
      <x:c r="K437" s="8" t="n">
        <x:v>0.04682060185185194</x:v>
      </x:c>
      <x:c r="L437" s="8" t="n">
        <x:v>0</x:v>
      </x:c>
      <x:c r="M437" s="7" t="n">
        <x:v>0</x:v>
      </x:c>
      <x:c r="N437" s="2" t="str">
        <x:v>not_invoked</x:v>
      </x:c>
      <x:c r="O437" s="9" t="str"/>
    </x:row>
    <x:row r="438" ht="18" customHeight="1">
      <x:c r="A438" s="2" t="str">
        <x:v>controlled_n4_lane_closure_1</x:v>
      </x:c>
      <x:c r="B438" s="2" t="str">
        <x:v>BPSO</x:v>
      </x:c>
      <x:c r="C438" s="2" t="n">
        <x:v>456</x:v>
      </x:c>
      <x:c r="D438" s="2" t="str">
        <x:v>no_congestion</x:v>
      </x:c>
      <x:c r="E438" s="2" t="n">
        <x:v>0</x:v>
      </x:c>
      <x:c r="F438" s="7" t="n">
        <x:v>55.00000000000001</x:v>
      </x:c>
      <x:c r="G438" s="7" t="n">
        <x:v>55.00000000000001</x:v>
      </x:c>
      <x:c r="H438" s="7" t="n">
        <x:f>IF(F438=0,"n.a.",100*(F438-G438)/F438)</x:f>
        <x:v>0</x:v>
      </x:c>
      <x:c r="I438" s="7" t="n">
        <x:f>F438-G438</x:f>
        <x:v>0</x:v>
      </x:c>
      <x:c r="J438" s="8" t="n">
        <x:v>0.04682060185185194</x:v>
      </x:c>
      <x:c r="K438" s="8" t="n">
        <x:v>0.04682060185185194</x:v>
      </x:c>
      <x:c r="L438" s="8" t="n">
        <x:v>0</x:v>
      </x:c>
      <x:c r="M438" s="7" t="n">
        <x:v>0</x:v>
      </x:c>
      <x:c r="N438" s="2" t="str">
        <x:v>not_invoked</x:v>
      </x:c>
      <x:c r="O438" s="9" t="str"/>
    </x:row>
    <x:row r="439" ht="18" customHeight="1">
      <x:c r="A439" s="2" t="str">
        <x:v>controlled_n4_lane_closure_1</x:v>
      </x:c>
      <x:c r="B439" s="2" t="str">
        <x:v>QAOA</x:v>
      </x:c>
      <x:c r="C439" s="2" t="n">
        <x:v>456</x:v>
      </x:c>
      <x:c r="D439" s="2" t="str">
        <x:v>no_congestion</x:v>
      </x:c>
      <x:c r="E439" s="2" t="n">
        <x:v>0</x:v>
      </x:c>
      <x:c r="F439" s="7" t="n">
        <x:v>55.00000000000001</x:v>
      </x:c>
      <x:c r="G439" s="7" t="n">
        <x:v>55.00000000000001</x:v>
      </x:c>
      <x:c r="H439" s="7" t="n">
        <x:f>IF(F439=0,"n.a.",100*(F439-G439)/F439)</x:f>
        <x:v>0</x:v>
      </x:c>
      <x:c r="I439" s="7" t="n">
        <x:f>F439-G439</x:f>
        <x:v>0</x:v>
      </x:c>
      <x:c r="J439" s="8" t="n">
        <x:v>0.04682060185185194</x:v>
      </x:c>
      <x:c r="K439" s="8" t="n">
        <x:v>0.04682060185185194</x:v>
      </x:c>
      <x:c r="L439" s="8" t="n">
        <x:v>0</x:v>
      </x:c>
      <x:c r="M439" s="7" t="n">
        <x:v>0</x:v>
      </x:c>
      <x:c r="N439" s="2" t="str">
        <x:v>not_invoked</x:v>
      </x:c>
      <x:c r="O439" s="9" t="str"/>
    </x:row>
    <x:row r="440" ht="18" customHeight="1">
      <x:c r="A440" s="2" t="str">
        <x:v>controlled_n4_lane_closure_1</x:v>
      </x:c>
      <x:c r="B440" s="2" t="str">
        <x:v>BPSO</x:v>
      </x:c>
      <x:c r="C440" s="2" t="n">
        <x:v>789</x:v>
      </x:c>
      <x:c r="D440" s="2" t="str">
        <x:v>no_congestion</x:v>
      </x:c>
      <x:c r="E440" s="2" t="n">
        <x:v>0</x:v>
      </x:c>
      <x:c r="F440" s="7" t="n">
        <x:v>55.00000000000001</x:v>
      </x:c>
      <x:c r="G440" s="7" t="n">
        <x:v>55.00000000000001</x:v>
      </x:c>
      <x:c r="H440" s="7" t="n">
        <x:f>IF(F440=0,"n.a.",100*(F440-G440)/F440)</x:f>
        <x:v>0</x:v>
      </x:c>
      <x:c r="I440" s="7" t="n">
        <x:f>F440-G440</x:f>
        <x:v>0</x:v>
      </x:c>
      <x:c r="J440" s="8" t="n">
        <x:v>0.04682060185185194</x:v>
      </x:c>
      <x:c r="K440" s="8" t="n">
        <x:v>0.04682060185185194</x:v>
      </x:c>
      <x:c r="L440" s="8" t="n">
        <x:v>0</x:v>
      </x:c>
      <x:c r="M440" s="7" t="n">
        <x:v>0</x:v>
      </x:c>
      <x:c r="N440" s="2" t="str">
        <x:v>not_invoked</x:v>
      </x:c>
      <x:c r="O440" s="9" t="str"/>
    </x:row>
    <x:row r="441" ht="18" customHeight="1">
      <x:c r="A441" s="2" t="str">
        <x:v>controlled_n4_lane_closure_1</x:v>
      </x:c>
      <x:c r="B441" s="2" t="str">
        <x:v>QAOA</x:v>
      </x:c>
      <x:c r="C441" s="2" t="n">
        <x:v>789</x:v>
      </x:c>
      <x:c r="D441" s="2" t="str">
        <x:v>no_congestion</x:v>
      </x:c>
      <x:c r="E441" s="2" t="n">
        <x:v>0</x:v>
      </x:c>
      <x:c r="F441" s="7" t="n">
        <x:v>55.00000000000001</x:v>
      </x:c>
      <x:c r="G441" s="7" t="n">
        <x:v>55.00000000000001</x:v>
      </x:c>
      <x:c r="H441" s="7" t="n">
        <x:f>IF(F441=0,"n.a.",100*(F441-G441)/F441)</x:f>
        <x:v>0</x:v>
      </x:c>
      <x:c r="I441" s="7" t="n">
        <x:f>F441-G441</x:f>
        <x:v>0</x:v>
      </x:c>
      <x:c r="J441" s="8" t="n">
        <x:v>0.04682060185185194</x:v>
      </x:c>
      <x:c r="K441" s="8" t="n">
        <x:v>0.04682060185185194</x:v>
      </x:c>
      <x:c r="L441" s="8" t="n">
        <x:v>0</x:v>
      </x:c>
      <x:c r="M441" s="7" t="n">
        <x:v>0</x:v>
      </x:c>
      <x:c r="N441" s="2" t="str">
        <x:v>not_invoked</x:v>
      </x:c>
      <x:c r="O441" s="9" t="str"/>
    </x:row>
    <x:row r="442" ht="18" customHeight="1">
      <x:c r="A442" s="2" t="str">
        <x:v>controlled_n4_lane_closure_1</x:v>
      </x:c>
      <x:c r="B442" s="2" t="str">
        <x:v>BPSO</x:v>
      </x:c>
      <x:c r="C442" s="2" t="n">
        <x:v>2026</x:v>
      </x:c>
      <x:c r="D442" s="2" t="str">
        <x:v>no_congestion</x:v>
      </x:c>
      <x:c r="E442" s="2" t="n">
        <x:v>0</x:v>
      </x:c>
      <x:c r="F442" s="7" t="n">
        <x:v>55.00000000000001</x:v>
      </x:c>
      <x:c r="G442" s="7" t="n">
        <x:v>55.00000000000001</x:v>
      </x:c>
      <x:c r="H442" s="7" t="n">
        <x:f>IF(F442=0,"n.a.",100*(F442-G442)/F442)</x:f>
        <x:v>0</x:v>
      </x:c>
      <x:c r="I442" s="7" t="n">
        <x:f>F442-G442</x:f>
        <x:v>0</x:v>
      </x:c>
      <x:c r="J442" s="8" t="n">
        <x:v>0.04682060185185194</x:v>
      </x:c>
      <x:c r="K442" s="8" t="n">
        <x:v>0.04682060185185194</x:v>
      </x:c>
      <x:c r="L442" s="8" t="n">
        <x:v>0</x:v>
      </x:c>
      <x:c r="M442" s="7" t="n">
        <x:v>0</x:v>
      </x:c>
      <x:c r="N442" s="2" t="str">
        <x:v>not_invoked</x:v>
      </x:c>
      <x:c r="O442" s="9" t="str"/>
    </x:row>
    <x:row r="443" ht="18" customHeight="1">
      <x:c r="A443" s="2" t="str">
        <x:v>controlled_n4_lane_closure_1</x:v>
      </x:c>
      <x:c r="B443" s="2" t="str">
        <x:v>QAOA</x:v>
      </x:c>
      <x:c r="C443" s="2" t="n">
        <x:v>2026</x:v>
      </x:c>
      <x:c r="D443" s="2" t="str">
        <x:v>no_congestion</x:v>
      </x:c>
      <x:c r="E443" s="2" t="n">
        <x:v>0</x:v>
      </x:c>
      <x:c r="F443" s="7" t="n">
        <x:v>55.00000000000001</x:v>
      </x:c>
      <x:c r="G443" s="7" t="n">
        <x:v>55.00000000000001</x:v>
      </x:c>
      <x:c r="H443" s="7" t="n">
        <x:f>IF(F443=0,"n.a.",100*(F443-G443)/F443)</x:f>
        <x:v>0</x:v>
      </x:c>
      <x:c r="I443" s="7" t="n">
        <x:f>F443-G443</x:f>
        <x:v>0</x:v>
      </x:c>
      <x:c r="J443" s="8" t="n">
        <x:v>0.04682060185185194</x:v>
      </x:c>
      <x:c r="K443" s="8" t="n">
        <x:v>0.04682060185185194</x:v>
      </x:c>
      <x:c r="L443" s="8" t="n">
        <x:v>0</x:v>
      </x:c>
      <x:c r="M443" s="7" t="n">
        <x:v>0</x:v>
      </x:c>
      <x:c r="N443" s="2" t="str">
        <x:v>not_invoked</x:v>
      </x:c>
      <x:c r="O443" s="9" t="str"/>
    </x:row>
    <x:row r="444" ht="18" customHeight="1">
      <x:c r="A444" s="2" t="str">
        <x:v>controlled_n4_lane_closure_2</x:v>
      </x:c>
      <x:c r="B444" s="2" t="str">
        <x:v>Unmanaged</x:v>
      </x:c>
      <x:c r="C444" s="2"/>
      <x:c r="D444" s="2" t="str">
        <x:v>baseline</x:v>
      </x:c>
      <x:c r="E444" s="2" t="n">
        <x:v>3</x:v>
      </x:c>
      <x:c r="F444" s="7" t="n">
        <x:v>73.33333333333333</x:v>
      </x:c>
      <x:c r="G444" s="7" t="n">
        <x:v>73.33333333333333</x:v>
      </x:c>
      <x:c r="H444" s="7" t="n">
        <x:f>IF(F444=0,"n.a.",100*(F444-G444)/F444)</x:f>
        <x:v>0</x:v>
      </x:c>
      <x:c r="I444" s="7" t="n">
        <x:f>F444-G444</x:f>
        <x:v>0</x:v>
      </x:c>
      <x:c r="J444" s="8"/>
      <x:c r="K444" s="8" t="n">
        <x:v>0.36291826212062767</x:v>
      </x:c>
      <x:c r="L444" s="8"/>
      <x:c r="M444" s="7"/>
      <x:c r="N444" s="2" t="str">
        <x:v>unmanaged_input</x:v>
      </x:c>
      <x:c r="O444" s="9"/>
    </x:row>
    <x:row r="445" ht="18" customHeight="1">
      <x:c r="A445" s="2" t="str">
        <x:v>controlled_n4_lane_closure_2</x:v>
      </x:c>
      <x:c r="B445" s="2" t="str">
        <x:v>Exact J</x:v>
      </x:c>
      <x:c r="C445" s="2"/>
      <x:c r="D445" s="2" t="str">
        <x:v>success</x:v>
      </x:c>
      <x:c r="E445" s="2" t="n">
        <x:v>3</x:v>
      </x:c>
      <x:c r="F445" s="7" t="n">
        <x:v>73.33333333333333</x:v>
      </x:c>
      <x:c r="G445" s="7" t="n">
        <x:v>71.66666666666667</x:v>
      </x:c>
      <x:c r="H445" s="7" t="n">
        <x:f>IF(F445=0,"n.a.",100*(F445-G445)/F445)</x:f>
        <x:v>2.27272727272726</x:v>
      </x:c>
      <x:c r="I445" s="7" t="n">
        <x:f>F445-G445</x:f>
        <x:v>1.6666666666666572</x:v>
      </x:c>
      <x:c r="J445" s="8" t="n">
        <x:v>0.36291826212062767</x:v>
      </x:c>
      <x:c r="K445" s="8" t="n">
        <x:v>0.36291826212062767</x:v>
      </x:c>
      <x:c r="L445" s="8" t="n">
        <x:v>0</x:v>
      </x:c>
      <x:c r="M445" s="7"/>
      <x:c r="N445" s="2" t="str">
        <x:v>exhaustive_enumeration</x:v>
      </x:c>
      <x:c r="O445" s="9" t="str">
        <x:v>011</x:v>
      </x:c>
    </x:row>
    <x:row r="446" ht="18" customHeight="1">
      <x:c r="A446" s="2" t="str">
        <x:v>controlled_n4_lane_closure_2</x:v>
      </x:c>
      <x:c r="B446" s="2" t="str">
        <x:v>Exact peak</x:v>
      </x:c>
      <x:c r="C446" s="2"/>
      <x:c r="D446" s="2" t="str">
        <x:v>success</x:v>
      </x:c>
      <x:c r="E446" s="2" t="n">
        <x:v>3</x:v>
      </x:c>
      <x:c r="F446" s="7" t="n">
        <x:v>73.33333333333333</x:v>
      </x:c>
      <x:c r="G446" s="7" t="n">
        <x:v>71.66666666666667</x:v>
      </x:c>
      <x:c r="H446" s="7" t="n">
        <x:f>IF(F446=0,"n.a.",100*(F446-G446)/F446)</x:f>
        <x:v>2.27272727272726</x:v>
      </x:c>
      <x:c r="I446" s="7" t="n">
        <x:f>F446-G446</x:f>
        <x:v>1.6666666666666572</x:v>
      </x:c>
      <x:c r="J446" s="8" t="n">
        <x:v>0.36291826212062767</x:v>
      </x:c>
      <x:c r="K446" s="8" t="n">
        <x:v>0.36291826212062767</x:v>
      </x:c>
      <x:c r="L446" s="8" t="n">
        <x:v>0</x:v>
      </x:c>
      <x:c r="M446" s="7"/>
      <x:c r="N446" s="2" t="str">
        <x:v>exhaustive_enumeration</x:v>
      </x:c>
      <x:c r="O446" s="9" t="str">
        <x:v>011</x:v>
      </x:c>
    </x:row>
    <x:row r="447" ht="18" customHeight="1">
      <x:c r="A447" s="2" t="str">
        <x:v>controlled_n4_lane_closure_2</x:v>
      </x:c>
      <x:c r="B447" s="2" t="str">
        <x:v>BPSO</x:v>
      </x:c>
      <x:c r="C447" s="2" t="n">
        <x:v>42</x:v>
      </x:c>
      <x:c r="D447" s="2" t="str">
        <x:v>success</x:v>
      </x:c>
      <x:c r="E447" s="2" t="n">
        <x:v>3</x:v>
      </x:c>
      <x:c r="F447" s="7" t="n">
        <x:v>73.33333333333333</x:v>
      </x:c>
      <x:c r="G447" s="7" t="n">
        <x:v>71.66666666666667</x:v>
      </x:c>
      <x:c r="H447" s="7" t="n">
        <x:f>IF(F447=0,"n.a.",100*(F447-G447)/F447)</x:f>
        <x:v>2.27272727272726</x:v>
      </x:c>
      <x:c r="I447" s="7" t="n">
        <x:f>F447-G447</x:f>
        <x:v>1.6666666666666572</x:v>
      </x:c>
      <x:c r="J447" s="8" t="n">
        <x:v>0.36291826212062767</x:v>
      </x:c>
      <x:c r="K447" s="8" t="n">
        <x:v>0.36291826212062767</x:v>
      </x:c>
      <x:c r="L447" s="8" t="n">
        <x:v>0</x:v>
      </x:c>
      <x:c r="M447" s="7" t="n">
        <x:v>14.157599987811409</x:v>
      </x:c>
      <x:c r="N447" s="2" t="str">
        <x:v>repository_particle_dynamics_on_frozen_qubo</x:v>
      </x:c>
      <x:c r="O447" s="9" t="str">
        <x:v>101</x:v>
      </x:c>
    </x:row>
    <x:row r="448" ht="18" customHeight="1">
      <x:c r="A448" s="2" t="str">
        <x:v>controlled_n4_lane_closure_2</x:v>
      </x:c>
      <x:c r="B448" s="2" t="str">
        <x:v>QAOA</x:v>
      </x:c>
      <x:c r="C448" s="2" t="n">
        <x:v>42</x:v>
      </x:c>
      <x:c r="D448" s="2" t="str">
        <x:v>success</x:v>
      </x:c>
      <x:c r="E448" s="2" t="n">
        <x:v>3</x:v>
      </x:c>
      <x:c r="F448" s="7" t="n">
        <x:v>73.33333333333333</x:v>
      </x:c>
      <x:c r="G448" s="7" t="n">
        <x:v>71.66666666666667</x:v>
      </x:c>
      <x:c r="H448" s="7" t="n">
        <x:f>IF(F448=0,"n.a.",100*(F448-G448)/F448)</x:f>
        <x:v>2.27272727272726</x:v>
      </x:c>
      <x:c r="I448" s="7" t="n">
        <x:f>F448-G448</x:f>
        <x:v>1.6666666666666572</x:v>
      </x:c>
      <x:c r="J448" s="8" t="n">
        <x:v>0.36291826212062767</x:v>
      </x:c>
      <x:c r="K448" s="8" t="n">
        <x:v>0.36291826212062767</x:v>
      </x:c>
      <x:c r="L448" s="8" t="n">
        <x:v>0</x:v>
      </x:c>
      <x:c r="M448" s="7" t="n">
        <x:v>148.03529999335296</x:v>
      </x:c>
      <x:c r="N448" s="2" t="str">
        <x:v>qiskit.primitives.StatevectorSampler</x:v>
      </x:c>
      <x:c r="O448" s="9" t="str">
        <x:v>101</x:v>
      </x:c>
    </x:row>
    <x:row r="449" ht="18" customHeight="1">
      <x:c r="A449" s="2" t="str">
        <x:v>controlled_n4_lane_closure_2</x:v>
      </x:c>
      <x:c r="B449" s="2" t="str">
        <x:v>BPSO</x:v>
      </x:c>
      <x:c r="C449" s="2" t="n">
        <x:v>123</x:v>
      </x:c>
      <x:c r="D449" s="2" t="str">
        <x:v>success</x:v>
      </x:c>
      <x:c r="E449" s="2" t="n">
        <x:v>3</x:v>
      </x:c>
      <x:c r="F449" s="7" t="n">
        <x:v>73.33333333333333</x:v>
      </x:c>
      <x:c r="G449" s="7" t="n">
        <x:v>71.66666666666667</x:v>
      </x:c>
      <x:c r="H449" s="7" t="n">
        <x:f>IF(F449=0,"n.a.",100*(F449-G449)/F449)</x:f>
        <x:v>2.27272727272726</x:v>
      </x:c>
      <x:c r="I449" s="7" t="n">
        <x:f>F449-G449</x:f>
        <x:v>1.6666666666666572</x:v>
      </x:c>
      <x:c r="J449" s="8" t="n">
        <x:v>0.36291826212062767</x:v>
      </x:c>
      <x:c r="K449" s="8" t="n">
        <x:v>0.36291826212062767</x:v>
      </x:c>
      <x:c r="L449" s="8" t="n">
        <x:v>0</x:v>
      </x:c>
      <x:c r="M449" s="7" t="n">
        <x:v>13.551700001698919</x:v>
      </x:c>
      <x:c r="N449" s="2" t="str">
        <x:v>repository_particle_dynamics_on_frozen_qubo</x:v>
      </x:c>
      <x:c r="O449" s="9" t="str">
        <x:v>101</x:v>
      </x:c>
    </x:row>
    <x:row r="450" ht="18" customHeight="1">
      <x:c r="A450" s="2" t="str">
        <x:v>controlled_n4_lane_closure_2</x:v>
      </x:c>
      <x:c r="B450" s="2" t="str">
        <x:v>QAOA</x:v>
      </x:c>
      <x:c r="C450" s="2" t="n">
        <x:v>123</x:v>
      </x:c>
      <x:c r="D450" s="2" t="str">
        <x:v>success</x:v>
      </x:c>
      <x:c r="E450" s="2" t="n">
        <x:v>3</x:v>
      </x:c>
      <x:c r="F450" s="7" t="n">
        <x:v>73.33333333333333</x:v>
      </x:c>
      <x:c r="G450" s="7" t="n">
        <x:v>71.66666666666667</x:v>
      </x:c>
      <x:c r="H450" s="7" t="n">
        <x:f>IF(F450=0,"n.a.",100*(F450-G450)/F450)</x:f>
        <x:v>2.27272727272726</x:v>
      </x:c>
      <x:c r="I450" s="7" t="n">
        <x:f>F450-G450</x:f>
        <x:v>1.6666666666666572</x:v>
      </x:c>
      <x:c r="J450" s="8" t="n">
        <x:v>0.36291826212062767</x:v>
      </x:c>
      <x:c r="K450" s="8" t="n">
        <x:v>0.36291826212062767</x:v>
      </x:c>
      <x:c r="L450" s="8" t="n">
        <x:v>0</x:v>
      </x:c>
      <x:c r="M450" s="7" t="n">
        <x:v>217.65880000020843</x:v>
      </x:c>
      <x:c r="N450" s="2" t="str">
        <x:v>qiskit.primitives.StatevectorSampler</x:v>
      </x:c>
      <x:c r="O450" s="9" t="str">
        <x:v>101</x:v>
      </x:c>
    </x:row>
    <x:row r="451" ht="18" customHeight="1">
      <x:c r="A451" s="2" t="str">
        <x:v>controlled_n4_lane_closure_2</x:v>
      </x:c>
      <x:c r="B451" s="2" t="str">
        <x:v>BPSO</x:v>
      </x:c>
      <x:c r="C451" s="2" t="n">
        <x:v>456</x:v>
      </x:c>
      <x:c r="D451" s="2" t="str">
        <x:v>success</x:v>
      </x:c>
      <x:c r="E451" s="2" t="n">
        <x:v>3</x:v>
      </x:c>
      <x:c r="F451" s="7" t="n">
        <x:v>73.33333333333333</x:v>
      </x:c>
      <x:c r="G451" s="7" t="n">
        <x:v>71.66666666666667</x:v>
      </x:c>
      <x:c r="H451" s="7" t="n">
        <x:f>IF(F451=0,"n.a.",100*(F451-G451)/F451)</x:f>
        <x:v>2.27272727272726</x:v>
      </x:c>
      <x:c r="I451" s="7" t="n">
        <x:f>F451-G451</x:f>
        <x:v>1.6666666666666572</x:v>
      </x:c>
      <x:c r="J451" s="8" t="n">
        <x:v>0.36291826212062767</x:v>
      </x:c>
      <x:c r="K451" s="8" t="n">
        <x:v>0.36291826212062767</x:v>
      </x:c>
      <x:c r="L451" s="8" t="n">
        <x:v>0</x:v>
      </x:c>
      <x:c r="M451" s="7" t="n">
        <x:v>13.385400001425296</x:v>
      </x:c>
      <x:c r="N451" s="2" t="str">
        <x:v>repository_particle_dynamics_on_frozen_qubo</x:v>
      </x:c>
      <x:c r="O451" s="9" t="str">
        <x:v>110</x:v>
      </x:c>
    </x:row>
    <x:row r="452" ht="18" customHeight="1">
      <x:c r="A452" s="2" t="str">
        <x:v>controlled_n4_lane_closure_2</x:v>
      </x:c>
      <x:c r="B452" s="2" t="str">
        <x:v>QAOA</x:v>
      </x:c>
      <x:c r="C452" s="2" t="n">
        <x:v>456</x:v>
      </x:c>
      <x:c r="D452" s="2" t="str">
        <x:v>success</x:v>
      </x:c>
      <x:c r="E452" s="2" t="n">
        <x:v>3</x:v>
      </x:c>
      <x:c r="F452" s="7" t="n">
        <x:v>73.33333333333333</x:v>
      </x:c>
      <x:c r="G452" s="7" t="n">
        <x:v>71.66666666666667</x:v>
      </x:c>
      <x:c r="H452" s="7" t="n">
        <x:f>IF(F452=0,"n.a.",100*(F452-G452)/F452)</x:f>
        <x:v>2.27272727272726</x:v>
      </x:c>
      <x:c r="I452" s="7" t="n">
        <x:f>F452-G452</x:f>
        <x:v>1.6666666666666572</x:v>
      </x:c>
      <x:c r="J452" s="8" t="n">
        <x:v>0.36291826212062767</x:v>
      </x:c>
      <x:c r="K452" s="8" t="n">
        <x:v>0.36291826212062767</x:v>
      </x:c>
      <x:c r="L452" s="8" t="n">
        <x:v>0</x:v>
      </x:c>
      <x:c r="M452" s="7" t="n">
        <x:v>124.44610000238754</x:v>
      </x:c>
      <x:c r="N452" s="2" t="str">
        <x:v>qiskit.primitives.StatevectorSampler</x:v>
      </x:c>
      <x:c r="O452" s="9" t="str">
        <x:v>011</x:v>
      </x:c>
    </x:row>
    <x:row r="453" ht="18" customHeight="1">
      <x:c r="A453" s="2" t="str">
        <x:v>controlled_n4_lane_closure_2</x:v>
      </x:c>
      <x:c r="B453" s="2" t="str">
        <x:v>BPSO</x:v>
      </x:c>
      <x:c r="C453" s="2" t="n">
        <x:v>789</x:v>
      </x:c>
      <x:c r="D453" s="2" t="str">
        <x:v>success</x:v>
      </x:c>
      <x:c r="E453" s="2" t="n">
        <x:v>3</x:v>
      </x:c>
      <x:c r="F453" s="7" t="n">
        <x:v>73.33333333333333</x:v>
      </x:c>
      <x:c r="G453" s="7" t="n">
        <x:v>71.66666666666667</x:v>
      </x:c>
      <x:c r="H453" s="7" t="n">
        <x:f>IF(F453=0,"n.a.",100*(F453-G453)/F453)</x:f>
        <x:v>2.27272727272726</x:v>
      </x:c>
      <x:c r="I453" s="7" t="n">
        <x:f>F453-G453</x:f>
        <x:v>1.6666666666666572</x:v>
      </x:c>
      <x:c r="J453" s="8" t="n">
        <x:v>0.36291826212062767</x:v>
      </x:c>
      <x:c r="K453" s="8" t="n">
        <x:v>0.36291826212062767</x:v>
      </x:c>
      <x:c r="L453" s="8" t="n">
        <x:v>0</x:v>
      </x:c>
      <x:c r="M453" s="7" t="n">
        <x:v>13.565000001108274</x:v>
      </x:c>
      <x:c r="N453" s="2" t="str">
        <x:v>repository_particle_dynamics_on_frozen_qubo</x:v>
      </x:c>
      <x:c r="O453" s="9" t="str">
        <x:v>110</x:v>
      </x:c>
    </x:row>
    <x:row r="454" ht="18" customHeight="1">
      <x:c r="A454" s="2" t="str">
        <x:v>controlled_n4_lane_closure_2</x:v>
      </x:c>
      <x:c r="B454" s="2" t="str">
        <x:v>QAOA</x:v>
      </x:c>
      <x:c r="C454" s="2" t="n">
        <x:v>789</x:v>
      </x:c>
      <x:c r="D454" s="2" t="str">
        <x:v>success</x:v>
      </x:c>
      <x:c r="E454" s="2" t="n">
        <x:v>3</x:v>
      </x:c>
      <x:c r="F454" s="7" t="n">
        <x:v>73.33333333333333</x:v>
      </x:c>
      <x:c r="G454" s="7" t="n">
        <x:v>71.66666666666667</x:v>
      </x:c>
      <x:c r="H454" s="7" t="n">
        <x:f>IF(F454=0,"n.a.",100*(F454-G454)/F454)</x:f>
        <x:v>2.27272727272726</x:v>
      </x:c>
      <x:c r="I454" s="7" t="n">
        <x:f>F454-G454</x:f>
        <x:v>1.6666666666666572</x:v>
      </x:c>
      <x:c r="J454" s="8" t="n">
        <x:v>0.36291826212062767</x:v>
      </x:c>
      <x:c r="K454" s="8" t="n">
        <x:v>0.36291826212062767</x:v>
      </x:c>
      <x:c r="L454" s="8" t="n">
        <x:v>0</x:v>
      </x:c>
      <x:c r="M454" s="7" t="n">
        <x:v>167.002300004242</x:v>
      </x:c>
      <x:c r="N454" s="2" t="str">
        <x:v>qiskit.primitives.StatevectorSampler</x:v>
      </x:c>
      <x:c r="O454" s="9" t="str">
        <x:v>110</x:v>
      </x:c>
    </x:row>
    <x:row r="455" ht="18" customHeight="1">
      <x:c r="A455" s="2" t="str">
        <x:v>controlled_n4_lane_closure_2</x:v>
      </x:c>
      <x:c r="B455" s="2" t="str">
        <x:v>BPSO</x:v>
      </x:c>
      <x:c r="C455" s="2" t="n">
        <x:v>2026</x:v>
      </x:c>
      <x:c r="D455" s="2" t="str">
        <x:v>success</x:v>
      </x:c>
      <x:c r="E455" s="2" t="n">
        <x:v>3</x:v>
      </x:c>
      <x:c r="F455" s="7" t="n">
        <x:v>73.33333333333333</x:v>
      </x:c>
      <x:c r="G455" s="7" t="n">
        <x:v>71.66666666666667</x:v>
      </x:c>
      <x:c r="H455" s="7" t="n">
        <x:f>IF(F455=0,"n.a.",100*(F455-G455)/F455)</x:f>
        <x:v>2.27272727272726</x:v>
      </x:c>
      <x:c r="I455" s="7" t="n">
        <x:f>F455-G455</x:f>
        <x:v>1.6666666666666572</x:v>
      </x:c>
      <x:c r="J455" s="8" t="n">
        <x:v>0.36291826212062767</x:v>
      </x:c>
      <x:c r="K455" s="8" t="n">
        <x:v>0.36291826212062767</x:v>
      </x:c>
      <x:c r="L455" s="8" t="n">
        <x:v>0</x:v>
      </x:c>
      <x:c r="M455" s="7" t="n">
        <x:v>13.346600011573173</x:v>
      </x:c>
      <x:c r="N455" s="2" t="str">
        <x:v>repository_particle_dynamics_on_frozen_qubo</x:v>
      </x:c>
      <x:c r="O455" s="9" t="str">
        <x:v>101</x:v>
      </x:c>
    </x:row>
    <x:row r="456" ht="18" customHeight="1">
      <x:c r="A456" s="2" t="str">
        <x:v>controlled_n4_lane_closure_2</x:v>
      </x:c>
      <x:c r="B456" s="2" t="str">
        <x:v>QAOA</x:v>
      </x:c>
      <x:c r="C456" s="2" t="n">
        <x:v>2026</x:v>
      </x:c>
      <x:c r="D456" s="2" t="str">
        <x:v>success</x:v>
      </x:c>
      <x:c r="E456" s="2" t="n">
        <x:v>3</x:v>
      </x:c>
      <x:c r="F456" s="7" t="n">
        <x:v>73.33333333333333</x:v>
      </x:c>
      <x:c r="G456" s="7" t="n">
        <x:v>71.66666666666667</x:v>
      </x:c>
      <x:c r="H456" s="7" t="n">
        <x:f>IF(F456=0,"n.a.",100*(F456-G456)/F456)</x:f>
        <x:v>2.27272727272726</x:v>
      </x:c>
      <x:c r="I456" s="7" t="n">
        <x:f>F456-G456</x:f>
        <x:v>1.6666666666666572</x:v>
      </x:c>
      <x:c r="J456" s="8" t="n">
        <x:v>0.36291826212062767</x:v>
      </x:c>
      <x:c r="K456" s="8" t="n">
        <x:v>0.36291826212062767</x:v>
      </x:c>
      <x:c r="L456" s="8" t="n">
        <x:v>0</x:v>
      </x:c>
      <x:c r="M456" s="7" t="n">
        <x:v>133.8912000064738</x:v>
      </x:c>
      <x:c r="N456" s="2" t="str">
        <x:v>qiskit.primitives.StatevectorSampler</x:v>
      </x:c>
      <x:c r="O456" s="9" t="str">
        <x:v>101</x:v>
      </x:c>
    </x:row>
    <x:row r="457" ht="18" customHeight="1">
      <x:c r="A457" s="2" t="str">
        <x:v>controlled_n4_lane_closure_3</x:v>
      </x:c>
      <x:c r="B457" s="2" t="str">
        <x:v>Unmanaged</x:v>
      </x:c>
      <x:c r="C457" s="2"/>
      <x:c r="D457" s="2" t="str">
        <x:v>baseline</x:v>
      </x:c>
      <x:c r="E457" s="2" t="n">
        <x:v>5</x:v>
      </x:c>
      <x:c r="F457" s="7" t="n">
        <x:v>110.00000000000001</x:v>
      </x:c>
      <x:c r="G457" s="7" t="n">
        <x:v>110.00000000000001</x:v>
      </x:c>
      <x:c r="H457" s="7" t="n">
        <x:f>IF(F457=0,"n.a.",100*(F457-G457)/F457)</x:f>
        <x:v>0</x:v>
      </x:c>
      <x:c r="I457" s="7" t="n">
        <x:f>F457-G457</x:f>
        <x:v>0</x:v>
      </x:c>
      <x:c r="J457" s="8"/>
      <x:c r="K457" s="8" t="n">
        <x:v>0.7564563802083333</x:v>
      </x:c>
      <x:c r="L457" s="8"/>
      <x:c r="M457" s="7"/>
      <x:c r="N457" s="2" t="str">
        <x:v>unmanaged_input</x:v>
      </x:c>
      <x:c r="O457" s="9"/>
    </x:row>
    <x:row r="458" ht="18" customHeight="1">
      <x:c r="A458" s="2" t="str">
        <x:v>controlled_n4_lane_closure_3</x:v>
      </x:c>
      <x:c r="B458" s="2" t="str">
        <x:v>Exact J</x:v>
      </x:c>
      <x:c r="C458" s="2"/>
      <x:c r="D458" s="2" t="str">
        <x:v>success</x:v>
      </x:c>
      <x:c r="E458" s="2" t="n">
        <x:v>5</x:v>
      </x:c>
      <x:c r="F458" s="7" t="n">
        <x:v>110.00000000000001</x:v>
      </x:c>
      <x:c r="G458" s="7" t="n">
        <x:v>80</x:v>
      </x:c>
      <x:c r="H458" s="7" t="n">
        <x:f>IF(F458=0,"n.a.",100*(F458-G458)/F458)</x:f>
        <x:v>27.27272727272728</x:v>
      </x:c>
      <x:c r="I458" s="7" t="n">
        <x:f>F458-G458</x:f>
        <x:v>30.000000000000014</x:v>
      </x:c>
      <x:c r="J458" s="8" t="n">
        <x:v>0.7564563802083333</x:v>
      </x:c>
      <x:c r="K458" s="8" t="n">
        <x:v>0.7564563802083333</x:v>
      </x:c>
      <x:c r="L458" s="8" t="n">
        <x:v>0</x:v>
      </x:c>
      <x:c r="M458" s="7"/>
      <x:c r="N458" s="2" t="str">
        <x:v>exhaustive_enumeration</x:v>
      </x:c>
      <x:c r="O458" s="9" t="str">
        <x:v>00111</x:v>
      </x:c>
    </x:row>
    <x:row r="459" ht="18" customHeight="1">
      <x:c r="A459" s="2" t="str">
        <x:v>controlled_n4_lane_closure_3</x:v>
      </x:c>
      <x:c r="B459" s="2" t="str">
        <x:v>Exact peak</x:v>
      </x:c>
      <x:c r="C459" s="2"/>
      <x:c r="D459" s="2" t="str">
        <x:v>success</x:v>
      </x:c>
      <x:c r="E459" s="2" t="n">
        <x:v>5</x:v>
      </x:c>
      <x:c r="F459" s="7" t="n">
        <x:v>110.00000000000001</x:v>
      </x:c>
      <x:c r="G459" s="7" t="n">
        <x:v>80</x:v>
      </x:c>
      <x:c r="H459" s="7" t="n">
        <x:f>IF(F459=0,"n.a.",100*(F459-G459)/F459)</x:f>
        <x:v>27.27272727272728</x:v>
      </x:c>
      <x:c r="I459" s="7" t="n">
        <x:f>F459-G459</x:f>
        <x:v>30.000000000000014</x:v>
      </x:c>
      <x:c r="J459" s="8" t="n">
        <x:v>0.7564563802083333</x:v>
      </x:c>
      <x:c r="K459" s="8" t="n">
        <x:v>0.7564563802083333</x:v>
      </x:c>
      <x:c r="L459" s="8" t="n">
        <x:v>0</x:v>
      </x:c>
      <x:c r="M459" s="7"/>
      <x:c r="N459" s="2" t="str">
        <x:v>exhaustive_enumeration</x:v>
      </x:c>
      <x:c r="O459" s="9" t="str">
        <x:v>00111</x:v>
      </x:c>
    </x:row>
    <x:row r="460" ht="18" customHeight="1">
      <x:c r="A460" s="2" t="str">
        <x:v>controlled_n4_lane_closure_3</x:v>
      </x:c>
      <x:c r="B460" s="2" t="str">
        <x:v>BPSO</x:v>
      </x:c>
      <x:c r="C460" s="2" t="n">
        <x:v>42</x:v>
      </x:c>
      <x:c r="D460" s="2" t="str">
        <x:v>success</x:v>
      </x:c>
      <x:c r="E460" s="2" t="n">
        <x:v>5</x:v>
      </x:c>
      <x:c r="F460" s="7" t="n">
        <x:v>110.00000000000001</x:v>
      </x:c>
      <x:c r="G460" s="7" t="n">
        <x:v>80</x:v>
      </x:c>
      <x:c r="H460" s="7" t="n">
        <x:f>IF(F460=0,"n.a.",100*(F460-G460)/F460)</x:f>
        <x:v>27.27272727272728</x:v>
      </x:c>
      <x:c r="I460" s="7" t="n">
        <x:f>F460-G460</x:f>
        <x:v>30.000000000000014</x:v>
      </x:c>
      <x:c r="J460" s="8" t="n">
        <x:v>0.7564563802083333</x:v>
      </x:c>
      <x:c r="K460" s="8" t="n">
        <x:v>0.7564563802083333</x:v>
      </x:c>
      <x:c r="L460" s="8" t="n">
        <x:v>0</x:v>
      </x:c>
      <x:c r="M460" s="7" t="n">
        <x:v>16.24230000015814</x:v>
      </x:c>
      <x:c r="N460" s="2" t="str">
        <x:v>repository_particle_dynamics_on_frozen_qubo</x:v>
      </x:c>
      <x:c r="O460" s="9" t="str">
        <x:v>10110</x:v>
      </x:c>
    </x:row>
    <x:row r="461" ht="18" customHeight="1">
      <x:c r="A461" s="2" t="str">
        <x:v>controlled_n4_lane_closure_3</x:v>
      </x:c>
      <x:c r="B461" s="2" t="str">
        <x:v>QAOA</x:v>
      </x:c>
      <x:c r="C461" s="2" t="n">
        <x:v>42</x:v>
      </x:c>
      <x:c r="D461" s="2" t="str">
        <x:v>success</x:v>
      </x:c>
      <x:c r="E461" s="2" t="n">
        <x:v>5</x:v>
      </x:c>
      <x:c r="F461" s="7" t="n">
        <x:v>110.00000000000001</x:v>
      </x:c>
      <x:c r="G461" s="7" t="n">
        <x:v>80</x:v>
      </x:c>
      <x:c r="H461" s="7" t="n">
        <x:f>IF(F461=0,"n.a.",100*(F461-G461)/F461)</x:f>
        <x:v>27.27272727272728</x:v>
      </x:c>
      <x:c r="I461" s="7" t="n">
        <x:f>F461-G461</x:f>
        <x:v>30.000000000000014</x:v>
      </x:c>
      <x:c r="J461" s="8" t="n">
        <x:v>0.7564563802083333</x:v>
      </x:c>
      <x:c r="K461" s="8" t="n">
        <x:v>0.7564563802083333</x:v>
      </x:c>
      <x:c r="L461" s="8" t="n">
        <x:v>0</x:v>
      </x:c>
      <x:c r="M461" s="7" t="n">
        <x:v>210.91120000346564</x:v>
      </x:c>
      <x:c r="N461" s="2" t="str">
        <x:v>qiskit.primitives.StatevectorSampler</x:v>
      </x:c>
      <x:c r="O461" s="9" t="str">
        <x:v>10101</x:v>
      </x:c>
    </x:row>
    <x:row r="462" ht="18" customHeight="1">
      <x:c r="A462" s="2" t="str">
        <x:v>controlled_n4_lane_closure_3</x:v>
      </x:c>
      <x:c r="B462" s="2" t="str">
        <x:v>BPSO</x:v>
      </x:c>
      <x:c r="C462" s="2" t="n">
        <x:v>123</x:v>
      </x:c>
      <x:c r="D462" s="2" t="str">
        <x:v>success</x:v>
      </x:c>
      <x:c r="E462" s="2" t="n">
        <x:v>5</x:v>
      </x:c>
      <x:c r="F462" s="7" t="n">
        <x:v>110.00000000000001</x:v>
      </x:c>
      <x:c r="G462" s="7" t="n">
        <x:v>80</x:v>
      </x:c>
      <x:c r="H462" s="7" t="n">
        <x:f>IF(F462=0,"n.a.",100*(F462-G462)/F462)</x:f>
        <x:v>27.27272727272728</x:v>
      </x:c>
      <x:c r="I462" s="7" t="n">
        <x:f>F462-G462</x:f>
        <x:v>30.000000000000014</x:v>
      </x:c>
      <x:c r="J462" s="8" t="n">
        <x:v>0.7564563802083333</x:v>
      </x:c>
      <x:c r="K462" s="8" t="n">
        <x:v>0.7564563802083333</x:v>
      </x:c>
      <x:c r="L462" s="8" t="n">
        <x:v>0</x:v>
      </x:c>
      <x:c r="M462" s="7" t="n">
        <x:v>14.66779998736456</x:v>
      </x:c>
      <x:c r="N462" s="2" t="str">
        <x:v>repository_particle_dynamics_on_frozen_qubo</x:v>
      </x:c>
      <x:c r="O462" s="9" t="str">
        <x:v>10101</x:v>
      </x:c>
    </x:row>
    <x:row r="463" ht="18" customHeight="1">
      <x:c r="A463" s="2" t="str">
        <x:v>controlled_n4_lane_closure_3</x:v>
      </x:c>
      <x:c r="B463" s="2" t="str">
        <x:v>QAOA</x:v>
      </x:c>
      <x:c r="C463" s="2" t="n">
        <x:v>123</x:v>
      </x:c>
      <x:c r="D463" s="2" t="str">
        <x:v>success</x:v>
      </x:c>
      <x:c r="E463" s="2" t="n">
        <x:v>5</x:v>
      </x:c>
      <x:c r="F463" s="7" t="n">
        <x:v>110.00000000000001</x:v>
      </x:c>
      <x:c r="G463" s="7" t="n">
        <x:v>80</x:v>
      </x:c>
      <x:c r="H463" s="7" t="n">
        <x:f>IF(F463=0,"n.a.",100*(F463-G463)/F463)</x:f>
        <x:v>27.27272727272728</x:v>
      </x:c>
      <x:c r="I463" s="7" t="n">
        <x:f>F463-G463</x:f>
        <x:v>30.000000000000014</x:v>
      </x:c>
      <x:c r="J463" s="8" t="n">
        <x:v>0.7564563802083333</x:v>
      </x:c>
      <x:c r="K463" s="8" t="n">
        <x:v>0.7564563802083333</x:v>
      </x:c>
      <x:c r="L463" s="8" t="n">
        <x:v>0</x:v>
      </x:c>
      <x:c r="M463" s="7" t="n">
        <x:v>263.4212999982992</x:v>
      </x:c>
      <x:c r="N463" s="2" t="str">
        <x:v>qiskit.primitives.StatevectorSampler</x:v>
      </x:c>
      <x:c r="O463" s="9" t="str">
        <x:v>01101</x:v>
      </x:c>
    </x:row>
    <x:row r="464" ht="18" customHeight="1">
      <x:c r="A464" s="2" t="str">
        <x:v>controlled_n4_lane_closure_3</x:v>
      </x:c>
      <x:c r="B464" s="2" t="str">
        <x:v>BPSO</x:v>
      </x:c>
      <x:c r="C464" s="2" t="n">
        <x:v>456</x:v>
      </x:c>
      <x:c r="D464" s="2" t="str">
        <x:v>success</x:v>
      </x:c>
      <x:c r="E464" s="2" t="n">
        <x:v>5</x:v>
      </x:c>
      <x:c r="F464" s="7" t="n">
        <x:v>110.00000000000001</x:v>
      </x:c>
      <x:c r="G464" s="7" t="n">
        <x:v>80</x:v>
      </x:c>
      <x:c r="H464" s="7" t="n">
        <x:f>IF(F464=0,"n.a.",100*(F464-G464)/F464)</x:f>
        <x:v>27.27272727272728</x:v>
      </x:c>
      <x:c r="I464" s="7" t="n">
        <x:f>F464-G464</x:f>
        <x:v>30.000000000000014</x:v>
      </x:c>
      <x:c r="J464" s="8" t="n">
        <x:v>0.7564563802083333</x:v>
      </x:c>
      <x:c r="K464" s="8" t="n">
        <x:v>0.7564563802083333</x:v>
      </x:c>
      <x:c r="L464" s="8" t="n">
        <x:v>0</x:v>
      </x:c>
      <x:c r="M464" s="7" t="n">
        <x:v>15.041000006021932</x:v>
      </x:c>
      <x:c r="N464" s="2" t="str">
        <x:v>repository_particle_dynamics_on_frozen_qubo</x:v>
      </x:c>
      <x:c r="O464" s="9" t="str">
        <x:v>11001</x:v>
      </x:c>
    </x:row>
    <x:row r="465" ht="18" customHeight="1">
      <x:c r="A465" s="2" t="str">
        <x:v>controlled_n4_lane_closure_3</x:v>
      </x:c>
      <x:c r="B465" s="2" t="str">
        <x:v>QAOA</x:v>
      </x:c>
      <x:c r="C465" s="2" t="n">
        <x:v>456</x:v>
      </x:c>
      <x:c r="D465" s="2" t="str">
        <x:v>success</x:v>
      </x:c>
      <x:c r="E465" s="2" t="n">
        <x:v>5</x:v>
      </x:c>
      <x:c r="F465" s="7" t="n">
        <x:v>110.00000000000001</x:v>
      </x:c>
      <x:c r="G465" s="7" t="n">
        <x:v>80</x:v>
      </x:c>
      <x:c r="H465" s="7" t="n">
        <x:f>IF(F465=0,"n.a.",100*(F465-G465)/F465)</x:f>
        <x:v>27.27272727272728</x:v>
      </x:c>
      <x:c r="I465" s="7" t="n">
        <x:f>F465-G465</x:f>
        <x:v>30.000000000000014</x:v>
      </x:c>
      <x:c r="J465" s="8" t="n">
        <x:v>0.7564563802083333</x:v>
      </x:c>
      <x:c r="K465" s="8" t="n">
        <x:v>0.7564563802083333</x:v>
      </x:c>
      <x:c r="L465" s="8" t="n">
        <x:v>0</x:v>
      </x:c>
      <x:c r="M465" s="7" t="n">
        <x:v>220.65580000344198</x:v>
      </x:c>
      <x:c r="N465" s="2" t="str">
        <x:v>qiskit.primitives.StatevectorSampler</x:v>
      </x:c>
      <x:c r="O465" s="9" t="str">
        <x:v>00111</x:v>
      </x:c>
    </x:row>
    <x:row r="466" ht="18" customHeight="1">
      <x:c r="A466" s="2" t="str">
        <x:v>controlled_n4_lane_closure_3</x:v>
      </x:c>
      <x:c r="B466" s="2" t="str">
        <x:v>BPSO</x:v>
      </x:c>
      <x:c r="C466" s="2" t="n">
        <x:v>789</x:v>
      </x:c>
      <x:c r="D466" s="2" t="str">
        <x:v>success</x:v>
      </x:c>
      <x:c r="E466" s="2" t="n">
        <x:v>5</x:v>
      </x:c>
      <x:c r="F466" s="7" t="n">
        <x:v>110.00000000000001</x:v>
      </x:c>
      <x:c r="G466" s="7" t="n">
        <x:v>80</x:v>
      </x:c>
      <x:c r="H466" s="7" t="n">
        <x:f>IF(F466=0,"n.a.",100*(F466-G466)/F466)</x:f>
        <x:v>27.27272727272728</x:v>
      </x:c>
      <x:c r="I466" s="7" t="n">
        <x:f>F466-G466</x:f>
        <x:v>30.000000000000014</x:v>
      </x:c>
      <x:c r="J466" s="8" t="n">
        <x:v>0.7564563802083333</x:v>
      </x:c>
      <x:c r="K466" s="8" t="n">
        <x:v>0.7564563802083333</x:v>
      </x:c>
      <x:c r="L466" s="8" t="n">
        <x:v>0</x:v>
      </x:c>
      <x:c r="M466" s="7" t="n">
        <x:v>14.951300006941892</x:v>
      </x:c>
      <x:c r="N466" s="2" t="str">
        <x:v>repository_particle_dynamics_on_frozen_qubo</x:v>
      </x:c>
      <x:c r="O466" s="9" t="str">
        <x:v>00111</x:v>
      </x:c>
    </x:row>
    <x:row r="467" ht="18" customHeight="1">
      <x:c r="A467" s="2" t="str">
        <x:v>controlled_n4_lane_closure_3</x:v>
      </x:c>
      <x:c r="B467" s="2" t="str">
        <x:v>QAOA</x:v>
      </x:c>
      <x:c r="C467" s="2" t="n">
        <x:v>789</x:v>
      </x:c>
      <x:c r="D467" s="2" t="str">
        <x:v>success</x:v>
      </x:c>
      <x:c r="E467" s="2" t="n">
        <x:v>5</x:v>
      </x:c>
      <x:c r="F467" s="7" t="n">
        <x:v>110.00000000000001</x:v>
      </x:c>
      <x:c r="G467" s="7" t="n">
        <x:v>80</x:v>
      </x:c>
      <x:c r="H467" s="7" t="n">
        <x:f>IF(F467=0,"n.a.",100*(F467-G467)/F467)</x:f>
        <x:v>27.27272727272728</x:v>
      </x:c>
      <x:c r="I467" s="7" t="n">
        <x:f>F467-G467</x:f>
        <x:v>30.000000000000014</x:v>
      </x:c>
      <x:c r="J467" s="8" t="n">
        <x:v>0.7564563802083333</x:v>
      </x:c>
      <x:c r="K467" s="8" t="n">
        <x:v>0.7564563802083333</x:v>
      </x:c>
      <x:c r="L467" s="8" t="n">
        <x:v>0</x:v>
      </x:c>
      <x:c r="M467" s="7" t="n">
        <x:v>212.87639999354724</x:v>
      </x:c>
      <x:c r="N467" s="2" t="str">
        <x:v>qiskit.primitives.StatevectorSampler</x:v>
      </x:c>
      <x:c r="O467" s="9" t="str">
        <x:v>01101</x:v>
      </x:c>
    </x:row>
    <x:row r="468" ht="18" customHeight="1">
      <x:c r="A468" s="2" t="str">
        <x:v>controlled_n4_lane_closure_3</x:v>
      </x:c>
      <x:c r="B468" s="2" t="str">
        <x:v>BPSO</x:v>
      </x:c>
      <x:c r="C468" s="2" t="n">
        <x:v>2026</x:v>
      </x:c>
      <x:c r="D468" s="2" t="str">
        <x:v>success</x:v>
      </x:c>
      <x:c r="E468" s="2" t="n">
        <x:v>5</x:v>
      </x:c>
      <x:c r="F468" s="7" t="n">
        <x:v>110.00000000000001</x:v>
      </x:c>
      <x:c r="G468" s="7" t="n">
        <x:v>80</x:v>
      </x:c>
      <x:c r="H468" s="7" t="n">
        <x:f>IF(F468=0,"n.a.",100*(F468-G468)/F468)</x:f>
        <x:v>27.27272727272728</x:v>
      </x:c>
      <x:c r="I468" s="7" t="n">
        <x:f>F468-G468</x:f>
        <x:v>30.000000000000014</x:v>
      </x:c>
      <x:c r="J468" s="8" t="n">
        <x:v>0.7564563802083333</x:v>
      </x:c>
      <x:c r="K468" s="8" t="n">
        <x:v>0.7564563802083333</x:v>
      </x:c>
      <x:c r="L468" s="8" t="n">
        <x:v>0</x:v>
      </x:c>
      <x:c r="M468" s="7" t="n">
        <x:v>14.708400005474687</x:v>
      </x:c>
      <x:c r="N468" s="2" t="str">
        <x:v>repository_particle_dynamics_on_frozen_qubo</x:v>
      </x:c>
      <x:c r="O468" s="9" t="str">
        <x:v>01110</x:v>
      </x:c>
    </x:row>
    <x:row r="469" ht="18" customHeight="1">
      <x:c r="A469" s="2" t="str">
        <x:v>controlled_n4_lane_closure_3</x:v>
      </x:c>
      <x:c r="B469" s="2" t="str">
        <x:v>QAOA</x:v>
      </x:c>
      <x:c r="C469" s="2" t="n">
        <x:v>2026</x:v>
      </x:c>
      <x:c r="D469" s="2" t="str">
        <x:v>success</x:v>
      </x:c>
      <x:c r="E469" s="2" t="n">
        <x:v>5</x:v>
      </x:c>
      <x:c r="F469" s="7" t="n">
        <x:v>110.00000000000001</x:v>
      </x:c>
      <x:c r="G469" s="7" t="n">
        <x:v>80</x:v>
      </x:c>
      <x:c r="H469" s="7" t="n">
        <x:f>IF(F469=0,"n.a.",100*(F469-G469)/F469)</x:f>
        <x:v>27.27272727272728</x:v>
      </x:c>
      <x:c r="I469" s="7" t="n">
        <x:f>F469-G469</x:f>
        <x:v>30.000000000000014</x:v>
      </x:c>
      <x:c r="J469" s="8" t="n">
        <x:v>0.7564563802083333</x:v>
      </x:c>
      <x:c r="K469" s="8" t="n">
        <x:v>0.7564563802083333</x:v>
      </x:c>
      <x:c r="L469" s="8" t="n">
        <x:v>0</x:v>
      </x:c>
      <x:c r="M469" s="7" t="n">
        <x:v>213.0025999940699</x:v>
      </x:c>
      <x:c r="N469" s="2" t="str">
        <x:v>qiskit.primitives.StatevectorSampler</x:v>
      </x:c>
      <x:c r="O469" s="9" t="str">
        <x:v>01101</x:v>
      </x:c>
    </x:row>
    <x:row r="470" ht="18" customHeight="1">
      <x:c r="A470" s="2" t="str">
        <x:v>controlled_n4_weather_capacity_loss_1</x:v>
      </x:c>
      <x:c r="B470" s="2" t="str">
        <x:v>Unmanaged</x:v>
      </x:c>
      <x:c r="C470" s="2"/>
      <x:c r="D470" s="2" t="str">
        <x:v>baseline</x:v>
      </x:c>
      <x:c r="E470" s="2" t="n">
        <x:v>0</x:v>
      </x:c>
      <x:c r="F470" s="7" t="n">
        <x:v>55.00000000000001</x:v>
      </x:c>
      <x:c r="G470" s="7" t="n">
        <x:v>55.00000000000001</x:v>
      </x:c>
      <x:c r="H470" s="7" t="n">
        <x:f>IF(F470=0,"n.a.",100*(F470-G470)/F470)</x:f>
        <x:v>0</x:v>
      </x:c>
      <x:c r="I470" s="7" t="n">
        <x:f>F470-G470</x:f>
        <x:v>0</x:v>
      </x:c>
      <x:c r="J470" s="8"/>
      <x:c r="K470" s="8" t="n">
        <x:v>0.04682060185185194</x:v>
      </x:c>
      <x:c r="L470" s="8"/>
      <x:c r="M470" s="7"/>
      <x:c r="N470" s="2" t="str">
        <x:v>unmanaged_input</x:v>
      </x:c>
      <x:c r="O470" s="9"/>
    </x:row>
    <x:row r="471" ht="18" customHeight="1">
      <x:c r="A471" s="2" t="str">
        <x:v>controlled_n4_weather_capacity_loss_1</x:v>
      </x:c>
      <x:c r="B471" s="2" t="str">
        <x:v>Exact J</x:v>
      </x:c>
      <x:c r="C471" s="2"/>
      <x:c r="D471" s="2" t="str">
        <x:v>no_congestion</x:v>
      </x:c>
      <x:c r="E471" s="2" t="n">
        <x:v>0</x:v>
      </x:c>
      <x:c r="F471" s="7" t="n">
        <x:v>55.00000000000001</x:v>
      </x:c>
      <x:c r="G471" s="7" t="n">
        <x:v>55.00000000000001</x:v>
      </x:c>
      <x:c r="H471" s="7" t="n">
        <x:f>IF(F471=0,"n.a.",100*(F471-G471)/F471)</x:f>
        <x:v>0</x:v>
      </x:c>
      <x:c r="I471" s="7" t="n">
        <x:f>F471-G471</x:f>
        <x:v>0</x:v>
      </x:c>
      <x:c r="J471" s="8" t="n">
        <x:v>0.04682060185185194</x:v>
      </x:c>
      <x:c r="K471" s="8" t="n">
        <x:v>0.04682060185185194</x:v>
      </x:c>
      <x:c r="L471" s="8" t="n">
        <x:v>0</x:v>
      </x:c>
      <x:c r="M471" s="7" t="n">
        <x:v>0</x:v>
      </x:c>
      <x:c r="N471" s="2" t="str">
        <x:v>not_invoked</x:v>
      </x:c>
      <x:c r="O471" s="9" t="str"/>
    </x:row>
    <x:row r="472" ht="18" customHeight="1">
      <x:c r="A472" s="2" t="str">
        <x:v>controlled_n4_weather_capacity_loss_1</x:v>
      </x:c>
      <x:c r="B472" s="2" t="str">
        <x:v>Exact peak</x:v>
      </x:c>
      <x:c r="C472" s="2"/>
      <x:c r="D472" s="2" t="str">
        <x:v>no_congestion</x:v>
      </x:c>
      <x:c r="E472" s="2" t="n">
        <x:v>0</x:v>
      </x:c>
      <x:c r="F472" s="7" t="n">
        <x:v>55.00000000000001</x:v>
      </x:c>
      <x:c r="G472" s="7" t="n">
        <x:v>55.00000000000001</x:v>
      </x:c>
      <x:c r="H472" s="7" t="n">
        <x:f>IF(F472=0,"n.a.",100*(F472-G472)/F472)</x:f>
        <x:v>0</x:v>
      </x:c>
      <x:c r="I472" s="7" t="n">
        <x:f>F472-G472</x:f>
        <x:v>0</x:v>
      </x:c>
      <x:c r="J472" s="8" t="n">
        <x:v>0.04682060185185194</x:v>
      </x:c>
      <x:c r="K472" s="8" t="n">
        <x:v>0.04682060185185194</x:v>
      </x:c>
      <x:c r="L472" s="8" t="n">
        <x:v>0</x:v>
      </x:c>
      <x:c r="M472" s="7" t="n">
        <x:v>0</x:v>
      </x:c>
      <x:c r="N472" s="2" t="str">
        <x:v>not_invoked</x:v>
      </x:c>
      <x:c r="O472" s="9" t="str"/>
    </x:row>
    <x:row r="473" ht="18" customHeight="1">
      <x:c r="A473" s="2" t="str">
        <x:v>controlled_n4_weather_capacity_loss_1</x:v>
      </x:c>
      <x:c r="B473" s="2" t="str">
        <x:v>BPSO</x:v>
      </x:c>
      <x:c r="C473" s="2" t="n">
        <x:v>42</x:v>
      </x:c>
      <x:c r="D473" s="2" t="str">
        <x:v>no_congestion</x:v>
      </x:c>
      <x:c r="E473" s="2" t="n">
        <x:v>0</x:v>
      </x:c>
      <x:c r="F473" s="7" t="n">
        <x:v>55.00000000000001</x:v>
      </x:c>
      <x:c r="G473" s="7" t="n">
        <x:v>55.00000000000001</x:v>
      </x:c>
      <x:c r="H473" s="7" t="n">
        <x:f>IF(F473=0,"n.a.",100*(F473-G473)/F473)</x:f>
        <x:v>0</x:v>
      </x:c>
      <x:c r="I473" s="7" t="n">
        <x:f>F473-G473</x:f>
        <x:v>0</x:v>
      </x:c>
      <x:c r="J473" s="8" t="n">
        <x:v>0.04682060185185194</x:v>
      </x:c>
      <x:c r="K473" s="8" t="n">
        <x:v>0.04682060185185194</x:v>
      </x:c>
      <x:c r="L473" s="8" t="n">
        <x:v>0</x:v>
      </x:c>
      <x:c r="M473" s="7" t="n">
        <x:v>0</x:v>
      </x:c>
      <x:c r="N473" s="2" t="str">
        <x:v>not_invoked</x:v>
      </x:c>
      <x:c r="O473" s="9" t="str"/>
    </x:row>
    <x:row r="474" ht="18" customHeight="1">
      <x:c r="A474" s="2" t="str">
        <x:v>controlled_n4_weather_capacity_loss_1</x:v>
      </x:c>
      <x:c r="B474" s="2" t="str">
        <x:v>QAOA</x:v>
      </x:c>
      <x:c r="C474" s="2" t="n">
        <x:v>42</x:v>
      </x:c>
      <x:c r="D474" s="2" t="str">
        <x:v>no_congestion</x:v>
      </x:c>
      <x:c r="E474" s="2" t="n">
        <x:v>0</x:v>
      </x:c>
      <x:c r="F474" s="7" t="n">
        <x:v>55.00000000000001</x:v>
      </x:c>
      <x:c r="G474" s="7" t="n">
        <x:v>55.00000000000001</x:v>
      </x:c>
      <x:c r="H474" s="7" t="n">
        <x:f>IF(F474=0,"n.a.",100*(F474-G474)/F474)</x:f>
        <x:v>0</x:v>
      </x:c>
      <x:c r="I474" s="7" t="n">
        <x:f>F474-G474</x:f>
        <x:v>0</x:v>
      </x:c>
      <x:c r="J474" s="8" t="n">
        <x:v>0.04682060185185194</x:v>
      </x:c>
      <x:c r="K474" s="8" t="n">
        <x:v>0.04682060185185194</x:v>
      </x:c>
      <x:c r="L474" s="8" t="n">
        <x:v>0</x:v>
      </x:c>
      <x:c r="M474" s="7" t="n">
        <x:v>0</x:v>
      </x:c>
      <x:c r="N474" s="2" t="str">
        <x:v>not_invoked</x:v>
      </x:c>
      <x:c r="O474" s="9" t="str"/>
    </x:row>
    <x:row r="475" ht="18" customHeight="1">
      <x:c r="A475" s="2" t="str">
        <x:v>controlled_n4_weather_capacity_loss_1</x:v>
      </x:c>
      <x:c r="B475" s="2" t="str">
        <x:v>BPSO</x:v>
      </x:c>
      <x:c r="C475" s="2" t="n">
        <x:v>123</x:v>
      </x:c>
      <x:c r="D475" s="2" t="str">
        <x:v>no_congestion</x:v>
      </x:c>
      <x:c r="E475" s="2" t="n">
        <x:v>0</x:v>
      </x:c>
      <x:c r="F475" s="7" t="n">
        <x:v>55.00000000000001</x:v>
      </x:c>
      <x:c r="G475" s="7" t="n">
        <x:v>55.00000000000001</x:v>
      </x:c>
      <x:c r="H475" s="7" t="n">
        <x:f>IF(F475=0,"n.a.",100*(F475-G475)/F475)</x:f>
        <x:v>0</x:v>
      </x:c>
      <x:c r="I475" s="7" t="n">
        <x:f>F475-G475</x:f>
        <x:v>0</x:v>
      </x:c>
      <x:c r="J475" s="8" t="n">
        <x:v>0.04682060185185194</x:v>
      </x:c>
      <x:c r="K475" s="8" t="n">
        <x:v>0.04682060185185194</x:v>
      </x:c>
      <x:c r="L475" s="8" t="n">
        <x:v>0</x:v>
      </x:c>
      <x:c r="M475" s="7" t="n">
        <x:v>0</x:v>
      </x:c>
      <x:c r="N475" s="2" t="str">
        <x:v>not_invoked</x:v>
      </x:c>
      <x:c r="O475" s="9" t="str"/>
    </x:row>
    <x:row r="476" ht="18" customHeight="1">
      <x:c r="A476" s="2" t="str">
        <x:v>controlled_n4_weather_capacity_loss_1</x:v>
      </x:c>
      <x:c r="B476" s="2" t="str">
        <x:v>QAOA</x:v>
      </x:c>
      <x:c r="C476" s="2" t="n">
        <x:v>123</x:v>
      </x:c>
      <x:c r="D476" s="2" t="str">
        <x:v>no_congestion</x:v>
      </x:c>
      <x:c r="E476" s="2" t="n">
        <x:v>0</x:v>
      </x:c>
      <x:c r="F476" s="7" t="n">
        <x:v>55.00000000000001</x:v>
      </x:c>
      <x:c r="G476" s="7" t="n">
        <x:v>55.00000000000001</x:v>
      </x:c>
      <x:c r="H476" s="7" t="n">
        <x:f>IF(F476=0,"n.a.",100*(F476-G476)/F476)</x:f>
        <x:v>0</x:v>
      </x:c>
      <x:c r="I476" s="7" t="n">
        <x:f>F476-G476</x:f>
        <x:v>0</x:v>
      </x:c>
      <x:c r="J476" s="8" t="n">
        <x:v>0.04682060185185194</x:v>
      </x:c>
      <x:c r="K476" s="8" t="n">
        <x:v>0.04682060185185194</x:v>
      </x:c>
      <x:c r="L476" s="8" t="n">
        <x:v>0</x:v>
      </x:c>
      <x:c r="M476" s="7" t="n">
        <x:v>0</x:v>
      </x:c>
      <x:c r="N476" s="2" t="str">
        <x:v>not_invoked</x:v>
      </x:c>
      <x:c r="O476" s="9" t="str"/>
    </x:row>
    <x:row r="477" ht="18" customHeight="1">
      <x:c r="A477" s="2" t="str">
        <x:v>controlled_n4_weather_capacity_loss_1</x:v>
      </x:c>
      <x:c r="B477" s="2" t="str">
        <x:v>BPSO</x:v>
      </x:c>
      <x:c r="C477" s="2" t="n">
        <x:v>456</x:v>
      </x:c>
      <x:c r="D477" s="2" t="str">
        <x:v>no_congestion</x:v>
      </x:c>
      <x:c r="E477" s="2" t="n">
        <x:v>0</x:v>
      </x:c>
      <x:c r="F477" s="7" t="n">
        <x:v>55.00000000000001</x:v>
      </x:c>
      <x:c r="G477" s="7" t="n">
        <x:v>55.00000000000001</x:v>
      </x:c>
      <x:c r="H477" s="7" t="n">
        <x:f>IF(F477=0,"n.a.",100*(F477-G477)/F477)</x:f>
        <x:v>0</x:v>
      </x:c>
      <x:c r="I477" s="7" t="n">
        <x:f>F477-G477</x:f>
        <x:v>0</x:v>
      </x:c>
      <x:c r="J477" s="8" t="n">
        <x:v>0.04682060185185194</x:v>
      </x:c>
      <x:c r="K477" s="8" t="n">
        <x:v>0.04682060185185194</x:v>
      </x:c>
      <x:c r="L477" s="8" t="n">
        <x:v>0</x:v>
      </x:c>
      <x:c r="M477" s="7" t="n">
        <x:v>0</x:v>
      </x:c>
      <x:c r="N477" s="2" t="str">
        <x:v>not_invoked</x:v>
      </x:c>
      <x:c r="O477" s="9" t="str"/>
    </x:row>
    <x:row r="478" ht="18" customHeight="1">
      <x:c r="A478" s="2" t="str">
        <x:v>controlled_n4_weather_capacity_loss_1</x:v>
      </x:c>
      <x:c r="B478" s="2" t="str">
        <x:v>QAOA</x:v>
      </x:c>
      <x:c r="C478" s="2" t="n">
        <x:v>456</x:v>
      </x:c>
      <x:c r="D478" s="2" t="str">
        <x:v>no_congestion</x:v>
      </x:c>
      <x:c r="E478" s="2" t="n">
        <x:v>0</x:v>
      </x:c>
      <x:c r="F478" s="7" t="n">
        <x:v>55.00000000000001</x:v>
      </x:c>
      <x:c r="G478" s="7" t="n">
        <x:v>55.00000000000001</x:v>
      </x:c>
      <x:c r="H478" s="7" t="n">
        <x:f>IF(F478=0,"n.a.",100*(F478-G478)/F478)</x:f>
        <x:v>0</x:v>
      </x:c>
      <x:c r="I478" s="7" t="n">
        <x:f>F478-G478</x:f>
        <x:v>0</x:v>
      </x:c>
      <x:c r="J478" s="8" t="n">
        <x:v>0.04682060185185194</x:v>
      </x:c>
      <x:c r="K478" s="8" t="n">
        <x:v>0.04682060185185194</x:v>
      </x:c>
      <x:c r="L478" s="8" t="n">
        <x:v>0</x:v>
      </x:c>
      <x:c r="M478" s="7" t="n">
        <x:v>0</x:v>
      </x:c>
      <x:c r="N478" s="2" t="str">
        <x:v>not_invoked</x:v>
      </x:c>
      <x:c r="O478" s="9" t="str"/>
    </x:row>
    <x:row r="479" ht="18" customHeight="1">
      <x:c r="A479" s="2" t="str">
        <x:v>controlled_n4_weather_capacity_loss_1</x:v>
      </x:c>
      <x:c r="B479" s="2" t="str">
        <x:v>BPSO</x:v>
      </x:c>
      <x:c r="C479" s="2" t="n">
        <x:v>789</x:v>
      </x:c>
      <x:c r="D479" s="2" t="str">
        <x:v>no_congestion</x:v>
      </x:c>
      <x:c r="E479" s="2" t="n">
        <x:v>0</x:v>
      </x:c>
      <x:c r="F479" s="7" t="n">
        <x:v>55.00000000000001</x:v>
      </x:c>
      <x:c r="G479" s="7" t="n">
        <x:v>55.00000000000001</x:v>
      </x:c>
      <x:c r="H479" s="7" t="n">
        <x:f>IF(F479=0,"n.a.",100*(F479-G479)/F479)</x:f>
        <x:v>0</x:v>
      </x:c>
      <x:c r="I479" s="7" t="n">
        <x:f>F479-G479</x:f>
        <x:v>0</x:v>
      </x:c>
      <x:c r="J479" s="8" t="n">
        <x:v>0.04682060185185194</x:v>
      </x:c>
      <x:c r="K479" s="8" t="n">
        <x:v>0.04682060185185194</x:v>
      </x:c>
      <x:c r="L479" s="8" t="n">
        <x:v>0</x:v>
      </x:c>
      <x:c r="M479" s="7" t="n">
        <x:v>0</x:v>
      </x:c>
      <x:c r="N479" s="2" t="str">
        <x:v>not_invoked</x:v>
      </x:c>
      <x:c r="O479" s="9" t="str"/>
    </x:row>
    <x:row r="480" ht="18" customHeight="1">
      <x:c r="A480" s="2" t="str">
        <x:v>controlled_n4_weather_capacity_loss_1</x:v>
      </x:c>
      <x:c r="B480" s="2" t="str">
        <x:v>QAOA</x:v>
      </x:c>
      <x:c r="C480" s="2" t="n">
        <x:v>789</x:v>
      </x:c>
      <x:c r="D480" s="2" t="str">
        <x:v>no_congestion</x:v>
      </x:c>
      <x:c r="E480" s="2" t="n">
        <x:v>0</x:v>
      </x:c>
      <x:c r="F480" s="7" t="n">
        <x:v>55.00000000000001</x:v>
      </x:c>
      <x:c r="G480" s="7" t="n">
        <x:v>55.00000000000001</x:v>
      </x:c>
      <x:c r="H480" s="7" t="n">
        <x:f>IF(F480=0,"n.a.",100*(F480-G480)/F480)</x:f>
        <x:v>0</x:v>
      </x:c>
      <x:c r="I480" s="7" t="n">
        <x:f>F480-G480</x:f>
        <x:v>0</x:v>
      </x:c>
      <x:c r="J480" s="8" t="n">
        <x:v>0.04682060185185194</x:v>
      </x:c>
      <x:c r="K480" s="8" t="n">
        <x:v>0.04682060185185194</x:v>
      </x:c>
      <x:c r="L480" s="8" t="n">
        <x:v>0</x:v>
      </x:c>
      <x:c r="M480" s="7" t="n">
        <x:v>0</x:v>
      </x:c>
      <x:c r="N480" s="2" t="str">
        <x:v>not_invoked</x:v>
      </x:c>
      <x:c r="O480" s="9" t="str"/>
    </x:row>
    <x:row r="481" ht="18" customHeight="1">
      <x:c r="A481" s="2" t="str">
        <x:v>controlled_n4_weather_capacity_loss_1</x:v>
      </x:c>
      <x:c r="B481" s="2" t="str">
        <x:v>BPSO</x:v>
      </x:c>
      <x:c r="C481" s="2" t="n">
        <x:v>2026</x:v>
      </x:c>
      <x:c r="D481" s="2" t="str">
        <x:v>no_congestion</x:v>
      </x:c>
      <x:c r="E481" s="2" t="n">
        <x:v>0</x:v>
      </x:c>
      <x:c r="F481" s="7" t="n">
        <x:v>55.00000000000001</x:v>
      </x:c>
      <x:c r="G481" s="7" t="n">
        <x:v>55.00000000000001</x:v>
      </x:c>
      <x:c r="H481" s="7" t="n">
        <x:f>IF(F481=0,"n.a.",100*(F481-G481)/F481)</x:f>
        <x:v>0</x:v>
      </x:c>
      <x:c r="I481" s="7" t="n">
        <x:f>F481-G481</x:f>
        <x:v>0</x:v>
      </x:c>
      <x:c r="J481" s="8" t="n">
        <x:v>0.04682060185185194</x:v>
      </x:c>
      <x:c r="K481" s="8" t="n">
        <x:v>0.04682060185185194</x:v>
      </x:c>
      <x:c r="L481" s="8" t="n">
        <x:v>0</x:v>
      </x:c>
      <x:c r="M481" s="7" t="n">
        <x:v>0</x:v>
      </x:c>
      <x:c r="N481" s="2" t="str">
        <x:v>not_invoked</x:v>
      </x:c>
      <x:c r="O481" s="9" t="str"/>
    </x:row>
    <x:row r="482" ht="18" customHeight="1">
      <x:c r="A482" s="2" t="str">
        <x:v>controlled_n4_weather_capacity_loss_1</x:v>
      </x:c>
      <x:c r="B482" s="2" t="str">
        <x:v>QAOA</x:v>
      </x:c>
      <x:c r="C482" s="2" t="n">
        <x:v>2026</x:v>
      </x:c>
      <x:c r="D482" s="2" t="str">
        <x:v>no_congestion</x:v>
      </x:c>
      <x:c r="E482" s="2" t="n">
        <x:v>0</x:v>
      </x:c>
      <x:c r="F482" s="7" t="n">
        <x:v>55.00000000000001</x:v>
      </x:c>
      <x:c r="G482" s="7" t="n">
        <x:v>55.00000000000001</x:v>
      </x:c>
      <x:c r="H482" s="7" t="n">
        <x:f>IF(F482=0,"n.a.",100*(F482-G482)/F482)</x:f>
        <x:v>0</x:v>
      </x:c>
      <x:c r="I482" s="7" t="n">
        <x:f>F482-G482</x:f>
        <x:v>0</x:v>
      </x:c>
      <x:c r="J482" s="8" t="n">
        <x:v>0.04682060185185194</x:v>
      </x:c>
      <x:c r="K482" s="8" t="n">
        <x:v>0.04682060185185194</x:v>
      </x:c>
      <x:c r="L482" s="8" t="n">
        <x:v>0</x:v>
      </x:c>
      <x:c r="M482" s="7" t="n">
        <x:v>0</x:v>
      </x:c>
      <x:c r="N482" s="2" t="str">
        <x:v>not_invoked</x:v>
      </x:c>
      <x:c r="O482" s="9" t="str"/>
    </x:row>
    <x:row r="483" ht="18" customHeight="1">
      <x:c r="A483" s="2" t="str">
        <x:v>controlled_n4_weather_capacity_loss_2</x:v>
      </x:c>
      <x:c r="B483" s="2" t="str">
        <x:v>Unmanaged</x:v>
      </x:c>
      <x:c r="C483" s="2"/>
      <x:c r="D483" s="2" t="str">
        <x:v>baseline</x:v>
      </x:c>
      <x:c r="E483" s="2" t="n">
        <x:v>10</x:v>
      </x:c>
      <x:c r="F483" s="7" t="n">
        <x:v>68.75000000000001</x:v>
      </x:c>
      <x:c r="G483" s="7" t="n">
        <x:v>68.75000000000001</x:v>
      </x:c>
      <x:c r="H483" s="7" t="n">
        <x:f>IF(F483=0,"n.a.",100*(F483-G483)/F483)</x:f>
        <x:v>0</x:v>
      </x:c>
      <x:c r="I483" s="7" t="n">
        <x:f>F483-G483</x:f>
        <x:v>0</x:v>
      </x:c>
      <x:c r="J483" s="8"/>
      <x:c r="K483" s="8" t="n">
        <x:v>2.336072364461766</x:v>
      </x:c>
      <x:c r="L483" s="8"/>
      <x:c r="M483" s="7"/>
      <x:c r="N483" s="2" t="str">
        <x:v>unmanaged_input</x:v>
      </x:c>
      <x:c r="O483" s="9"/>
    </x:row>
    <x:row r="484" ht="18" customHeight="1">
      <x:c r="A484" s="2" t="str">
        <x:v>controlled_n4_weather_capacity_loss_2</x:v>
      </x:c>
      <x:c r="B484" s="2" t="str">
        <x:v>Exact J</x:v>
      </x:c>
      <x:c r="C484" s="2"/>
      <x:c r="D484" s="2" t="str">
        <x:v>success</x:v>
      </x:c>
      <x:c r="E484" s="2" t="n">
        <x:v>10</x:v>
      </x:c>
      <x:c r="F484" s="7" t="n">
        <x:v>68.75000000000001</x:v>
      </x:c>
      <x:c r="G484" s="7" t="n">
        <x:v>92.1875</x:v>
      </x:c>
      <x:c r="H484" s="7" t="n">
        <x:f>IF(F484=0,"n.a.",100*(F484-G484)/F484)</x:f>
        <x:v>-34.090909090909065</x:v>
      </x:c>
      <x:c r="I484" s="7" t="n">
        <x:f>F484-G484</x:f>
        <x:v>-23.437499999999986</x:v>
      </x:c>
      <x:c r="J484" s="8" t="n">
        <x:v>2.3360723644617662</x:v>
      </x:c>
      <x:c r="K484" s="8" t="n">
        <x:v>2.336072364461766</x:v>
      </x:c>
      <x:c r="L484" s="8" t="n">
        <x:v>4.440892098500626e-16</x:v>
      </x:c>
      <x:c r="M484" s="7"/>
      <x:c r="N484" s="2" t="str">
        <x:v>exhaustive_enumeration</x:v>
      </x:c>
      <x:c r="O484" s="9" t="str">
        <x:v>0010100000</x:v>
      </x:c>
    </x:row>
    <x:row r="485" ht="18" customHeight="1">
      <x:c r="A485" s="2" t="str">
        <x:v>controlled_n4_weather_capacity_loss_2</x:v>
      </x:c>
      <x:c r="B485" s="2" t="str">
        <x:v>Exact peak</x:v>
      </x:c>
      <x:c r="C485" s="2"/>
      <x:c r="D485" s="2" t="str">
        <x:v>success</x:v>
      </x:c>
      <x:c r="E485" s="2" t="n">
        <x:v>10</x:v>
      </x:c>
      <x:c r="F485" s="7" t="n">
        <x:v>68.75000000000001</x:v>
      </x:c>
      <x:c r="G485" s="7" t="n">
        <x:v>89.58333333333334</x:v>
      </x:c>
      <x:c r="H485" s="7" t="n">
        <x:f>IF(F485=0,"n.a.",100*(F485-G485)/F485)</x:f>
        <x:v>-30.303030303030294</x:v>
      </x:c>
      <x:c r="I485" s="7" t="n">
        <x:f>F485-G485</x:f>
        <x:v>-20.83333333333333</x:v>
      </x:c>
      <x:c r="J485" s="8" t="n">
        <x:v>2.3927013004758235</x:v>
      </x:c>
      <x:c r="K485" s="8" t="n">
        <x:v>2.336072364461766</x:v>
      </x:c>
      <x:c r="L485" s="8" t="n">
        <x:v>0.05662893601405772</x:v>
      </x:c>
      <x:c r="M485" s="7"/>
      <x:c r="N485" s="2" t="str">
        <x:v>exhaustive_enumeration</x:v>
      </x:c>
      <x:c r="O485" s="9" t="str">
        <x:v>0011100000</x:v>
      </x:c>
    </x:row>
    <x:row r="486" ht="18" customHeight="1">
      <x:c r="A486" s="2" t="str">
        <x:v>controlled_n4_weather_capacity_loss_2</x:v>
      </x:c>
      <x:c r="B486" s="2" t="str">
        <x:v>BPSO</x:v>
      </x:c>
      <x:c r="C486" s="2" t="n">
        <x:v>42</x:v>
      </x:c>
      <x:c r="D486" s="2" t="str">
        <x:v>success</x:v>
      </x:c>
      <x:c r="E486" s="2" t="n">
        <x:v>10</x:v>
      </x:c>
      <x:c r="F486" s="7" t="n">
        <x:v>68.75000000000001</x:v>
      </x:c>
      <x:c r="G486" s="7" t="n">
        <x:v>92.1875</x:v>
      </x:c>
      <x:c r="H486" s="7" t="n">
        <x:f>IF(F486=0,"n.a.",100*(F486-G486)/F486)</x:f>
        <x:v>-34.090909090909065</x:v>
      </x:c>
      <x:c r="I486" s="7" t="n">
        <x:f>F486-G486</x:f>
        <x:v>-23.437499999999986</x:v>
      </x:c>
      <x:c r="J486" s="8" t="n">
        <x:v>2.3360723644617662</x:v>
      </x:c>
      <x:c r="K486" s="8" t="n">
        <x:v>2.336072364461766</x:v>
      </x:c>
      <x:c r="L486" s="8" t="n">
        <x:v>4.440892098500626e-16</x:v>
      </x:c>
      <x:c r="M486" s="7" t="n">
        <x:v>20.295299997087568</x:v>
      </x:c>
      <x:c r="N486" s="2" t="str">
        <x:v>repository_particle_dynamics_on_frozen_qubo</x:v>
      </x:c>
      <x:c r="O486" s="9" t="str">
        <x:v>0011000100</x:v>
      </x:c>
    </x:row>
    <x:row r="487" ht="18" customHeight="1">
      <x:c r="A487" s="2" t="str">
        <x:v>controlled_n4_weather_capacity_loss_2</x:v>
      </x:c>
      <x:c r="B487" s="2" t="str">
        <x:v>QAOA</x:v>
      </x:c>
      <x:c r="C487" s="2" t="n">
        <x:v>42</x:v>
      </x:c>
      <x:c r="D487" s="2" t="str">
        <x:v>success</x:v>
      </x:c>
      <x:c r="E487" s="2" t="n">
        <x:v>10</x:v>
      </x:c>
      <x:c r="F487" s="7" t="n">
        <x:v>68.75000000000001</x:v>
      </x:c>
      <x:c r="G487" s="7" t="n">
        <x:v>92.1875</x:v>
      </x:c>
      <x:c r="H487" s="7" t="n">
        <x:f>IF(F487=0,"n.a.",100*(F487-G487)/F487)</x:f>
        <x:v>-34.090909090909065</x:v>
      </x:c>
      <x:c r="I487" s="7" t="n">
        <x:f>F487-G487</x:f>
        <x:v>-23.437499999999986</x:v>
      </x:c>
      <x:c r="J487" s="8" t="n">
        <x:v>2.336072364461766</x:v>
      </x:c>
      <x:c r="K487" s="8" t="n">
        <x:v>2.336072364461766</x:v>
      </x:c>
      <x:c r="L487" s="8" t="n">
        <x:v>0</x:v>
      </x:c>
      <x:c r="M487" s="7" t="n">
        <x:v>752.3936000070535</x:v>
      </x:c>
      <x:c r="N487" s="2" t="str">
        <x:v>qiskit.primitives.StatevectorSampler</x:v>
      </x:c>
      <x:c r="O487" s="9" t="str">
        <x:v>1010100001</x:v>
      </x:c>
    </x:row>
    <x:row r="488" ht="18" customHeight="1">
      <x:c r="A488" s="2" t="str">
        <x:v>controlled_n4_weather_capacity_loss_2</x:v>
      </x:c>
      <x:c r="B488" s="2" t="str">
        <x:v>BPSO</x:v>
      </x:c>
      <x:c r="C488" s="2" t="n">
        <x:v>123</x:v>
      </x:c>
      <x:c r="D488" s="2" t="str">
        <x:v>success</x:v>
      </x:c>
      <x:c r="E488" s="2" t="n">
        <x:v>10</x:v>
      </x:c>
      <x:c r="F488" s="7" t="n">
        <x:v>68.75000000000001</x:v>
      </x:c>
      <x:c r="G488" s="7" t="n">
        <x:v>92.1875</x:v>
      </x:c>
      <x:c r="H488" s="7" t="n">
        <x:f>IF(F488=0,"n.a.",100*(F488-G488)/F488)</x:f>
        <x:v>-34.090909090909065</x:v>
      </x:c>
      <x:c r="I488" s="7" t="n">
        <x:f>F488-G488</x:f>
        <x:v>-23.437499999999986</x:v>
      </x:c>
      <x:c r="J488" s="8" t="n">
        <x:v>2.336072364461766</x:v>
      </x:c>
      <x:c r="K488" s="8" t="n">
        <x:v>2.336072364461766</x:v>
      </x:c>
      <x:c r="L488" s="8" t="n">
        <x:v>0</x:v>
      </x:c>
      <x:c r="M488" s="7" t="n">
        <x:v>21.20420000574086</x:v>
      </x:c>
      <x:c r="N488" s="2" t="str">
        <x:v>repository_particle_dynamics_on_frozen_qubo</x:v>
      </x:c>
      <x:c r="O488" s="9" t="str">
        <x:v>1010010010</x:v>
      </x:c>
    </x:row>
    <x:row r="489" ht="18" customHeight="1">
      <x:c r="A489" s="2" t="str">
        <x:v>controlled_n4_weather_capacity_loss_2</x:v>
      </x:c>
      <x:c r="B489" s="2" t="str">
        <x:v>QAOA</x:v>
      </x:c>
      <x:c r="C489" s="2" t="n">
        <x:v>123</x:v>
      </x:c>
      <x:c r="D489" s="2" t="str">
        <x:v>success</x:v>
      </x:c>
      <x:c r="E489" s="2" t="n">
        <x:v>10</x:v>
      </x:c>
      <x:c r="F489" s="7" t="n">
        <x:v>68.75000000000001</x:v>
      </x:c>
      <x:c r="G489" s="7" t="n">
        <x:v>92.1875</x:v>
      </x:c>
      <x:c r="H489" s="7" t="n">
        <x:f>IF(F489=0,"n.a.",100*(F489-G489)/F489)</x:f>
        <x:v>-34.090909090909065</x:v>
      </x:c>
      <x:c r="I489" s="7" t="n">
        <x:f>F489-G489</x:f>
        <x:v>-23.437499999999986</x:v>
      </x:c>
      <x:c r="J489" s="8" t="n">
        <x:v>2.336072364461766</x:v>
      </x:c>
      <x:c r="K489" s="8" t="n">
        <x:v>2.336072364461766</x:v>
      </x:c>
      <x:c r="L489" s="8" t="n">
        <x:v>0</x:v>
      </x:c>
      <x:c r="M489" s="7" t="n">
        <x:v>1021.384500010754</x:v>
      </x:c>
      <x:c r="N489" s="2" t="str">
        <x:v>qiskit.primitives.StatevectorSampler</x:v>
      </x:c>
      <x:c r="O489" s="9" t="str">
        <x:v>0110100001</x:v>
      </x:c>
    </x:row>
    <x:row r="490" ht="18" customHeight="1">
      <x:c r="A490" s="2" t="str">
        <x:v>controlled_n4_weather_capacity_loss_2</x:v>
      </x:c>
      <x:c r="B490" s="2" t="str">
        <x:v>BPSO</x:v>
      </x:c>
      <x:c r="C490" s="2" t="n">
        <x:v>456</x:v>
      </x:c>
      <x:c r="D490" s="2" t="str">
        <x:v>success</x:v>
      </x:c>
      <x:c r="E490" s="2" t="n">
        <x:v>10</x:v>
      </x:c>
      <x:c r="F490" s="7" t="n">
        <x:v>68.75000000000001</x:v>
      </x:c>
      <x:c r="G490" s="7" t="n">
        <x:v>92.1875</x:v>
      </x:c>
      <x:c r="H490" s="7" t="n">
        <x:f>IF(F490=0,"n.a.",100*(F490-G490)/F490)</x:f>
        <x:v>-34.090909090909065</x:v>
      </x:c>
      <x:c r="I490" s="7" t="n">
        <x:f>F490-G490</x:f>
        <x:v>-23.437499999999986</x:v>
      </x:c>
      <x:c r="J490" s="8" t="n">
        <x:v>2.336072364461766</x:v>
      </x:c>
      <x:c r="K490" s="8" t="n">
        <x:v>2.336072364461766</x:v>
      </x:c>
      <x:c r="L490" s="8" t="n">
        <x:v>0</x:v>
      </x:c>
      <x:c r="M490" s="7" t="n">
        <x:v>22.219899998162873</x:v>
      </x:c>
      <x:c r="N490" s="2" t="str">
        <x:v>repository_particle_dynamics_on_frozen_qubo</x:v>
      </x:c>
      <x:c r="O490" s="9" t="str">
        <x:v>0110001100</x:v>
      </x:c>
    </x:row>
    <x:row r="491" ht="18" customHeight="1">
      <x:c r="A491" s="2" t="str">
        <x:v>controlled_n4_weather_capacity_loss_2</x:v>
      </x:c>
      <x:c r="B491" s="2" t="str">
        <x:v>QAOA</x:v>
      </x:c>
      <x:c r="C491" s="2" t="n">
        <x:v>456</x:v>
      </x:c>
      <x:c r="D491" s="2" t="str">
        <x:v>success</x:v>
      </x:c>
      <x:c r="E491" s="2" t="n">
        <x:v>10</x:v>
      </x:c>
      <x:c r="F491" s="7" t="n">
        <x:v>68.75000000000001</x:v>
      </x:c>
      <x:c r="G491" s="7" t="n">
        <x:v>92.1875</x:v>
      </x:c>
      <x:c r="H491" s="7" t="n">
        <x:f>IF(F491=0,"n.a.",100*(F491-G491)/F491)</x:f>
        <x:v>-34.090909090909065</x:v>
      </x:c>
      <x:c r="I491" s="7" t="n">
        <x:f>F491-G491</x:f>
        <x:v>-23.437499999999986</x:v>
      </x:c>
      <x:c r="J491" s="8" t="n">
        <x:v>2.336072364461766</x:v>
      </x:c>
      <x:c r="K491" s="8" t="n">
        <x:v>2.336072364461766</x:v>
      </x:c>
      <x:c r="L491" s="8" t="n">
        <x:v>0</x:v>
      </x:c>
      <x:c r="M491" s="7" t="n">
        <x:v>804.5806000009179</x:v>
      </x:c>
      <x:c r="N491" s="2" t="str">
        <x:v>qiskit.primitives.StatevectorSampler</x:v>
      </x:c>
      <x:c r="O491" s="9" t="str">
        <x:v>0110100001</x:v>
      </x:c>
    </x:row>
    <x:row r="492" ht="18" customHeight="1">
      <x:c r="A492" s="2" t="str">
        <x:v>controlled_n4_weather_capacity_loss_2</x:v>
      </x:c>
      <x:c r="B492" s="2" t="str">
        <x:v>BPSO</x:v>
      </x:c>
      <x:c r="C492" s="2" t="n">
        <x:v>789</x:v>
      </x:c>
      <x:c r="D492" s="2" t="str">
        <x:v>success</x:v>
      </x:c>
      <x:c r="E492" s="2" t="n">
        <x:v>10</x:v>
      </x:c>
      <x:c r="F492" s="7" t="n">
        <x:v>68.75000000000001</x:v>
      </x:c>
      <x:c r="G492" s="7" t="n">
        <x:v>92.1875</x:v>
      </x:c>
      <x:c r="H492" s="7" t="n">
        <x:f>IF(F492=0,"n.a.",100*(F492-G492)/F492)</x:f>
        <x:v>-34.090909090909065</x:v>
      </x:c>
      <x:c r="I492" s="7" t="n">
        <x:f>F492-G492</x:f>
        <x:v>-23.437499999999986</x:v>
      </x:c>
      <x:c r="J492" s="8" t="n">
        <x:v>2.336072364461766</x:v>
      </x:c>
      <x:c r="K492" s="8" t="n">
        <x:v>2.336072364461766</x:v>
      </x:c>
      <x:c r="L492" s="8" t="n">
        <x:v>0</x:v>
      </x:c>
      <x:c r="M492" s="7" t="n">
        <x:v>20.399600005475804</x:v>
      </x:c>
      <x:c r="N492" s="2" t="str">
        <x:v>repository_particle_dynamics_on_frozen_qubo</x:v>
      </x:c>
      <x:c r="O492" s="9" t="str">
        <x:v>0110001010</x:v>
      </x:c>
    </x:row>
    <x:row r="493" ht="18" customHeight="1">
      <x:c r="A493" s="2" t="str">
        <x:v>controlled_n4_weather_capacity_loss_2</x:v>
      </x:c>
      <x:c r="B493" s="2" t="str">
        <x:v>QAOA</x:v>
      </x:c>
      <x:c r="C493" s="2" t="n">
        <x:v>789</x:v>
      </x:c>
      <x:c r="D493" s="2" t="str">
        <x:v>success</x:v>
      </x:c>
      <x:c r="E493" s="2" t="n">
        <x:v>10</x:v>
      </x:c>
      <x:c r="F493" s="7" t="n">
        <x:v>68.75000000000001</x:v>
      </x:c>
      <x:c r="G493" s="7" t="n">
        <x:v>92.1875</x:v>
      </x:c>
      <x:c r="H493" s="7" t="n">
        <x:f>IF(F493=0,"n.a.",100*(F493-G493)/F493)</x:f>
        <x:v>-34.090909090909065</x:v>
      </x:c>
      <x:c r="I493" s="7" t="n">
        <x:f>F493-G493</x:f>
        <x:v>-23.437499999999986</x:v>
      </x:c>
      <x:c r="J493" s="8" t="n">
        <x:v>2.336072364461766</x:v>
      </x:c>
      <x:c r="K493" s="8" t="n">
        <x:v>2.336072364461766</x:v>
      </x:c>
      <x:c r="L493" s="8" t="n">
        <x:v>0</x:v>
      </x:c>
      <x:c r="M493" s="7" t="n">
        <x:v>788.814799991087</x:v>
      </x:c>
      <x:c r="N493" s="2" t="str">
        <x:v>qiskit.primitives.StatevectorSampler</x:v>
      </x:c>
      <x:c r="O493" s="9" t="str">
        <x:v>1010010010</x:v>
      </x:c>
    </x:row>
    <x:row r="494" ht="18" customHeight="1">
      <x:c r="A494" s="2" t="str">
        <x:v>controlled_n4_weather_capacity_loss_2</x:v>
      </x:c>
      <x:c r="B494" s="2" t="str">
        <x:v>BPSO</x:v>
      </x:c>
      <x:c r="C494" s="2" t="n">
        <x:v>2026</x:v>
      </x:c>
      <x:c r="D494" s="2" t="str">
        <x:v>success</x:v>
      </x:c>
      <x:c r="E494" s="2" t="n">
        <x:v>10</x:v>
      </x:c>
      <x:c r="F494" s="7" t="n">
        <x:v>68.75000000000001</x:v>
      </x:c>
      <x:c r="G494" s="7" t="n">
        <x:v>92.1875</x:v>
      </x:c>
      <x:c r="H494" s="7" t="n">
        <x:f>IF(F494=0,"n.a.",100*(F494-G494)/F494)</x:f>
        <x:v>-34.090909090909065</x:v>
      </x:c>
      <x:c r="I494" s="7" t="n">
        <x:f>F494-G494</x:f>
        <x:v>-23.437499999999986</x:v>
      </x:c>
      <x:c r="J494" s="8" t="n">
        <x:v>2.336072364461766</x:v>
      </x:c>
      <x:c r="K494" s="8" t="n">
        <x:v>2.336072364461766</x:v>
      </x:c>
      <x:c r="L494" s="8" t="n">
        <x:v>0</x:v>
      </x:c>
      <x:c r="M494" s="7" t="n">
        <x:v>20.917700006975792</x:v>
      </x:c>
      <x:c r="N494" s="2" t="str">
        <x:v>repository_particle_dynamics_on_frozen_qubo</x:v>
      </x:c>
      <x:c r="O494" s="9" t="str">
        <x:v>1010100001</x:v>
      </x:c>
    </x:row>
    <x:row r="495" ht="18" customHeight="1">
      <x:c r="A495" s="2" t="str">
        <x:v>controlled_n4_weather_capacity_loss_2</x:v>
      </x:c>
      <x:c r="B495" s="2" t="str">
        <x:v>QAOA</x:v>
      </x:c>
      <x:c r="C495" s="2" t="n">
        <x:v>2026</x:v>
      </x:c>
      <x:c r="D495" s="2" t="str">
        <x:v>success</x:v>
      </x:c>
      <x:c r="E495" s="2" t="n">
        <x:v>10</x:v>
      </x:c>
      <x:c r="F495" s="7" t="n">
        <x:v>68.75000000000001</x:v>
      </x:c>
      <x:c r="G495" s="7" t="n">
        <x:v>92.1875</x:v>
      </x:c>
      <x:c r="H495" s="7" t="n">
        <x:f>IF(F495=0,"n.a.",100*(F495-G495)/F495)</x:f>
        <x:v>-34.090909090909065</x:v>
      </x:c>
      <x:c r="I495" s="7" t="n">
        <x:f>F495-G495</x:f>
        <x:v>-23.437499999999986</x:v>
      </x:c>
      <x:c r="J495" s="8" t="n">
        <x:v>2.336072364461766</x:v>
      </x:c>
      <x:c r="K495" s="8" t="n">
        <x:v>2.336072364461766</x:v>
      </x:c>
      <x:c r="L495" s="8" t="n">
        <x:v>0</x:v>
      </x:c>
      <x:c r="M495" s="7" t="n">
        <x:v>684.9479999946197</x:v>
      </x:c>
      <x:c r="N495" s="2" t="str">
        <x:v>qiskit.primitives.StatevectorSampler</x:v>
      </x:c>
      <x:c r="O495" s="9" t="str">
        <x:v>1100001010</x:v>
      </x:c>
    </x:row>
    <x:row r="496" ht="18" customHeight="1">
      <x:c r="A496" s="2" t="str">
        <x:v>controlled_n4_weather_capacity_loss_3</x:v>
      </x:c>
      <x:c r="B496" s="2" t="str">
        <x:v>Unmanaged</x:v>
      </x:c>
      <x:c r="C496" s="2"/>
      <x:c r="D496" s="2" t="str">
        <x:v>baseline</x:v>
      </x:c>
      <x:c r="E496" s="2" t="n">
        <x:v>10</x:v>
      </x:c>
      <x:c r="F496" s="7" t="n">
        <x:v>91.66666666666667</x:v>
      </x:c>
      <x:c r="G496" s="7" t="n">
        <x:v>91.66666666666667</x:v>
      </x:c>
      <x:c r="H496" s="7" t="n">
        <x:f>IF(F496=0,"n.a.",100*(F496-G496)/F496)</x:f>
        <x:v>0</x:v>
      </x:c>
      <x:c r="I496" s="7" t="n">
        <x:f>F496-G496</x:f>
        <x:v>0</x:v>
      </x:c>
      <x:c r="J496" s="8"/>
      <x:c r="K496" s="8" t="n">
        <x:v>11.377439218249886</x:v>
      </x:c>
      <x:c r="L496" s="8"/>
      <x:c r="M496" s="7"/>
      <x:c r="N496" s="2" t="str">
        <x:v>unmanaged_input</x:v>
      </x:c>
      <x:c r="O496" s="9"/>
    </x:row>
    <x:row r="497" ht="18" customHeight="1">
      <x:c r="A497" s="2" t="str">
        <x:v>controlled_n4_weather_capacity_loss_3</x:v>
      </x:c>
      <x:c r="B497" s="2" t="str">
        <x:v>Exact J</x:v>
      </x:c>
      <x:c r="C497" s="2"/>
      <x:c r="D497" s="2" t="str">
        <x:v>success</x:v>
      </x:c>
      <x:c r="E497" s="2" t="n">
        <x:v>10</x:v>
      </x:c>
      <x:c r="F497" s="7" t="n">
        <x:v>91.66666666666667</x:v>
      </x:c>
      <x:c r="G497" s="7" t="n">
        <x:v>154.16666666666669</x:v>
      </x:c>
      <x:c r="H497" s="7" t="n">
        <x:f>IF(F497=0,"n.a.",100*(F497-G497)/F497)</x:f>
        <x:v>-68.1818181818182</x:v>
      </x:c>
      <x:c r="I497" s="7" t="n">
        <x:f>F497-G497</x:f>
        <x:v>-62.500000000000014</x:v>
      </x:c>
      <x:c r="J497" s="8" t="n">
        <x:v>11.377439218249886</x:v>
      </x:c>
      <x:c r="K497" s="8" t="n">
        <x:v>11.377439218249886</x:v>
      </x:c>
      <x:c r="L497" s="8" t="n">
        <x:v>0</x:v>
      </x:c>
      <x:c r="M497" s="7"/>
      <x:c r="N497" s="2" t="str">
        <x:v>exhaustive_enumeration</x:v>
      </x:c>
      <x:c r="O497" s="9" t="str">
        <x:v>0011001100</x:v>
      </x:c>
    </x:row>
    <x:row r="498" ht="18" customHeight="1">
      <x:c r="A498" s="2" t="str">
        <x:v>controlled_n4_weather_capacity_loss_3</x:v>
      </x:c>
      <x:c r="B498" s="2" t="str">
        <x:v>Exact peak</x:v>
      </x:c>
      <x:c r="C498" s="2"/>
      <x:c r="D498" s="2" t="str">
        <x:v>success</x:v>
      </x:c>
      <x:c r="E498" s="2" t="n">
        <x:v>10</x:v>
      </x:c>
      <x:c r="F498" s="7" t="n">
        <x:v>91.66666666666667</x:v>
      </x:c>
      <x:c r="G498" s="7" t="n">
        <x:v>138.54166666666669</x:v>
      </x:c>
      <x:c r="H498" s="7" t="n">
        <x:f>IF(F498=0,"n.a.",100*(F498-G498)/F498)</x:f>
        <x:v>-51.136363636363654</x:v>
      </x:c>
      <x:c r="I498" s="7" t="n">
        <x:f>F498-G498</x:f>
        <x:v>-46.875000000000014</x:v>
      </x:c>
      <x:c r="J498" s="8" t="n">
        <x:v>11.404820169833464</x:v>
      </x:c>
      <x:c r="K498" s="8" t="n">
        <x:v>11.377439218249886</x:v>
      </x:c>
      <x:c r="L498" s="8" t="n">
        <x:v>0.02738095158357723</x:v>
      </x:c>
      <x:c r="M498" s="7"/>
      <x:c r="N498" s="2" t="str">
        <x:v>exhaustive_enumeration</x:v>
      </x:c>
      <x:c r="O498" s="9" t="str">
        <x:v>0011011100</x:v>
      </x:c>
    </x:row>
    <x:row r="499" ht="18" customHeight="1">
      <x:c r="A499" s="2" t="str">
        <x:v>controlled_n4_weather_capacity_loss_3</x:v>
      </x:c>
      <x:c r="B499" s="2" t="str">
        <x:v>BPSO</x:v>
      </x:c>
      <x:c r="C499" s="2" t="n">
        <x:v>42</x:v>
      </x:c>
      <x:c r="D499" s="2" t="str">
        <x:v>success</x:v>
      </x:c>
      <x:c r="E499" s="2" t="n">
        <x:v>10</x:v>
      </x:c>
      <x:c r="F499" s="7" t="n">
        <x:v>91.66666666666667</x:v>
      </x:c>
      <x:c r="G499" s="7" t="n">
        <x:v>154.16666666666669</x:v>
      </x:c>
      <x:c r="H499" s="7" t="n">
        <x:f>IF(F499=0,"n.a.",100*(F499-G499)/F499)</x:f>
        <x:v>-68.1818181818182</x:v>
      </x:c>
      <x:c r="I499" s="7" t="n">
        <x:f>F499-G499</x:f>
        <x:v>-62.500000000000014</x:v>
      </x:c>
      <x:c r="J499" s="8" t="n">
        <x:v>11.377439218249888</x:v>
      </x:c>
      <x:c r="K499" s="8" t="n">
        <x:v>11.377439218249886</x:v>
      </x:c>
      <x:c r="L499" s="8" t="n">
        <x:v>1.7763568394002505e-15</x:v>
      </x:c>
      <x:c r="M499" s="7" t="n">
        <x:v>21.208599995588884</x:v>
      </x:c>
      <x:c r="N499" s="2" t="str">
        <x:v>repository_particle_dynamics_on_frozen_qubo</x:v>
      </x:c>
      <x:c r="O499" s="9" t="str">
        <x:v>1011100001</x:v>
      </x:c>
    </x:row>
    <x:row r="500" ht="18" customHeight="1">
      <x:c r="A500" s="2" t="str">
        <x:v>controlled_n4_weather_capacity_loss_3</x:v>
      </x:c>
      <x:c r="B500" s="2" t="str">
        <x:v>QAOA</x:v>
      </x:c>
      <x:c r="C500" s="2" t="n">
        <x:v>42</x:v>
      </x:c>
      <x:c r="D500" s="2" t="str">
        <x:v>success</x:v>
      </x:c>
      <x:c r="E500" s="2" t="n">
        <x:v>10</x:v>
      </x:c>
      <x:c r="F500" s="7" t="n">
        <x:v>91.66666666666667</x:v>
      </x:c>
      <x:c r="G500" s="7" t="n">
        <x:v>154.16666666666669</x:v>
      </x:c>
      <x:c r="H500" s="7" t="n">
        <x:f>IF(F500=0,"n.a.",100*(F500-G500)/F500)</x:f>
        <x:v>-68.1818181818182</x:v>
      </x:c>
      <x:c r="I500" s="7" t="n">
        <x:f>F500-G500</x:f>
        <x:v>-62.500000000000014</x:v>
      </x:c>
      <x:c r="J500" s="8" t="n">
        <x:v>11.377439218249886</x:v>
      </x:c>
      <x:c r="K500" s="8" t="n">
        <x:v>11.377439218249886</x:v>
      </x:c>
      <x:c r="L500" s="8" t="n">
        <x:v>0</x:v>
      </x:c>
      <x:c r="M500" s="7" t="n">
        <x:v>713.7320999900112</x:v>
      </x:c>
      <x:c r="N500" s="2" t="str">
        <x:v>qiskit.primitives.StatevectorSampler</x:v>
      </x:c>
      <x:c r="O500" s="9" t="str">
        <x:v>1010100100</x:v>
      </x:c>
    </x:row>
    <x:row r="501" ht="18" customHeight="1">
      <x:c r="A501" s="2" t="str">
        <x:v>controlled_n4_weather_capacity_loss_3</x:v>
      </x:c>
      <x:c r="B501" s="2" t="str">
        <x:v>BPSO</x:v>
      </x:c>
      <x:c r="C501" s="2" t="n">
        <x:v>123</x:v>
      </x:c>
      <x:c r="D501" s="2" t="str">
        <x:v>success</x:v>
      </x:c>
      <x:c r="E501" s="2" t="n">
        <x:v>10</x:v>
      </x:c>
      <x:c r="F501" s="7" t="n">
        <x:v>91.66666666666667</x:v>
      </x:c>
      <x:c r="G501" s="7" t="n">
        <x:v>154.16666666666669</x:v>
      </x:c>
      <x:c r="H501" s="7" t="n">
        <x:f>IF(F501=0,"n.a.",100*(F501-G501)/F501)</x:f>
        <x:v>-68.1818181818182</x:v>
      </x:c>
      <x:c r="I501" s="7" t="n">
        <x:f>F501-G501</x:f>
        <x:v>-62.500000000000014</x:v>
      </x:c>
      <x:c r="J501" s="8" t="n">
        <x:v>11.377439218249886</x:v>
      </x:c>
      <x:c r="K501" s="8" t="n">
        <x:v>11.377439218249886</x:v>
      </x:c>
      <x:c r="L501" s="8" t="n">
        <x:v>0</x:v>
      </x:c>
      <x:c r="M501" s="7" t="n">
        <x:v>20.34529999946244</x:v>
      </x:c>
      <x:c r="N501" s="2" t="str">
        <x:v>repository_particle_dynamics_on_frozen_qubo</x:v>
      </x:c>
      <x:c r="O501" s="9" t="str">
        <x:v>1010011000</x:v>
      </x:c>
    </x:row>
    <x:row r="502" ht="18" customHeight="1">
      <x:c r="A502" s="2" t="str">
        <x:v>controlled_n4_weather_capacity_loss_3</x:v>
      </x:c>
      <x:c r="B502" s="2" t="str">
        <x:v>QAOA</x:v>
      </x:c>
      <x:c r="C502" s="2" t="n">
        <x:v>123</x:v>
      </x:c>
      <x:c r="D502" s="2" t="str">
        <x:v>success</x:v>
      </x:c>
      <x:c r="E502" s="2" t="n">
        <x:v>10</x:v>
      </x:c>
      <x:c r="F502" s="7" t="n">
        <x:v>91.66666666666667</x:v>
      </x:c>
      <x:c r="G502" s="7" t="n">
        <x:v>154.16666666666669</x:v>
      </x:c>
      <x:c r="H502" s="7" t="n">
        <x:f>IF(F502=0,"n.a.",100*(F502-G502)/F502)</x:f>
        <x:v>-68.1818181818182</x:v>
      </x:c>
      <x:c r="I502" s="7" t="n">
        <x:f>F502-G502</x:f>
        <x:v>-62.500000000000014</x:v>
      </x:c>
      <x:c r="J502" s="8" t="n">
        <x:v>11.377439218249886</x:v>
      </x:c>
      <x:c r="K502" s="8" t="n">
        <x:v>11.377439218249886</x:v>
      </x:c>
      <x:c r="L502" s="8" t="n">
        <x:v>0</x:v>
      </x:c>
      <x:c r="M502" s="7" t="n">
        <x:v>778.1191999965813</x:v>
      </x:c>
      <x:c r="N502" s="2" t="str">
        <x:v>qiskit.primitives.StatevectorSampler</x:v>
      </x:c>
      <x:c r="O502" s="9" t="str">
        <x:v>1100110000</x:v>
      </x:c>
    </x:row>
    <x:row r="503" ht="18" customHeight="1">
      <x:c r="A503" s="2" t="str">
        <x:v>controlled_n4_weather_capacity_loss_3</x:v>
      </x:c>
      <x:c r="B503" s="2" t="str">
        <x:v>BPSO</x:v>
      </x:c>
      <x:c r="C503" s="2" t="n">
        <x:v>456</x:v>
      </x:c>
      <x:c r="D503" s="2" t="str">
        <x:v>success</x:v>
      </x:c>
      <x:c r="E503" s="2" t="n">
        <x:v>10</x:v>
      </x:c>
      <x:c r="F503" s="7" t="n">
        <x:v>91.66666666666667</x:v>
      </x:c>
      <x:c r="G503" s="7" t="n">
        <x:v>154.16666666666669</x:v>
      </x:c>
      <x:c r="H503" s="7" t="n">
        <x:f>IF(F503=0,"n.a.",100*(F503-G503)/F503)</x:f>
        <x:v>-68.1818181818182</x:v>
      </x:c>
      <x:c r="I503" s="7" t="n">
        <x:f>F503-G503</x:f>
        <x:v>-62.500000000000014</x:v>
      </x:c>
      <x:c r="J503" s="8" t="n">
        <x:v>11.377439218249886</x:v>
      </x:c>
      <x:c r="K503" s="8" t="n">
        <x:v>11.377439218249886</x:v>
      </x:c>
      <x:c r="L503" s="8" t="n">
        <x:v>0</x:v>
      </x:c>
      <x:c r="M503" s="7" t="n">
        <x:v>20.332300002337433</x:v>
      </x:c>
      <x:c r="N503" s="2" t="str">
        <x:v>repository_particle_dynamics_on_frozen_qubo</x:v>
      </x:c>
      <x:c r="O503" s="9" t="str">
        <x:v>0101100100</x:v>
      </x:c>
    </x:row>
    <x:row r="504" ht="18" customHeight="1">
      <x:c r="A504" s="2" t="str">
        <x:v>controlled_n4_weather_capacity_loss_3</x:v>
      </x:c>
      <x:c r="B504" s="2" t="str">
        <x:v>QAOA</x:v>
      </x:c>
      <x:c r="C504" s="2" t="n">
        <x:v>456</x:v>
      </x:c>
      <x:c r="D504" s="2" t="str">
        <x:v>success</x:v>
      </x:c>
      <x:c r="E504" s="2" t="n">
        <x:v>10</x:v>
      </x:c>
      <x:c r="F504" s="7" t="n">
        <x:v>91.66666666666667</x:v>
      </x:c>
      <x:c r="G504" s="7" t="n">
        <x:v>154.16666666666669</x:v>
      </x:c>
      <x:c r="H504" s="7" t="n">
        <x:f>IF(F504=0,"n.a.",100*(F504-G504)/F504)</x:f>
        <x:v>-68.1818181818182</x:v>
      </x:c>
      <x:c r="I504" s="7" t="n">
        <x:f>F504-G504</x:f>
        <x:v>-62.500000000000014</x:v>
      </x:c>
      <x:c r="J504" s="8" t="n">
        <x:v>11.377439218249886</x:v>
      </x:c>
      <x:c r="K504" s="8" t="n">
        <x:v>11.377439218249886</x:v>
      </x:c>
      <x:c r="L504" s="8" t="n">
        <x:v>0</x:v>
      </x:c>
      <x:c r="M504" s="7" t="n">
        <x:v>771.0803000081796</x:v>
      </x:c>
      <x:c r="N504" s="2" t="str">
        <x:v>qiskit.primitives.StatevectorSampler</x:v>
      </x:c>
      <x:c r="O504" s="9" t="str">
        <x:v>0101101000</x:v>
      </x:c>
    </x:row>
    <x:row r="505" ht="18" customHeight="1">
      <x:c r="A505" s="2" t="str">
        <x:v>controlled_n4_weather_capacity_loss_3</x:v>
      </x:c>
      <x:c r="B505" s="2" t="str">
        <x:v>BPSO</x:v>
      </x:c>
      <x:c r="C505" s="2" t="n">
        <x:v>789</x:v>
      </x:c>
      <x:c r="D505" s="2" t="str">
        <x:v>success</x:v>
      </x:c>
      <x:c r="E505" s="2" t="n">
        <x:v>10</x:v>
      </x:c>
      <x:c r="F505" s="7" t="n">
        <x:v>91.66666666666667</x:v>
      </x:c>
      <x:c r="G505" s="7" t="n">
        <x:v>154.16666666666669</x:v>
      </x:c>
      <x:c r="H505" s="7" t="n">
        <x:f>IF(F505=0,"n.a.",100*(F505-G505)/F505)</x:f>
        <x:v>-68.1818181818182</x:v>
      </x:c>
      <x:c r="I505" s="7" t="n">
        <x:f>F505-G505</x:f>
        <x:v>-62.500000000000014</x:v>
      </x:c>
      <x:c r="J505" s="8" t="n">
        <x:v>11.377439218249888</x:v>
      </x:c>
      <x:c r="K505" s="8" t="n">
        <x:v>11.377439218249886</x:v>
      </x:c>
      <x:c r="L505" s="8" t="n">
        <x:v>1.7763568394002505e-15</x:v>
      </x:c>
      <x:c r="M505" s="7" t="n">
        <x:v>21.184199998970143</x:v>
      </x:c>
      <x:c r="N505" s="2" t="str">
        <x:v>repository_particle_dynamics_on_frozen_qubo</x:v>
      </x:c>
      <x:c r="O505" s="9" t="str">
        <x:v>1111000011</x:v>
      </x:c>
    </x:row>
    <x:row r="506" ht="18" customHeight="1">
      <x:c r="A506" s="2" t="str">
        <x:v>controlled_n4_weather_capacity_loss_3</x:v>
      </x:c>
      <x:c r="B506" s="2" t="str">
        <x:v>QAOA</x:v>
      </x:c>
      <x:c r="C506" s="2" t="n">
        <x:v>789</x:v>
      </x:c>
      <x:c r="D506" s="2" t="str">
        <x:v>success</x:v>
      </x:c>
      <x:c r="E506" s="2" t="n">
        <x:v>10</x:v>
      </x:c>
      <x:c r="F506" s="7" t="n">
        <x:v>91.66666666666667</x:v>
      </x:c>
      <x:c r="G506" s="7" t="n">
        <x:v>154.16666666666669</x:v>
      </x:c>
      <x:c r="H506" s="7" t="n">
        <x:f>IF(F506=0,"n.a.",100*(F506-G506)/F506)</x:f>
        <x:v>-68.1818181818182</x:v>
      </x:c>
      <x:c r="I506" s="7" t="n">
        <x:f>F506-G506</x:f>
        <x:v>-62.500000000000014</x:v>
      </x:c>
      <x:c r="J506" s="8" t="n">
        <x:v>11.377439218249886</x:v>
      </x:c>
      <x:c r="K506" s="8" t="n">
        <x:v>11.377439218249886</x:v>
      </x:c>
      <x:c r="L506" s="8" t="n">
        <x:v>0</x:v>
      </x:c>
      <x:c r="M506" s="7" t="n">
        <x:v>849.7933000035118</x:v>
      </x:c>
      <x:c r="N506" s="2" t="str">
        <x:v>qiskit.primitives.StatevectorSampler</x:v>
      </x:c>
      <x:c r="O506" s="9" t="str">
        <x:v>1001100100</x:v>
      </x:c>
    </x:row>
    <x:row r="507" ht="18" customHeight="1">
      <x:c r="A507" s="2" t="str">
        <x:v>controlled_n4_weather_capacity_loss_3</x:v>
      </x:c>
      <x:c r="B507" s="2" t="str">
        <x:v>BPSO</x:v>
      </x:c>
      <x:c r="C507" s="2" t="n">
        <x:v>2026</x:v>
      </x:c>
      <x:c r="D507" s="2" t="str">
        <x:v>success</x:v>
      </x:c>
      <x:c r="E507" s="2" t="n">
        <x:v>10</x:v>
      </x:c>
      <x:c r="F507" s="7" t="n">
        <x:v>91.66666666666667</x:v>
      </x:c>
      <x:c r="G507" s="7" t="n">
        <x:v>154.16666666666669</x:v>
      </x:c>
      <x:c r="H507" s="7" t="n">
        <x:f>IF(F507=0,"n.a.",100*(F507-G507)/F507)</x:f>
        <x:v>-68.1818181818182</x:v>
      </x:c>
      <x:c r="I507" s="7" t="n">
        <x:f>F507-G507</x:f>
        <x:v>-62.500000000000014</x:v>
      </x:c>
      <x:c r="J507" s="8" t="n">
        <x:v>11.377439218249886</x:v>
      </x:c>
      <x:c r="K507" s="8" t="n">
        <x:v>11.377439218249886</x:v>
      </x:c>
      <x:c r="L507" s="8" t="n">
        <x:v>0</x:v>
      </x:c>
      <x:c r="M507" s="7" t="n">
        <x:v>21.29150000109803</x:v>
      </x:c>
      <x:c r="N507" s="2" t="str">
        <x:v>repository_particle_dynamics_on_frozen_qubo</x:v>
      </x:c>
      <x:c r="O507" s="9" t="str">
        <x:v>1001010100</x:v>
      </x:c>
    </x:row>
    <x:row r="508" ht="18" customHeight="1">
      <x:c r="A508" s="2" t="str">
        <x:v>controlled_n4_weather_capacity_loss_3</x:v>
      </x:c>
      <x:c r="B508" s="2" t="str">
        <x:v>QAOA</x:v>
      </x:c>
      <x:c r="C508" s="2" t="n">
        <x:v>2026</x:v>
      </x:c>
      <x:c r="D508" s="2" t="str">
        <x:v>success</x:v>
      </x:c>
      <x:c r="E508" s="2" t="n">
        <x:v>10</x:v>
      </x:c>
      <x:c r="F508" s="7" t="n">
        <x:v>91.66666666666667</x:v>
      </x:c>
      <x:c r="G508" s="7" t="n">
        <x:v>154.16666666666669</x:v>
      </x:c>
      <x:c r="H508" s="7" t="n">
        <x:f>IF(F508=0,"n.a.",100*(F508-G508)/F508)</x:f>
        <x:v>-68.1818181818182</x:v>
      </x:c>
      <x:c r="I508" s="7" t="n">
        <x:f>F508-G508</x:f>
        <x:v>-62.500000000000014</x:v>
      </x:c>
      <x:c r="J508" s="8" t="n">
        <x:v>11.377439218249886</x:v>
      </x:c>
      <x:c r="K508" s="8" t="n">
        <x:v>11.377439218249886</x:v>
      </x:c>
      <x:c r="L508" s="8" t="n">
        <x:v>0</x:v>
      </x:c>
      <x:c r="M508" s="7" t="n">
        <x:v>696.2659999990137</x:v>
      </x:c>
      <x:c r="N508" s="2" t="str">
        <x:v>qiskit.primitives.StatevectorSampler</x:v>
      </x:c>
      <x:c r="O508" s="9" t="str">
        <x:v>0110001100</x:v>
      </x:c>
    </x:row>
    <x:row r="509" ht="18" customHeight="1">
      <x:c r="A509" s="2" t="str">
        <x:v>legacy_n5_01</x:v>
      </x:c>
      <x:c r="B509" s="2" t="str">
        <x:v>Unmanaged</x:v>
      </x:c>
      <x:c r="C509" s="2"/>
      <x:c r="D509" s="2" t="str">
        <x:v>baseline</x:v>
      </x:c>
      <x:c r="E509" s="2" t="n">
        <x:v>6</x:v>
      </x:c>
      <x:c r="F509" s="7" t="n">
        <x:v>83.06666666666666</x:v>
      </x:c>
      <x:c r="G509" s="7" t="n">
        <x:v>83.06666666666666</x:v>
      </x:c>
      <x:c r="H509" s="7" t="n">
        <x:f>IF(F509=0,"n.a.",100*(F509-G509)/F509)</x:f>
        <x:v>0</x:v>
      </x:c>
      <x:c r="I509" s="7" t="n">
        <x:f>F509-G509</x:f>
        <x:v>0</x:v>
      </x:c>
      <x:c r="J509" s="8"/>
      <x:c r="K509" s="8" t="n">
        <x:v>0.49130194425252594</x:v>
      </x:c>
      <x:c r="L509" s="8"/>
      <x:c r="M509" s="7"/>
      <x:c r="N509" s="2" t="str">
        <x:v>unmanaged_input</x:v>
      </x:c>
      <x:c r="O509" s="9"/>
    </x:row>
    <x:row r="510" ht="18" customHeight="1">
      <x:c r="A510" s="2" t="str">
        <x:v>legacy_n5_01</x:v>
      </x:c>
      <x:c r="B510" s="2" t="str">
        <x:v>Exact J</x:v>
      </x:c>
      <x:c r="C510" s="2"/>
      <x:c r="D510" s="2" t="str">
        <x:v>success</x:v>
      </x:c>
      <x:c r="E510" s="2" t="n">
        <x:v>6</x:v>
      </x:c>
      <x:c r="F510" s="7" t="n">
        <x:v>83.06666666666666</x:v>
      </x:c>
      <x:c r="G510" s="7" t="n">
        <x:v>76.00555555555555</x:v>
      </x:c>
      <x:c r="H510" s="7" t="n">
        <x:f>IF(F510=0,"n.a.",100*(F510-G510)/F510)</x:f>
        <x:v>8.500535045478873</x:v>
      </x:c>
      <x:c r="I510" s="7" t="n">
        <x:f>F510-G510</x:f>
        <x:v>7.061111111111117</x:v>
      </x:c>
      <x:c r="J510" s="8" t="n">
        <x:v>0.49130194425252594</x:v>
      </x:c>
      <x:c r="K510" s="8" t="n">
        <x:v>0.49130194425252594</x:v>
      </x:c>
      <x:c r="L510" s="8" t="n">
        <x:v>0</x:v>
      </x:c>
      <x:c r="M510" s="7"/>
      <x:c r="N510" s="2" t="str">
        <x:v>exhaustive_enumeration</x:v>
      </x:c>
      <x:c r="O510" s="9" t="str">
        <x:v>000011</x:v>
      </x:c>
    </x:row>
    <x:row r="511" ht="18" customHeight="1">
      <x:c r="A511" s="2" t="str">
        <x:v>legacy_n5_01</x:v>
      </x:c>
      <x:c r="B511" s="2" t="str">
        <x:v>Exact peak</x:v>
      </x:c>
      <x:c r="C511" s="2"/>
      <x:c r="D511" s="2" t="str">
        <x:v>success</x:v>
      </x:c>
      <x:c r="E511" s="2" t="n">
        <x:v>6</x:v>
      </x:c>
      <x:c r="F511" s="7" t="n">
        <x:v>83.06666666666666</x:v>
      </x:c>
      <x:c r="G511" s="7" t="n">
        <x:v>69.34705882352942</x:v>
      </x:c>
      <x:c r="H511" s="7" t="n">
        <x:f>IF(F511=0,"n.a.",100*(F511-G511)/F511)</x:f>
        <x:v>16.516381833632312</x:v>
      </x:c>
      <x:c r="I511" s="7" t="n">
        <x:f>F511-G511</x:f>
        <x:v>13.71960784313724</x:v>
      </x:c>
      <x:c r="J511" s="8" t="n">
        <x:v>0.527145145937266</x:v>
      </x:c>
      <x:c r="K511" s="8" t="n">
        <x:v>0.49130194425252594</x:v>
      </x:c>
      <x:c r="L511" s="8" t="n">
        <x:v>0.03584320168474009</x:v>
      </x:c>
      <x:c r="M511" s="7"/>
      <x:c r="N511" s="2" t="str">
        <x:v>exhaustive_enumeration</x:v>
      </x:c>
      <x:c r="O511" s="9" t="str">
        <x:v>000111</x:v>
      </x:c>
    </x:row>
    <x:row r="512" ht="18" customHeight="1">
      <x:c r="A512" s="2" t="str">
        <x:v>legacy_n5_01</x:v>
      </x:c>
      <x:c r="B512" s="2" t="str">
        <x:v>BPSO</x:v>
      </x:c>
      <x:c r="C512" s="2" t="n">
        <x:v>42</x:v>
      </x:c>
      <x:c r="D512" s="2" t="str">
        <x:v>success</x:v>
      </x:c>
      <x:c r="E512" s="2" t="n">
        <x:v>6</x:v>
      </x:c>
      <x:c r="F512" s="7" t="n">
        <x:v>83.06666666666666</x:v>
      </x:c>
      <x:c r="G512" s="7" t="n">
        <x:v>76.00555555555555</x:v>
      </x:c>
      <x:c r="H512" s="7" t="n">
        <x:f>IF(F512=0,"n.a.",100*(F512-G512)/F512)</x:f>
        <x:v>8.500535045478873</x:v>
      </x:c>
      <x:c r="I512" s="7" t="n">
        <x:f>F512-G512</x:f>
        <x:v>7.061111111111117</x:v>
      </x:c>
      <x:c r="J512" s="8" t="n">
        <x:v>0.49130194425252594</x:v>
      </x:c>
      <x:c r="K512" s="8" t="n">
        <x:v>0.49130194425252594</x:v>
      </x:c>
      <x:c r="L512" s="8" t="n">
        <x:v>0</x:v>
      </x:c>
      <x:c r="M512" s="7" t="n">
        <x:v>15.572600008454174</x:v>
      </x:c>
      <x:c r="N512" s="2" t="str">
        <x:v>repository_particle_dynamics_on_frozen_qubo</x:v>
      </x:c>
      <x:c r="O512" s="9" t="str">
        <x:v>100001</x:v>
      </x:c>
    </x:row>
    <x:row r="513" ht="18" customHeight="1">
      <x:c r="A513" s="2" t="str">
        <x:v>legacy_n5_01</x:v>
      </x:c>
      <x:c r="B513" s="2" t="str">
        <x:v>QAOA</x:v>
      </x:c>
      <x:c r="C513" s="2" t="n">
        <x:v>42</x:v>
      </x:c>
      <x:c r="D513" s="2" t="str">
        <x:v>success</x:v>
      </x:c>
      <x:c r="E513" s="2" t="n">
        <x:v>6</x:v>
      </x:c>
      <x:c r="F513" s="7" t="n">
        <x:v>83.06666666666666</x:v>
      </x:c>
      <x:c r="G513" s="7" t="n">
        <x:v>76.00555555555555</x:v>
      </x:c>
      <x:c r="H513" s="7" t="n">
        <x:f>IF(F513=0,"n.a.",100*(F513-G513)/F513)</x:f>
        <x:v>8.500535045478873</x:v>
      </x:c>
      <x:c r="I513" s="7" t="n">
        <x:f>F513-G513</x:f>
        <x:v>7.061111111111117</x:v>
      </x:c>
      <x:c r="J513" s="8" t="n">
        <x:v>0.49130194425252594</x:v>
      </x:c>
      <x:c r="K513" s="8" t="n">
        <x:v>0.49130194425252594</x:v>
      </x:c>
      <x:c r="L513" s="8" t="n">
        <x:v>0</x:v>
      </x:c>
      <x:c r="M513" s="7" t="n">
        <x:v>242.95279999205377</x:v>
      </x:c>
      <x:c r="N513" s="2" t="str">
        <x:v>qiskit.primitives.StatevectorSampler</x:v>
      </x:c>
      <x:c r="O513" s="9" t="str">
        <x:v>100001</x:v>
      </x:c>
    </x:row>
    <x:row r="514" ht="18" customHeight="1">
      <x:c r="A514" s="2" t="str">
        <x:v>legacy_n5_01</x:v>
      </x:c>
      <x:c r="B514" s="2" t="str">
        <x:v>BPSO</x:v>
      </x:c>
      <x:c r="C514" s="2" t="n">
        <x:v>123</x:v>
      </x:c>
      <x:c r="D514" s="2" t="str">
        <x:v>success</x:v>
      </x:c>
      <x:c r="E514" s="2" t="n">
        <x:v>6</x:v>
      </x:c>
      <x:c r="F514" s="7" t="n">
        <x:v>83.06666666666666</x:v>
      </x:c>
      <x:c r="G514" s="7" t="n">
        <x:v>76.00555555555555</x:v>
      </x:c>
      <x:c r="H514" s="7" t="n">
        <x:f>IF(F514=0,"n.a.",100*(F514-G514)/F514)</x:f>
        <x:v>8.500535045478873</x:v>
      </x:c>
      <x:c r="I514" s="7" t="n">
        <x:f>F514-G514</x:f>
        <x:v>7.061111111111117</x:v>
      </x:c>
      <x:c r="J514" s="8" t="n">
        <x:v>0.49130194425252594</x:v>
      </x:c>
      <x:c r="K514" s="8" t="n">
        <x:v>0.49130194425252594</x:v>
      </x:c>
      <x:c r="L514" s="8" t="n">
        <x:v>0</x:v>
      </x:c>
      <x:c r="M514" s="7" t="n">
        <x:v>15.59830000041984</x:v>
      </x:c>
      <x:c r="N514" s="2" t="str">
        <x:v>repository_particle_dynamics_on_frozen_qubo</x:v>
      </x:c>
      <x:c r="O514" s="9" t="str">
        <x:v>100001</x:v>
      </x:c>
    </x:row>
    <x:row r="515" ht="18" customHeight="1">
      <x:c r="A515" s="2" t="str">
        <x:v>legacy_n5_01</x:v>
      </x:c>
      <x:c r="B515" s="2" t="str">
        <x:v>QAOA</x:v>
      </x:c>
      <x:c r="C515" s="2" t="n">
        <x:v>123</x:v>
      </x:c>
      <x:c r="D515" s="2" t="str">
        <x:v>success</x:v>
      </x:c>
      <x:c r="E515" s="2" t="n">
        <x:v>6</x:v>
      </x:c>
      <x:c r="F515" s="7" t="n">
        <x:v>83.06666666666666</x:v>
      </x:c>
      <x:c r="G515" s="7" t="n">
        <x:v>76.00555555555555</x:v>
      </x:c>
      <x:c r="H515" s="7" t="n">
        <x:f>IF(F515=0,"n.a.",100*(F515-G515)/F515)</x:f>
        <x:v>8.500535045478873</x:v>
      </x:c>
      <x:c r="I515" s="7" t="n">
        <x:f>F515-G515</x:f>
        <x:v>7.061111111111117</x:v>
      </x:c>
      <x:c r="J515" s="8" t="n">
        <x:v>0.49130194425252594</x:v>
      </x:c>
      <x:c r="K515" s="8" t="n">
        <x:v>0.49130194425252594</x:v>
      </x:c>
      <x:c r="L515" s="8" t="n">
        <x:v>0</x:v>
      </x:c>
      <x:c r="M515" s="7" t="n">
        <x:v>277.8722000075504</x:v>
      </x:c>
      <x:c r="N515" s="2" t="str">
        <x:v>qiskit.primitives.StatevectorSampler</x:v>
      </x:c>
      <x:c r="O515" s="9" t="str">
        <x:v>101000</x:v>
      </x:c>
    </x:row>
    <x:row r="516" ht="18" customHeight="1">
      <x:c r="A516" s="2" t="str">
        <x:v>legacy_n5_01</x:v>
      </x:c>
      <x:c r="B516" s="2" t="str">
        <x:v>BPSO</x:v>
      </x:c>
      <x:c r="C516" s="2" t="n">
        <x:v>456</x:v>
      </x:c>
      <x:c r="D516" s="2" t="str">
        <x:v>success</x:v>
      </x:c>
      <x:c r="E516" s="2" t="n">
        <x:v>6</x:v>
      </x:c>
      <x:c r="F516" s="7" t="n">
        <x:v>83.06666666666666</x:v>
      </x:c>
      <x:c r="G516" s="7" t="n">
        <x:v>76.00555555555555</x:v>
      </x:c>
      <x:c r="H516" s="7" t="n">
        <x:f>IF(F516=0,"n.a.",100*(F516-G516)/F516)</x:f>
        <x:v>8.500535045478873</x:v>
      </x:c>
      <x:c r="I516" s="7" t="n">
        <x:f>F516-G516</x:f>
        <x:v>7.061111111111117</x:v>
      </x:c>
      <x:c r="J516" s="8" t="n">
        <x:v>0.49130194425252594</x:v>
      </x:c>
      <x:c r="K516" s="8" t="n">
        <x:v>0.49130194425252594</x:v>
      </x:c>
      <x:c r="L516" s="8" t="n">
        <x:v>0</x:v>
      </x:c>
      <x:c r="M516" s="7" t="n">
        <x:v>15.44859999557957</x:v>
      </x:c>
      <x:c r="N516" s="2" t="str">
        <x:v>repository_particle_dynamics_on_frozen_qubo</x:v>
      </x:c>
      <x:c r="O516" s="9" t="str">
        <x:v>000110</x:v>
      </x:c>
    </x:row>
    <x:row r="517" ht="18" customHeight="1">
      <x:c r="A517" s="2" t="str">
        <x:v>legacy_n5_01</x:v>
      </x:c>
      <x:c r="B517" s="2" t="str">
        <x:v>QAOA</x:v>
      </x:c>
      <x:c r="C517" s="2" t="n">
        <x:v>456</x:v>
      </x:c>
      <x:c r="D517" s="2" t="str">
        <x:v>success</x:v>
      </x:c>
      <x:c r="E517" s="2" t="n">
        <x:v>6</x:v>
      </x:c>
      <x:c r="F517" s="7" t="n">
        <x:v>83.06666666666666</x:v>
      </x:c>
      <x:c r="G517" s="7" t="n">
        <x:v>76.00555555555555</x:v>
      </x:c>
      <x:c r="H517" s="7" t="n">
        <x:f>IF(F517=0,"n.a.",100*(F517-G517)/F517)</x:f>
        <x:v>8.500535045478873</x:v>
      </x:c>
      <x:c r="I517" s="7" t="n">
        <x:f>F517-G517</x:f>
        <x:v>7.061111111111117</x:v>
      </x:c>
      <x:c r="J517" s="8" t="n">
        <x:v>0.49130194425252594</x:v>
      </x:c>
      <x:c r="K517" s="8" t="n">
        <x:v>0.49130194425252594</x:v>
      </x:c>
      <x:c r="L517" s="8" t="n">
        <x:v>0</x:v>
      </x:c>
      <x:c r="M517" s="7" t="n">
        <x:v>282.5671000027796</x:v>
      </x:c>
      <x:c r="N517" s="2" t="str">
        <x:v>qiskit.primitives.StatevectorSampler</x:v>
      </x:c>
      <x:c r="O517" s="9" t="str">
        <x:v>100001</x:v>
      </x:c>
    </x:row>
    <x:row r="518" ht="18" customHeight="1">
      <x:c r="A518" s="2" t="str">
        <x:v>legacy_n5_01</x:v>
      </x:c>
      <x:c r="B518" s="2" t="str">
        <x:v>BPSO</x:v>
      </x:c>
      <x:c r="C518" s="2" t="n">
        <x:v>789</x:v>
      </x:c>
      <x:c r="D518" s="2" t="str">
        <x:v>success</x:v>
      </x:c>
      <x:c r="E518" s="2" t="n">
        <x:v>6</x:v>
      </x:c>
      <x:c r="F518" s="7" t="n">
        <x:v>83.06666666666666</x:v>
      </x:c>
      <x:c r="G518" s="7" t="n">
        <x:v>76.00555555555555</x:v>
      </x:c>
      <x:c r="H518" s="7" t="n">
        <x:f>IF(F518=0,"n.a.",100*(F518-G518)/F518)</x:f>
        <x:v>8.500535045478873</x:v>
      </x:c>
      <x:c r="I518" s="7" t="n">
        <x:f>F518-G518</x:f>
        <x:v>7.061111111111117</x:v>
      </x:c>
      <x:c r="J518" s="8" t="n">
        <x:v>0.49130194425252594</x:v>
      </x:c>
      <x:c r="K518" s="8" t="n">
        <x:v>0.49130194425252594</x:v>
      </x:c>
      <x:c r="L518" s="8" t="n">
        <x:v>0</x:v>
      </x:c>
      <x:c r="M518" s="7" t="n">
        <x:v>15.875700002652593</x:v>
      </x:c>
      <x:c r="N518" s="2" t="str">
        <x:v>repository_particle_dynamics_on_frozen_qubo</x:v>
      </x:c>
      <x:c r="O518" s="9" t="str">
        <x:v>001001</x:v>
      </x:c>
    </x:row>
    <x:row r="519" ht="18" customHeight="1">
      <x:c r="A519" s="2" t="str">
        <x:v>legacy_n5_01</x:v>
      </x:c>
      <x:c r="B519" s="2" t="str">
        <x:v>QAOA</x:v>
      </x:c>
      <x:c r="C519" s="2" t="n">
        <x:v>789</x:v>
      </x:c>
      <x:c r="D519" s="2" t="str">
        <x:v>success</x:v>
      </x:c>
      <x:c r="E519" s="2" t="n">
        <x:v>6</x:v>
      </x:c>
      <x:c r="F519" s="7" t="n">
        <x:v>83.06666666666666</x:v>
      </x:c>
      <x:c r="G519" s="7" t="n">
        <x:v>76.00555555555555</x:v>
      </x:c>
      <x:c r="H519" s="7" t="n">
        <x:f>IF(F519=0,"n.a.",100*(F519-G519)/F519)</x:f>
        <x:v>8.500535045478873</x:v>
      </x:c>
      <x:c r="I519" s="7" t="n">
        <x:f>F519-G519</x:f>
        <x:v>7.061111111111117</x:v>
      </x:c>
      <x:c r="J519" s="8" t="n">
        <x:v>0.49130194425252594</x:v>
      </x:c>
      <x:c r="K519" s="8" t="n">
        <x:v>0.49130194425252594</x:v>
      </x:c>
      <x:c r="L519" s="8" t="n">
        <x:v>0</x:v>
      </x:c>
      <x:c r="M519" s="7" t="n">
        <x:v>288.4293999959482</x:v>
      </x:c>
      <x:c r="N519" s="2" t="str">
        <x:v>qiskit.primitives.StatevectorSampler</x:v>
      </x:c>
      <x:c r="O519" s="9" t="str">
        <x:v>000101</x:v>
      </x:c>
    </x:row>
    <x:row r="520" ht="18" customHeight="1">
      <x:c r="A520" s="2" t="str">
        <x:v>legacy_n5_01</x:v>
      </x:c>
      <x:c r="B520" s="2" t="str">
        <x:v>BPSO</x:v>
      </x:c>
      <x:c r="C520" s="2" t="n">
        <x:v>2026</x:v>
      </x:c>
      <x:c r="D520" s="2" t="str">
        <x:v>success</x:v>
      </x:c>
      <x:c r="E520" s="2" t="n">
        <x:v>6</x:v>
      </x:c>
      <x:c r="F520" s="7" t="n">
        <x:v>83.06666666666666</x:v>
      </x:c>
      <x:c r="G520" s="7" t="n">
        <x:v>76.00555555555555</x:v>
      </x:c>
      <x:c r="H520" s="7" t="n">
        <x:f>IF(F520=0,"n.a.",100*(F520-G520)/F520)</x:f>
        <x:v>8.500535045478873</x:v>
      </x:c>
      <x:c r="I520" s="7" t="n">
        <x:f>F520-G520</x:f>
        <x:v>7.061111111111117</x:v>
      </x:c>
      <x:c r="J520" s="8" t="n">
        <x:v>0.49130194425252594</x:v>
      </x:c>
      <x:c r="K520" s="8" t="n">
        <x:v>0.49130194425252594</x:v>
      </x:c>
      <x:c r="L520" s="8" t="n">
        <x:v>0</x:v>
      </x:c>
      <x:c r="M520" s="7" t="n">
        <x:v>16.877200003364123</x:v>
      </x:c>
      <x:c r="N520" s="2" t="str">
        <x:v>repository_particle_dynamics_on_frozen_qubo</x:v>
      </x:c>
      <x:c r="O520" s="9" t="str">
        <x:v>010001</x:v>
      </x:c>
    </x:row>
    <x:row r="521" ht="18" customHeight="1">
      <x:c r="A521" s="2" t="str">
        <x:v>legacy_n5_01</x:v>
      </x:c>
      <x:c r="B521" s="2" t="str">
        <x:v>QAOA</x:v>
      </x:c>
      <x:c r="C521" s="2" t="n">
        <x:v>2026</x:v>
      </x:c>
      <x:c r="D521" s="2" t="str">
        <x:v>success</x:v>
      </x:c>
      <x:c r="E521" s="2" t="n">
        <x:v>6</x:v>
      </x:c>
      <x:c r="F521" s="7" t="n">
        <x:v>83.06666666666666</x:v>
      </x:c>
      <x:c r="G521" s="7" t="n">
        <x:v>76.00555555555555</x:v>
      </x:c>
      <x:c r="H521" s="7" t="n">
        <x:f>IF(F521=0,"n.a.",100*(F521-G521)/F521)</x:f>
        <x:v>8.500535045478873</x:v>
      </x:c>
      <x:c r="I521" s="7" t="n">
        <x:f>F521-G521</x:f>
        <x:v>7.061111111111117</x:v>
      </x:c>
      <x:c r="J521" s="8" t="n">
        <x:v>0.49130194425252594</x:v>
      </x:c>
      <x:c r="K521" s="8" t="n">
        <x:v>0.49130194425252594</x:v>
      </x:c>
      <x:c r="L521" s="8" t="n">
        <x:v>0</x:v>
      </x:c>
      <x:c r="M521" s="7" t="n">
        <x:v>264.8831999977119</x:v>
      </x:c>
      <x:c r="N521" s="2" t="str">
        <x:v>qiskit.primitives.StatevectorSampler</x:v>
      </x:c>
      <x:c r="O521" s="9" t="str">
        <x:v>100100</x:v>
      </x:c>
    </x:row>
    <x:row r="522" ht="18" customHeight="1">
      <x:c r="A522" s="2" t="str">
        <x:v>legacy_n5_02</x:v>
      </x:c>
      <x:c r="B522" s="2" t="str">
        <x:v>Unmanaged</x:v>
      </x:c>
      <x:c r="C522" s="2"/>
      <x:c r="D522" s="2" t="str">
        <x:v>baseline</x:v>
      </x:c>
      <x:c r="E522" s="2" t="n">
        <x:v>8</x:v>
      </x:c>
      <x:c r="F522" s="7" t="n">
        <x:v>81.28571428571428</x:v>
      </x:c>
      <x:c r="G522" s="7" t="n">
        <x:v>81.28571428571428</x:v>
      </x:c>
      <x:c r="H522" s="7" t="n">
        <x:f>IF(F522=0,"n.a.",100*(F522-G522)/F522)</x:f>
        <x:v>0</x:v>
      </x:c>
      <x:c r="I522" s="7" t="n">
        <x:f>F522-G522</x:f>
        <x:v>0</x:v>
      </x:c>
      <x:c r="J522" s="8"/>
      <x:c r="K522" s="8" t="n">
        <x:v>0.28350154346878154</x:v>
      </x:c>
      <x:c r="L522" s="8"/>
      <x:c r="M522" s="7"/>
      <x:c r="N522" s="2" t="str">
        <x:v>unmanaged_input</x:v>
      </x:c>
      <x:c r="O522" s="9"/>
    </x:row>
    <x:row r="523" ht="18" customHeight="1">
      <x:c r="A523" s="2" t="str">
        <x:v>legacy_n5_02</x:v>
      </x:c>
      <x:c r="B523" s="2" t="str">
        <x:v>Exact J</x:v>
      </x:c>
      <x:c r="C523" s="2"/>
      <x:c r="D523" s="2" t="str">
        <x:v>success</x:v>
      </x:c>
      <x:c r="E523" s="2" t="n">
        <x:v>8</x:v>
      </x:c>
      <x:c r="F523" s="7" t="n">
        <x:v>81.28571428571428</x:v>
      </x:c>
      <x:c r="G523" s="7" t="n">
        <x:v>69.9695652173913</x:v>
      </x:c>
      <x:c r="H523" s="7" t="n">
        <x:f>IF(F523=0,"n.a.",100*(F523-G523)/F523)</x:f>
        <x:v>13.921448765950931</x:v>
      </x:c>
      <x:c r="I523" s="7" t="n">
        <x:f>F523-G523</x:f>
        <x:v>11.316149068322972</x:v>
      </x:c>
      <x:c r="J523" s="8" t="n">
        <x:v>0.28350154346878154</x:v>
      </x:c>
      <x:c r="K523" s="8" t="n">
        <x:v>0.28350154346878154</x:v>
      </x:c>
      <x:c r="L523" s="8" t="n">
        <x:v>0</x:v>
      </x:c>
      <x:c r="M523" s="7"/>
      <x:c r="N523" s="2" t="str">
        <x:v>exhaustive_enumeration</x:v>
      </x:c>
      <x:c r="O523" s="9" t="str">
        <x:v>01110011</x:v>
      </x:c>
    </x:row>
    <x:row r="524" ht="18" customHeight="1">
      <x:c r="A524" s="2" t="str">
        <x:v>legacy_n5_02</x:v>
      </x:c>
      <x:c r="B524" s="2" t="str">
        <x:v>Exact peak</x:v>
      </x:c>
      <x:c r="C524" s="2"/>
      <x:c r="D524" s="2" t="str">
        <x:v>success</x:v>
      </x:c>
      <x:c r="E524" s="2" t="n">
        <x:v>8</x:v>
      </x:c>
      <x:c r="F524" s="7" t="n">
        <x:v>81.28571428571428</x:v>
      </x:c>
      <x:c r="G524" s="7" t="n">
        <x:v>69.9695652173913</x:v>
      </x:c>
      <x:c r="H524" s="7" t="n">
        <x:f>IF(F524=0,"n.a.",100*(F524-G524)/F524)</x:f>
        <x:v>13.921448765950931</x:v>
      </x:c>
      <x:c r="I524" s="7" t="n">
        <x:f>F524-G524</x:f>
        <x:v>11.316149068322972</x:v>
      </x:c>
      <x:c r="J524" s="8" t="n">
        <x:v>0.28350154346878154</x:v>
      </x:c>
      <x:c r="K524" s="8" t="n">
        <x:v>0.28350154346878154</x:v>
      </x:c>
      <x:c r="L524" s="8" t="n">
        <x:v>0</x:v>
      </x:c>
      <x:c r="M524" s="7"/>
      <x:c r="N524" s="2" t="str">
        <x:v>exhaustive_enumeration</x:v>
      </x:c>
      <x:c r="O524" s="9" t="str">
        <x:v>01110011</x:v>
      </x:c>
    </x:row>
    <x:row r="525" ht="18" customHeight="1">
      <x:c r="A525" s="2" t="str">
        <x:v>legacy_n5_02</x:v>
      </x:c>
      <x:c r="B525" s="2" t="str">
        <x:v>BPSO</x:v>
      </x:c>
      <x:c r="C525" s="2" t="n">
        <x:v>42</x:v>
      </x:c>
      <x:c r="D525" s="2" t="str">
        <x:v>success</x:v>
      </x:c>
      <x:c r="E525" s="2" t="n">
        <x:v>8</x:v>
      </x:c>
      <x:c r="F525" s="7" t="n">
        <x:v>81.28571428571428</x:v>
      </x:c>
      <x:c r="G525" s="7" t="n">
        <x:v>69.9695652173913</x:v>
      </x:c>
      <x:c r="H525" s="7" t="n">
        <x:f>IF(F525=0,"n.a.",100*(F525-G525)/F525)</x:f>
        <x:v>13.921448765950931</x:v>
      </x:c>
      <x:c r="I525" s="7" t="n">
        <x:f>F525-G525</x:f>
        <x:v>11.316149068322972</x:v>
      </x:c>
      <x:c r="J525" s="8" t="n">
        <x:v>0.28350154346878154</x:v>
      </x:c>
      <x:c r="K525" s="8" t="n">
        <x:v>0.28350154346878154</x:v>
      </x:c>
      <x:c r="L525" s="8" t="n">
        <x:v>0</x:v>
      </x:c>
      <x:c r="M525" s="7" t="n">
        <x:v>18.195299999206327</x:v>
      </x:c>
      <x:c r="N525" s="2" t="str">
        <x:v>repository_particle_dynamics_on_frozen_qubo</x:v>
      </x:c>
      <x:c r="O525" s="9" t="str">
        <x:v>01110110</x:v>
      </x:c>
    </x:row>
    <x:row r="526" ht="18" customHeight="1">
      <x:c r="A526" s="2" t="str">
        <x:v>legacy_n5_02</x:v>
      </x:c>
      <x:c r="B526" s="2" t="str">
        <x:v>QAOA</x:v>
      </x:c>
      <x:c r="C526" s="2" t="n">
        <x:v>42</x:v>
      </x:c>
      <x:c r="D526" s="2" t="str">
        <x:v>success</x:v>
      </x:c>
      <x:c r="E526" s="2" t="n">
        <x:v>8</x:v>
      </x:c>
      <x:c r="F526" s="7" t="n">
        <x:v>81.28571428571428</x:v>
      </x:c>
      <x:c r="G526" s="7" t="n">
        <x:v>69.9695652173913</x:v>
      </x:c>
      <x:c r="H526" s="7" t="n">
        <x:f>IF(F526=0,"n.a.",100*(F526-G526)/F526)</x:f>
        <x:v>13.921448765950931</x:v>
      </x:c>
      <x:c r="I526" s="7" t="n">
        <x:f>F526-G526</x:f>
        <x:v>11.316149068322972</x:v>
      </x:c>
      <x:c r="J526" s="8" t="n">
        <x:v>0.28350154346878154</x:v>
      </x:c>
      <x:c r="K526" s="8" t="n">
        <x:v>0.28350154346878154</x:v>
      </x:c>
      <x:c r="L526" s="8" t="n">
        <x:v>0</x:v>
      </x:c>
      <x:c r="M526" s="7" t="n">
        <x:v>457.60080000036396</x:v>
      </x:c>
      <x:c r="N526" s="2" t="str">
        <x:v>qiskit.primitives.StatevectorSampler</x:v>
      </x:c>
      <x:c r="O526" s="9" t="str">
        <x:v>11100110</x:v>
      </x:c>
    </x:row>
    <x:row r="527" ht="18" customHeight="1">
      <x:c r="A527" s="2" t="str">
        <x:v>legacy_n5_02</x:v>
      </x:c>
      <x:c r="B527" s="2" t="str">
        <x:v>BPSO</x:v>
      </x:c>
      <x:c r="C527" s="2" t="n">
        <x:v>123</x:v>
      </x:c>
      <x:c r="D527" s="2" t="str">
        <x:v>success</x:v>
      </x:c>
      <x:c r="E527" s="2" t="n">
        <x:v>8</x:v>
      </x:c>
      <x:c r="F527" s="7" t="n">
        <x:v>81.28571428571428</x:v>
      </x:c>
      <x:c r="G527" s="7" t="n">
        <x:v>69.9695652173913</x:v>
      </x:c>
      <x:c r="H527" s="7" t="n">
        <x:f>IF(F527=0,"n.a.",100*(F527-G527)/F527)</x:f>
        <x:v>13.921448765950931</x:v>
      </x:c>
      <x:c r="I527" s="7" t="n">
        <x:f>F527-G527</x:f>
        <x:v>11.316149068322972</x:v>
      </x:c>
      <x:c r="J527" s="8" t="n">
        <x:v>0.28350154346878154</x:v>
      </x:c>
      <x:c r="K527" s="8" t="n">
        <x:v>0.28350154346878154</x:v>
      </x:c>
      <x:c r="L527" s="8" t="n">
        <x:v>0</x:v>
      </x:c>
      <x:c r="M527" s="7" t="n">
        <x:v>17.905000000610016</x:v>
      </x:c>
      <x:c r="N527" s="2" t="str">
        <x:v>repository_particle_dynamics_on_frozen_qubo</x:v>
      </x:c>
      <x:c r="O527" s="9" t="str">
        <x:v>10110011</x:v>
      </x:c>
    </x:row>
    <x:row r="528" ht="18" customHeight="1">
      <x:c r="A528" s="2" t="str">
        <x:v>legacy_n5_02</x:v>
      </x:c>
      <x:c r="B528" s="2" t="str">
        <x:v>QAOA</x:v>
      </x:c>
      <x:c r="C528" s="2" t="n">
        <x:v>123</x:v>
      </x:c>
      <x:c r="D528" s="2" t="str">
        <x:v>success</x:v>
      </x:c>
      <x:c r="E528" s="2" t="n">
        <x:v>8</x:v>
      </x:c>
      <x:c r="F528" s="7" t="n">
        <x:v>81.28571428571428</x:v>
      </x:c>
      <x:c r="G528" s="7" t="n">
        <x:v>69.9695652173913</x:v>
      </x:c>
      <x:c r="H528" s="7" t="n">
        <x:f>IF(F528=0,"n.a.",100*(F528-G528)/F528)</x:f>
        <x:v>13.921448765950931</x:v>
      </x:c>
      <x:c r="I528" s="7" t="n">
        <x:f>F528-G528</x:f>
        <x:v>11.316149068322972</x:v>
      </x:c>
      <x:c r="J528" s="8" t="n">
        <x:v>0.28350154346878154</x:v>
      </x:c>
      <x:c r="K528" s="8" t="n">
        <x:v>0.28350154346878154</x:v>
      </x:c>
      <x:c r="L528" s="8" t="n">
        <x:v>0</x:v>
      </x:c>
      <x:c r="M528" s="7" t="n">
        <x:v>550.3581000084523</x:v>
      </x:c>
      <x:c r="N528" s="2" t="str">
        <x:v>qiskit.primitives.StatevectorSampler</x:v>
      </x:c>
      <x:c r="O528" s="9" t="str">
        <x:v>11100101</x:v>
      </x:c>
    </x:row>
    <x:row r="529" ht="18" customHeight="1">
      <x:c r="A529" s="2" t="str">
        <x:v>legacy_n5_02</x:v>
      </x:c>
      <x:c r="B529" s="2" t="str">
        <x:v>BPSO</x:v>
      </x:c>
      <x:c r="C529" s="2" t="n">
        <x:v>456</x:v>
      </x:c>
      <x:c r="D529" s="2" t="str">
        <x:v>success</x:v>
      </x:c>
      <x:c r="E529" s="2" t="n">
        <x:v>8</x:v>
      </x:c>
      <x:c r="F529" s="7" t="n">
        <x:v>81.28571428571428</x:v>
      </x:c>
      <x:c r="G529" s="7" t="n">
        <x:v>69.9695652173913</x:v>
      </x:c>
      <x:c r="H529" s="7" t="n">
        <x:f>IF(F529=0,"n.a.",100*(F529-G529)/F529)</x:f>
        <x:v>13.921448765950931</x:v>
      </x:c>
      <x:c r="I529" s="7" t="n">
        <x:f>F529-G529</x:f>
        <x:v>11.316149068322972</x:v>
      </x:c>
      <x:c r="J529" s="8" t="n">
        <x:v>0.28350154346878154</x:v>
      </x:c>
      <x:c r="K529" s="8" t="n">
        <x:v>0.28350154346878154</x:v>
      </x:c>
      <x:c r="L529" s="8" t="n">
        <x:v>0</x:v>
      </x:c>
      <x:c r="M529" s="7" t="n">
        <x:v>18.552299996372312</x:v>
      </x:c>
      <x:c r="N529" s="2" t="str">
        <x:v>repository_particle_dynamics_on_frozen_qubo</x:v>
      </x:c>
      <x:c r="O529" s="9" t="str">
        <x:v>01111001</x:v>
      </x:c>
    </x:row>
    <x:row r="530" ht="18" customHeight="1">
      <x:c r="A530" s="2" t="str">
        <x:v>legacy_n5_02</x:v>
      </x:c>
      <x:c r="B530" s="2" t="str">
        <x:v>QAOA</x:v>
      </x:c>
      <x:c r="C530" s="2" t="n">
        <x:v>456</x:v>
      </x:c>
      <x:c r="D530" s="2" t="str">
        <x:v>success</x:v>
      </x:c>
      <x:c r="E530" s="2" t="n">
        <x:v>8</x:v>
      </x:c>
      <x:c r="F530" s="7" t="n">
        <x:v>81.28571428571428</x:v>
      </x:c>
      <x:c r="G530" s="7" t="n">
        <x:v>69.9695652173913</x:v>
      </x:c>
      <x:c r="H530" s="7" t="n">
        <x:f>IF(F530=0,"n.a.",100*(F530-G530)/F530)</x:f>
        <x:v>13.921448765950931</x:v>
      </x:c>
      <x:c r="I530" s="7" t="n">
        <x:f>F530-G530</x:f>
        <x:v>11.316149068322972</x:v>
      </x:c>
      <x:c r="J530" s="8" t="n">
        <x:v>0.28350154346878154</x:v>
      </x:c>
      <x:c r="K530" s="8" t="n">
        <x:v>0.28350154346878154</x:v>
      </x:c>
      <x:c r="L530" s="8" t="n">
        <x:v>0</x:v>
      </x:c>
      <x:c r="M530" s="7" t="n">
        <x:v>483.3590999915032</x:v>
      </x:c>
      <x:c r="N530" s="2" t="str">
        <x:v>qiskit.primitives.StatevectorSampler</x:v>
      </x:c>
      <x:c r="O530" s="9" t="str">
        <x:v>11011010</x:v>
      </x:c>
    </x:row>
    <x:row r="531" ht="18" customHeight="1">
      <x:c r="A531" s="2" t="str">
        <x:v>legacy_n5_02</x:v>
      </x:c>
      <x:c r="B531" s="2" t="str">
        <x:v>BPSO</x:v>
      </x:c>
      <x:c r="C531" s="2" t="n">
        <x:v>789</x:v>
      </x:c>
      <x:c r="D531" s="2" t="str">
        <x:v>success</x:v>
      </x:c>
      <x:c r="E531" s="2" t="n">
        <x:v>8</x:v>
      </x:c>
      <x:c r="F531" s="7" t="n">
        <x:v>81.28571428571428</x:v>
      </x:c>
      <x:c r="G531" s="7" t="n">
        <x:v>69.9695652173913</x:v>
      </x:c>
      <x:c r="H531" s="7" t="n">
        <x:f>IF(F531=0,"n.a.",100*(F531-G531)/F531)</x:f>
        <x:v>13.921448765950931</x:v>
      </x:c>
      <x:c r="I531" s="7" t="n">
        <x:f>F531-G531</x:f>
        <x:v>11.316149068322972</x:v>
      </x:c>
      <x:c r="J531" s="8" t="n">
        <x:v>0.28350154346878154</x:v>
      </x:c>
      <x:c r="K531" s="8" t="n">
        <x:v>0.28350154346878154</x:v>
      </x:c>
      <x:c r="L531" s="8" t="n">
        <x:v>0</x:v>
      </x:c>
      <x:c r="M531" s="7" t="n">
        <x:v>17.676599993137643</x:v>
      </x:c>
      <x:c r="N531" s="2" t="str">
        <x:v>repository_particle_dynamics_on_frozen_qubo</x:v>
      </x:c>
      <x:c r="O531" s="9" t="str">
        <x:v>11010101</x:v>
      </x:c>
    </x:row>
    <x:row r="532" ht="18" customHeight="1">
      <x:c r="A532" s="2" t="str">
        <x:v>legacy_n5_02</x:v>
      </x:c>
      <x:c r="B532" s="2" t="str">
        <x:v>QAOA</x:v>
      </x:c>
      <x:c r="C532" s="2" t="n">
        <x:v>789</x:v>
      </x:c>
      <x:c r="D532" s="2" t="str">
        <x:v>success</x:v>
      </x:c>
      <x:c r="E532" s="2" t="n">
        <x:v>8</x:v>
      </x:c>
      <x:c r="F532" s="7" t="n">
        <x:v>81.28571428571428</x:v>
      </x:c>
      <x:c r="G532" s="7" t="n">
        <x:v>69.9695652173913</x:v>
      </x:c>
      <x:c r="H532" s="7" t="n">
        <x:f>IF(F532=0,"n.a.",100*(F532-G532)/F532)</x:f>
        <x:v>13.921448765950931</x:v>
      </x:c>
      <x:c r="I532" s="7" t="n">
        <x:f>F532-G532</x:f>
        <x:v>11.316149068322972</x:v>
      </x:c>
      <x:c r="J532" s="8" t="n">
        <x:v>0.28350154346878154</x:v>
      </x:c>
      <x:c r="K532" s="8" t="n">
        <x:v>0.28350154346878154</x:v>
      </x:c>
      <x:c r="L532" s="8" t="n">
        <x:v>0</x:v>
      </x:c>
      <x:c r="M532" s="7" t="n">
        <x:v>470.9718000085559</x:v>
      </x:c>
      <x:c r="N532" s="2" t="str">
        <x:v>qiskit.primitives.StatevectorSampler</x:v>
      </x:c>
      <x:c r="O532" s="9" t="str">
        <x:v>10110011</x:v>
      </x:c>
    </x:row>
    <x:row r="533" ht="18" customHeight="1">
      <x:c r="A533" s="2" t="str">
        <x:v>legacy_n5_02</x:v>
      </x:c>
      <x:c r="B533" s="2" t="str">
        <x:v>BPSO</x:v>
      </x:c>
      <x:c r="C533" s="2" t="n">
        <x:v>2026</x:v>
      </x:c>
      <x:c r="D533" s="2" t="str">
        <x:v>success</x:v>
      </x:c>
      <x:c r="E533" s="2" t="n">
        <x:v>8</x:v>
      </x:c>
      <x:c r="F533" s="7" t="n">
        <x:v>81.28571428571428</x:v>
      </x:c>
      <x:c r="G533" s="7" t="n">
        <x:v>69.9695652173913</x:v>
      </x:c>
      <x:c r="H533" s="7" t="n">
        <x:f>IF(F533=0,"n.a.",100*(F533-G533)/F533)</x:f>
        <x:v>13.921448765950931</x:v>
      </x:c>
      <x:c r="I533" s="7" t="n">
        <x:f>F533-G533</x:f>
        <x:v>11.316149068322972</x:v>
      </x:c>
      <x:c r="J533" s="8" t="n">
        <x:v>0.28350154346878154</x:v>
      </x:c>
      <x:c r="K533" s="8" t="n">
        <x:v>0.28350154346878154</x:v>
      </x:c>
      <x:c r="L533" s="8" t="n">
        <x:v>0</x:v>
      </x:c>
      <x:c r="M533" s="7" t="n">
        <x:v>17.778800000087358</x:v>
      </x:c>
      <x:c r="N533" s="2" t="str">
        <x:v>repository_particle_dynamics_on_frozen_qubo</x:v>
      </x:c>
      <x:c r="O533" s="9" t="str">
        <x:v>11011010</x:v>
      </x:c>
    </x:row>
    <x:row r="534" ht="18" customHeight="1">
      <x:c r="A534" s="2" t="str">
        <x:v>legacy_n5_02</x:v>
      </x:c>
      <x:c r="B534" s="2" t="str">
        <x:v>QAOA</x:v>
      </x:c>
      <x:c r="C534" s="2" t="n">
        <x:v>2026</x:v>
      </x:c>
      <x:c r="D534" s="2" t="str">
        <x:v>success</x:v>
      </x:c>
      <x:c r="E534" s="2" t="n">
        <x:v>8</x:v>
      </x:c>
      <x:c r="F534" s="7" t="n">
        <x:v>81.28571428571428</x:v>
      </x:c>
      <x:c r="G534" s="7" t="n">
        <x:v>69.9695652173913</x:v>
      </x:c>
      <x:c r="H534" s="7" t="n">
        <x:f>IF(F534=0,"n.a.",100*(F534-G534)/F534)</x:f>
        <x:v>13.921448765950931</x:v>
      </x:c>
      <x:c r="I534" s="7" t="n">
        <x:f>F534-G534</x:f>
        <x:v>11.316149068322972</x:v>
      </x:c>
      <x:c r="J534" s="8" t="n">
        <x:v>0.28350154346878154</x:v>
      </x:c>
      <x:c r="K534" s="8" t="n">
        <x:v>0.28350154346878154</x:v>
      </x:c>
      <x:c r="L534" s="8" t="n">
        <x:v>0</x:v>
      </x:c>
      <x:c r="M534" s="7" t="n">
        <x:v>457.64570000756066</x:v>
      </x:c>
      <x:c r="N534" s="2" t="str">
        <x:v>qiskit.primitives.StatevectorSampler</x:v>
      </x:c>
      <x:c r="O534" s="9" t="str">
        <x:v>10110011</x:v>
      </x:c>
    </x:row>
    <x:row r="535" ht="18" customHeight="1">
      <x:c r="A535" s="2" t="str">
        <x:v>legacy_n5_03</x:v>
      </x:c>
      <x:c r="B535" s="2" t="str">
        <x:v>Unmanaged</x:v>
      </x:c>
      <x:c r="C535" s="2"/>
      <x:c r="D535" s="2" t="str">
        <x:v>baseline</x:v>
      </x:c>
      <x:c r="E535" s="2" t="n">
        <x:v>9</x:v>
      </x:c>
      <x:c r="F535" s="7" t="n">
        <x:v>81.81363636363636</x:v>
      </x:c>
      <x:c r="G535" s="7" t="n">
        <x:v>81.81363636363636</x:v>
      </x:c>
      <x:c r="H535" s="7" t="n">
        <x:f>IF(F535=0,"n.a.",100*(F535-G535)/F535)</x:f>
        <x:v>0</x:v>
      </x:c>
      <x:c r="I535" s="7" t="n">
        <x:f>F535-G535</x:f>
        <x:v>0</x:v>
      </x:c>
      <x:c r="J535" s="8"/>
      <x:c r="K535" s="8" t="n">
        <x:v>0.2863296693245765</x:v>
      </x:c>
      <x:c r="L535" s="8"/>
      <x:c r="M535" s="7"/>
      <x:c r="N535" s="2" t="str">
        <x:v>unmanaged_input</x:v>
      </x:c>
      <x:c r="O535" s="9"/>
    </x:row>
    <x:row r="536" ht="18" customHeight="1">
      <x:c r="A536" s="2" t="str">
        <x:v>legacy_n5_03</x:v>
      </x:c>
      <x:c r="B536" s="2" t="str">
        <x:v>Exact J</x:v>
      </x:c>
      <x:c r="C536" s="2"/>
      <x:c r="D536" s="2" t="str">
        <x:v>success</x:v>
      </x:c>
      <x:c r="E536" s="2" t="n">
        <x:v>9</x:v>
      </x:c>
      <x:c r="F536" s="7" t="n">
        <x:v>81.81363636363636</x:v>
      </x:c>
      <x:c r="G536" s="7" t="n">
        <x:v>68.68</x:v>
      </x:c>
      <x:c r="H536" s="7" t="n">
        <x:f>IF(F536=0,"n.a.",100*(F536-G536)/F536)</x:f>
        <x:v>16.05311406189232</x:v>
      </x:c>
      <x:c r="I536" s="7" t="n">
        <x:f>F536-G536</x:f>
        <x:v>13.133636363636356</x:v>
      </x:c>
      <x:c r="J536" s="8" t="n">
        <x:v>0.2863296693245765</x:v>
      </x:c>
      <x:c r="K536" s="8" t="n">
        <x:v>0.2863296693245765</x:v>
      </x:c>
      <x:c r="L536" s="8" t="n">
        <x:v>0</x:v>
      </x:c>
      <x:c r="M536" s="7"/>
      <x:c r="N536" s="2" t="str">
        <x:v>exhaustive_enumeration</x:v>
      </x:c>
      <x:c r="O536" s="9" t="str">
        <x:v>001101111</x:v>
      </x:c>
    </x:row>
    <x:row r="537" ht="18" customHeight="1">
      <x:c r="A537" s="2" t="str">
        <x:v>legacy_n5_03</x:v>
      </x:c>
      <x:c r="B537" s="2" t="str">
        <x:v>Exact peak</x:v>
      </x:c>
      <x:c r="C537" s="2"/>
      <x:c r="D537" s="2" t="str">
        <x:v>success</x:v>
      </x:c>
      <x:c r="E537" s="2" t="n">
        <x:v>9</x:v>
      </x:c>
      <x:c r="F537" s="7" t="n">
        <x:v>81.81363636363636</x:v>
      </x:c>
      <x:c r="G537" s="7" t="n">
        <x:v>68.68</x:v>
      </x:c>
      <x:c r="H537" s="7" t="n">
        <x:f>IF(F537=0,"n.a.",100*(F537-G537)/F537)</x:f>
        <x:v>16.05311406189232</x:v>
      </x:c>
      <x:c r="I537" s="7" t="n">
        <x:f>F537-G537</x:f>
        <x:v>13.133636363636356</x:v>
      </x:c>
      <x:c r="J537" s="8" t="n">
        <x:v>0.2863296693245765</x:v>
      </x:c>
      <x:c r="K537" s="8" t="n">
        <x:v>0.2863296693245765</x:v>
      </x:c>
      <x:c r="L537" s="8" t="n">
        <x:v>0</x:v>
      </x:c>
      <x:c r="M537" s="7"/>
      <x:c r="N537" s="2" t="str">
        <x:v>exhaustive_enumeration</x:v>
      </x:c>
      <x:c r="O537" s="9" t="str">
        <x:v>001101111</x:v>
      </x:c>
    </x:row>
    <x:row r="538" ht="18" customHeight="1">
      <x:c r="A538" s="2" t="str">
        <x:v>legacy_n5_03</x:v>
      </x:c>
      <x:c r="B538" s="2" t="str">
        <x:v>BPSO</x:v>
      </x:c>
      <x:c r="C538" s="2" t="n">
        <x:v>42</x:v>
      </x:c>
      <x:c r="D538" s="2" t="str">
        <x:v>success</x:v>
      </x:c>
      <x:c r="E538" s="2" t="n">
        <x:v>9</x:v>
      </x:c>
      <x:c r="F538" s="7" t="n">
        <x:v>81.81363636363636</x:v>
      </x:c>
      <x:c r="G538" s="7" t="n">
        <x:v>68.68</x:v>
      </x:c>
      <x:c r="H538" s="7" t="n">
        <x:f>IF(F538=0,"n.a.",100*(F538-G538)/F538)</x:f>
        <x:v>16.05311406189232</x:v>
      </x:c>
      <x:c r="I538" s="7" t="n">
        <x:f>F538-G538</x:f>
        <x:v>13.133636363636356</x:v>
      </x:c>
      <x:c r="J538" s="8" t="n">
        <x:v>0.2863296693245765</x:v>
      </x:c>
      <x:c r="K538" s="8" t="n">
        <x:v>0.2863296693245765</x:v>
      </x:c>
      <x:c r="L538" s="8" t="n">
        <x:v>0</x:v>
      </x:c>
      <x:c r="M538" s="7" t="n">
        <x:v>20.150199998170137</x:v>
      </x:c>
      <x:c r="N538" s="2" t="str">
        <x:v>repository_particle_dynamics_on_frozen_qubo</x:v>
      </x:c>
      <x:c r="O538" s="9" t="str">
        <x:v>101010111</x:v>
      </x:c>
    </x:row>
    <x:row r="539" ht="18" customHeight="1">
      <x:c r="A539" s="2" t="str">
        <x:v>legacy_n5_03</x:v>
      </x:c>
      <x:c r="B539" s="2" t="str">
        <x:v>QAOA</x:v>
      </x:c>
      <x:c r="C539" s="2" t="n">
        <x:v>42</x:v>
      </x:c>
      <x:c r="D539" s="2" t="str">
        <x:v>success</x:v>
      </x:c>
      <x:c r="E539" s="2" t="n">
        <x:v>9</x:v>
      </x:c>
      <x:c r="F539" s="7" t="n">
        <x:v>81.81363636363636</x:v>
      </x:c>
      <x:c r="G539" s="7" t="n">
        <x:v>68.68</x:v>
      </x:c>
      <x:c r="H539" s="7" t="n">
        <x:f>IF(F539=0,"n.a.",100*(F539-G539)/F539)</x:f>
        <x:v>16.05311406189232</x:v>
      </x:c>
      <x:c r="I539" s="7" t="n">
        <x:f>F539-G539</x:f>
        <x:v>13.133636363636356</x:v>
      </x:c>
      <x:c r="J539" s="8" t="n">
        <x:v>0.28632966932457604</x:v>
      </x:c>
      <x:c r="K539" s="8" t="n">
        <x:v>0.2863296693245765</x:v>
      </x:c>
      <x:c r="L539" s="8" t="n">
        <x:v>0</x:v>
      </x:c>
      <x:c r="M539" s="7" t="n">
        <x:v>650.0385999970604</x:v>
      </x:c>
      <x:c r="N539" s="2" t="str">
        <x:v>qiskit.primitives.StatevectorSampler</x:v>
      </x:c>
      <x:c r="O539" s="9" t="str">
        <x:v>011011011</x:v>
      </x:c>
    </x:row>
    <x:row r="540" ht="18" customHeight="1">
      <x:c r="A540" s="2" t="str">
        <x:v>legacy_n5_03</x:v>
      </x:c>
      <x:c r="B540" s="2" t="str">
        <x:v>BPSO</x:v>
      </x:c>
      <x:c r="C540" s="2" t="n">
        <x:v>123</x:v>
      </x:c>
      <x:c r="D540" s="2" t="str">
        <x:v>success</x:v>
      </x:c>
      <x:c r="E540" s="2" t="n">
        <x:v>9</x:v>
      </x:c>
      <x:c r="F540" s="7" t="n">
        <x:v>81.81363636363636</x:v>
      </x:c>
      <x:c r="G540" s="7" t="n">
        <x:v>68.68</x:v>
      </x:c>
      <x:c r="H540" s="7" t="n">
        <x:f>IF(F540=0,"n.a.",100*(F540-G540)/F540)</x:f>
        <x:v>16.05311406189232</x:v>
      </x:c>
      <x:c r="I540" s="7" t="n">
        <x:f>F540-G540</x:f>
        <x:v>13.133636363636356</x:v>
      </x:c>
      <x:c r="J540" s="8" t="n">
        <x:v>0.2863296693245765</x:v>
      </x:c>
      <x:c r="K540" s="8" t="n">
        <x:v>0.2863296693245765</x:v>
      </x:c>
      <x:c r="L540" s="8" t="n">
        <x:v>0</x:v>
      </x:c>
      <x:c r="M540" s="7" t="n">
        <x:v>19.768500002101064</x:v>
      </x:c>
      <x:c r="N540" s="2" t="str">
        <x:v>repository_particle_dynamics_on_frozen_qubo</x:v>
      </x:c>
      <x:c r="O540" s="9" t="str">
        <x:v>011010111</x:v>
      </x:c>
    </x:row>
    <x:row r="541" ht="18" customHeight="1">
      <x:c r="A541" s="2" t="str">
        <x:v>legacy_n5_03</x:v>
      </x:c>
      <x:c r="B541" s="2" t="str">
        <x:v>QAOA</x:v>
      </x:c>
      <x:c r="C541" s="2" t="n">
        <x:v>123</x:v>
      </x:c>
      <x:c r="D541" s="2" t="str">
        <x:v>success</x:v>
      </x:c>
      <x:c r="E541" s="2" t="n">
        <x:v>9</x:v>
      </x:c>
      <x:c r="F541" s="7" t="n">
        <x:v>81.81363636363636</x:v>
      </x:c>
      <x:c r="G541" s="7" t="n">
        <x:v>68.68</x:v>
      </x:c>
      <x:c r="H541" s="7" t="n">
        <x:f>IF(F541=0,"n.a.",100*(F541-G541)/F541)</x:f>
        <x:v>16.05311406189232</x:v>
      </x:c>
      <x:c r="I541" s="7" t="n">
        <x:f>F541-G541</x:f>
        <x:v>13.133636363636356</x:v>
      </x:c>
      <x:c r="J541" s="8" t="n">
        <x:v>0.28632966932457604</x:v>
      </x:c>
      <x:c r="K541" s="8" t="n">
        <x:v>0.2863296693245765</x:v>
      </x:c>
      <x:c r="L541" s="8" t="n">
        <x:v>0</x:v>
      </x:c>
      <x:c r="M541" s="7" t="n">
        <x:v>568.1236000091303</x:v>
      </x:c>
      <x:c r="N541" s="2" t="str">
        <x:v>qiskit.primitives.StatevectorSampler</x:v>
      </x:c>
      <x:c r="O541" s="9" t="str">
        <x:v>110011101</x:v>
      </x:c>
    </x:row>
    <x:row r="542" ht="18" customHeight="1">
      <x:c r="A542" s="2" t="str">
        <x:v>legacy_n5_03</x:v>
      </x:c>
      <x:c r="B542" s="2" t="str">
        <x:v>BPSO</x:v>
      </x:c>
      <x:c r="C542" s="2" t="n">
        <x:v>456</x:v>
      </x:c>
      <x:c r="D542" s="2" t="str">
        <x:v>success</x:v>
      </x:c>
      <x:c r="E542" s="2" t="n">
        <x:v>9</x:v>
      </x:c>
      <x:c r="F542" s="7" t="n">
        <x:v>81.81363636363636</x:v>
      </x:c>
      <x:c r="G542" s="7" t="n">
        <x:v>68.68</x:v>
      </x:c>
      <x:c r="H542" s="7" t="n">
        <x:f>IF(F542=0,"n.a.",100*(F542-G542)/F542)</x:f>
        <x:v>16.05311406189232</x:v>
      </x:c>
      <x:c r="I542" s="7" t="n">
        <x:f>F542-G542</x:f>
        <x:v>13.133636363636356</x:v>
      </x:c>
      <x:c r="J542" s="8" t="n">
        <x:v>0.2863296693245765</x:v>
      </x:c>
      <x:c r="K542" s="8" t="n">
        <x:v>0.2863296693245765</x:v>
      </x:c>
      <x:c r="L542" s="8" t="n">
        <x:v>0</x:v>
      </x:c>
      <x:c r="M542" s="7" t="n">
        <x:v>19.569700001738966</x:v>
      </x:c>
      <x:c r="N542" s="2" t="str">
        <x:v>repository_particle_dynamics_on_frozen_qubo</x:v>
      </x:c>
      <x:c r="O542" s="9" t="str">
        <x:v>101011110</x:v>
      </x:c>
    </x:row>
    <x:row r="543" ht="18" customHeight="1">
      <x:c r="A543" s="2" t="str">
        <x:v>legacy_n5_03</x:v>
      </x:c>
      <x:c r="B543" s="2" t="str">
        <x:v>QAOA</x:v>
      </x:c>
      <x:c r="C543" s="2" t="n">
        <x:v>456</x:v>
      </x:c>
      <x:c r="D543" s="2" t="str">
        <x:v>success</x:v>
      </x:c>
      <x:c r="E543" s="2" t="n">
        <x:v>9</x:v>
      </x:c>
      <x:c r="F543" s="7" t="n">
        <x:v>81.81363636363636</x:v>
      </x:c>
      <x:c r="G543" s="7" t="n">
        <x:v>68.68</x:v>
      </x:c>
      <x:c r="H543" s="7" t="n">
        <x:f>IF(F543=0,"n.a.",100*(F543-G543)/F543)</x:f>
        <x:v>16.05311406189232</x:v>
      </x:c>
      <x:c r="I543" s="7" t="n">
        <x:f>F543-G543</x:f>
        <x:v>13.133636363636356</x:v>
      </x:c>
      <x:c r="J543" s="8" t="n">
        <x:v>0.28632966932457604</x:v>
      </x:c>
      <x:c r="K543" s="8" t="n">
        <x:v>0.2863296693245765</x:v>
      </x:c>
      <x:c r="L543" s="8" t="n">
        <x:v>0</x:v>
      </x:c>
      <x:c r="M543" s="7" t="n">
        <x:v>505.5846000032034</x:v>
      </x:c>
      <x:c r="N543" s="2" t="str">
        <x:v>qiskit.primitives.StatevectorSampler</x:v>
      </x:c>
      <x:c r="O543" s="9" t="str">
        <x:v>001111101</x:v>
      </x:c>
    </x:row>
    <x:row r="544" ht="18" customHeight="1">
      <x:c r="A544" s="2" t="str">
        <x:v>legacy_n5_03</x:v>
      </x:c>
      <x:c r="B544" s="2" t="str">
        <x:v>BPSO</x:v>
      </x:c>
      <x:c r="C544" s="2" t="n">
        <x:v>789</x:v>
      </x:c>
      <x:c r="D544" s="2" t="str">
        <x:v>success</x:v>
      </x:c>
      <x:c r="E544" s="2" t="n">
        <x:v>9</x:v>
      </x:c>
      <x:c r="F544" s="7" t="n">
        <x:v>81.81363636363636</x:v>
      </x:c>
      <x:c r="G544" s="7" t="n">
        <x:v>68.68</x:v>
      </x:c>
      <x:c r="H544" s="7" t="n">
        <x:f>IF(F544=0,"n.a.",100*(F544-G544)/F544)</x:f>
        <x:v>16.05311406189232</x:v>
      </x:c>
      <x:c r="I544" s="7" t="n">
        <x:f>F544-G544</x:f>
        <x:v>13.133636363636356</x:v>
      </x:c>
      <x:c r="J544" s="8" t="n">
        <x:v>0.2863296693245765</x:v>
      </x:c>
      <x:c r="K544" s="8" t="n">
        <x:v>0.2863296693245765</x:v>
      </x:c>
      <x:c r="L544" s="8" t="n">
        <x:v>0</x:v>
      </x:c>
      <x:c r="M544" s="7" t="n">
        <x:v>19.22160001413431</x:v>
      </x:c>
      <x:c r="N544" s="2" t="str">
        <x:v>repository_particle_dynamics_on_frozen_qubo</x:v>
      </x:c>
      <x:c r="O544" s="9" t="str">
        <x:v>110011110</x:v>
      </x:c>
    </x:row>
    <x:row r="545" ht="18" customHeight="1">
      <x:c r="A545" s="2" t="str">
        <x:v>legacy_n5_03</x:v>
      </x:c>
      <x:c r="B545" s="2" t="str">
        <x:v>QAOA</x:v>
      </x:c>
      <x:c r="C545" s="2" t="n">
        <x:v>789</x:v>
      </x:c>
      <x:c r="D545" s="2" t="str">
        <x:v>success</x:v>
      </x:c>
      <x:c r="E545" s="2" t="n">
        <x:v>9</x:v>
      </x:c>
      <x:c r="F545" s="7" t="n">
        <x:v>81.81363636363636</x:v>
      </x:c>
      <x:c r="G545" s="7" t="n">
        <x:v>68.68</x:v>
      </x:c>
      <x:c r="H545" s="7" t="n">
        <x:f>IF(F545=0,"n.a.",100*(F545-G545)/F545)</x:f>
        <x:v>16.05311406189232</x:v>
      </x:c>
      <x:c r="I545" s="7" t="n">
        <x:f>F545-G545</x:f>
        <x:v>13.133636363636356</x:v>
      </x:c>
      <x:c r="J545" s="8" t="n">
        <x:v>0.28632966932457604</x:v>
      </x:c>
      <x:c r="K545" s="8" t="n">
        <x:v>0.2863296693245765</x:v>
      </x:c>
      <x:c r="L545" s="8" t="n">
        <x:v>0</x:v>
      </x:c>
      <x:c r="M545" s="7" t="n">
        <x:v>852.9928999923868</x:v>
      </x:c>
      <x:c r="N545" s="2" t="str">
        <x:v>qiskit.primitives.StatevectorSampler</x:v>
      </x:c>
      <x:c r="O545" s="9" t="str">
        <x:v>001110111</x:v>
      </x:c>
    </x:row>
    <x:row r="546" ht="18" customHeight="1">
      <x:c r="A546" s="2" t="str">
        <x:v>legacy_n5_03</x:v>
      </x:c>
      <x:c r="B546" s="2" t="str">
        <x:v>BPSO</x:v>
      </x:c>
      <x:c r="C546" s="2" t="n">
        <x:v>2026</x:v>
      </x:c>
      <x:c r="D546" s="2" t="str">
        <x:v>success</x:v>
      </x:c>
      <x:c r="E546" s="2" t="n">
        <x:v>9</x:v>
      </x:c>
      <x:c r="F546" s="7" t="n">
        <x:v>81.81363636363636</x:v>
      </x:c>
      <x:c r="G546" s="7" t="n">
        <x:v>68.68</x:v>
      </x:c>
      <x:c r="H546" s="7" t="n">
        <x:f>IF(F546=0,"n.a.",100*(F546-G546)/F546)</x:f>
        <x:v>16.05311406189232</x:v>
      </x:c>
      <x:c r="I546" s="7" t="n">
        <x:f>F546-G546</x:f>
        <x:v>13.133636363636356</x:v>
      </x:c>
      <x:c r="J546" s="8" t="n">
        <x:v>0.2863296693245765</x:v>
      </x:c>
      <x:c r="K546" s="8" t="n">
        <x:v>0.2863296693245765</x:v>
      </x:c>
      <x:c r="L546" s="8" t="n">
        <x:v>0</x:v>
      </x:c>
      <x:c r="M546" s="7" t="n">
        <x:v>20.329599996330217</x:v>
      </x:c>
      <x:c r="N546" s="2" t="str">
        <x:v>repository_particle_dynamics_on_frozen_qubo</x:v>
      </x:c>
      <x:c r="O546" s="9" t="str">
        <x:v>001101111</x:v>
      </x:c>
    </x:row>
    <x:row r="547" ht="18" customHeight="1">
      <x:c r="A547" s="2" t="str">
        <x:v>legacy_n5_03</x:v>
      </x:c>
      <x:c r="B547" s="2" t="str">
        <x:v>QAOA</x:v>
      </x:c>
      <x:c r="C547" s="2" t="n">
        <x:v>2026</x:v>
      </x:c>
      <x:c r="D547" s="2" t="str">
        <x:v>success</x:v>
      </x:c>
      <x:c r="E547" s="2" t="n">
        <x:v>9</x:v>
      </x:c>
      <x:c r="F547" s="7" t="n">
        <x:v>81.81363636363636</x:v>
      </x:c>
      <x:c r="G547" s="7" t="n">
        <x:v>68.68</x:v>
      </x:c>
      <x:c r="H547" s="7" t="n">
        <x:f>IF(F547=0,"n.a.",100*(F547-G547)/F547)</x:f>
        <x:v>16.05311406189232</x:v>
      </x:c>
      <x:c r="I547" s="7" t="n">
        <x:f>F547-G547</x:f>
        <x:v>13.133636363636356</x:v>
      </x:c>
      <x:c r="J547" s="8" t="n">
        <x:v>0.28632966932457604</x:v>
      </x:c>
      <x:c r="K547" s="8" t="n">
        <x:v>0.2863296693245765</x:v>
      </x:c>
      <x:c r="L547" s="8" t="n">
        <x:v>0</x:v>
      </x:c>
      <x:c r="M547" s="7" t="n">
        <x:v>575.0095000112196</x:v>
      </x:c>
      <x:c r="N547" s="2" t="str">
        <x:v>qiskit.primitives.StatevectorSampler</x:v>
      </x:c>
      <x:c r="O547" s="9" t="str">
        <x:v>011011011</x:v>
      </x:c>
    </x:row>
    <x:row r="548" ht="18" customHeight="1">
      <x:c r="A548" s="2" t="str">
        <x:v>legacy_n5_04</x:v>
      </x:c>
      <x:c r="B548" s="2" t="str">
        <x:v>Unmanaged</x:v>
      </x:c>
      <x:c r="C548" s="2"/>
      <x:c r="D548" s="2" t="str">
        <x:v>baseline</x:v>
      </x:c>
      <x:c r="E548" s="2" t="n">
        <x:v>7</x:v>
      </x:c>
      <x:c r="F548" s="7" t="n">
        <x:v>81.46111111111111</x:v>
      </x:c>
      <x:c r="G548" s="7" t="n">
        <x:v>81.46111111111111</x:v>
      </x:c>
      <x:c r="H548" s="7" t="n">
        <x:f>IF(F548=0,"n.a.",100*(F548-G548)/F548)</x:f>
        <x:v>0</x:v>
      </x:c>
      <x:c r="I548" s="7" t="n">
        <x:f>F548-G548</x:f>
        <x:v>0</x:v>
      </x:c>
      <x:c r="J548" s="8"/>
      <x:c r="K548" s="8" t="n">
        <x:v>0.06702545808910096</x:v>
      </x:c>
      <x:c r="L548" s="8"/>
      <x:c r="M548" s="7"/>
      <x:c r="N548" s="2" t="str">
        <x:v>unmanaged_input</x:v>
      </x:c>
      <x:c r="O548" s="9"/>
    </x:row>
    <x:row r="549" ht="18" customHeight="1">
      <x:c r="A549" s="2" t="str">
        <x:v>legacy_n5_04</x:v>
      </x:c>
      <x:c r="B549" s="2" t="str">
        <x:v>Exact J</x:v>
      </x:c>
      <x:c r="C549" s="2"/>
      <x:c r="D549" s="2" t="str">
        <x:v>success</x:v>
      </x:c>
      <x:c r="E549" s="2" t="n">
        <x:v>7</x:v>
      </x:c>
      <x:c r="F549" s="7" t="n">
        <x:v>81.46111111111111</x:v>
      </x:c>
      <x:c r="G549" s="7" t="n">
        <x:v>58.26521739130435</x:v>
      </x:c>
      <x:c r="H549" s="7" t="n">
        <x:f>IF(F549=0,"n.a.",100*(F549-G549)/F549)</x:f>
        <x:v>28.474806448647737</x:v>
      </x:c>
      <x:c r="I549" s="7" t="n">
        <x:f>F549-G549</x:f>
        <x:v>23.19589371980676</x:v>
      </x:c>
      <x:c r="J549" s="8" t="n">
        <x:v>0.06702545808910096</x:v>
      </x:c>
      <x:c r="K549" s="8" t="n">
        <x:v>0.06702545808910096</x:v>
      </x:c>
      <x:c r="L549" s="8" t="n">
        <x:v>0</x:v>
      </x:c>
      <x:c r="M549" s="7"/>
      <x:c r="N549" s="2" t="str">
        <x:v>exhaustive_enumeration</x:v>
      </x:c>
      <x:c r="O549" s="9" t="str">
        <x:v>0010011</x:v>
      </x:c>
    </x:row>
    <x:row r="550" ht="18" customHeight="1">
      <x:c r="A550" s="2" t="str">
        <x:v>legacy_n5_04</x:v>
      </x:c>
      <x:c r="B550" s="2" t="str">
        <x:v>Exact peak</x:v>
      </x:c>
      <x:c r="C550" s="2"/>
      <x:c r="D550" s="2" t="str">
        <x:v>success</x:v>
      </x:c>
      <x:c r="E550" s="2" t="n">
        <x:v>7</x:v>
      </x:c>
      <x:c r="F550" s="7" t="n">
        <x:v>81.46111111111111</x:v>
      </x:c>
      <x:c r="G550" s="7" t="n">
        <x:v>58.26521739130435</x:v>
      </x:c>
      <x:c r="H550" s="7" t="n">
        <x:f>IF(F550=0,"n.a.",100*(F550-G550)/F550)</x:f>
        <x:v>28.474806448647737</x:v>
      </x:c>
      <x:c r="I550" s="7" t="n">
        <x:f>F550-G550</x:f>
        <x:v>23.19589371980676</x:v>
      </x:c>
      <x:c r="J550" s="8" t="n">
        <x:v>0.06702545808910096</x:v>
      </x:c>
      <x:c r="K550" s="8" t="n">
        <x:v>0.06702545808910096</x:v>
      </x:c>
      <x:c r="L550" s="8" t="n">
        <x:v>0</x:v>
      </x:c>
      <x:c r="M550" s="7"/>
      <x:c r="N550" s="2" t="str">
        <x:v>exhaustive_enumeration</x:v>
      </x:c>
      <x:c r="O550" s="9" t="str">
        <x:v>0010011</x:v>
      </x:c>
    </x:row>
    <x:row r="551" ht="18" customHeight="1">
      <x:c r="A551" s="2" t="str">
        <x:v>legacy_n5_04</x:v>
      </x:c>
      <x:c r="B551" s="2" t="str">
        <x:v>BPSO</x:v>
      </x:c>
      <x:c r="C551" s="2" t="n">
        <x:v>42</x:v>
      </x:c>
      <x:c r="D551" s="2" t="str">
        <x:v>success</x:v>
      </x:c>
      <x:c r="E551" s="2" t="n">
        <x:v>7</x:v>
      </x:c>
      <x:c r="F551" s="7" t="n">
        <x:v>81.46111111111111</x:v>
      </x:c>
      <x:c r="G551" s="7" t="n">
        <x:v>58.26521739130435</x:v>
      </x:c>
      <x:c r="H551" s="7" t="n">
        <x:f>IF(F551=0,"n.a.",100*(F551-G551)/F551)</x:f>
        <x:v>28.474806448647737</x:v>
      </x:c>
      <x:c r="I551" s="7" t="n">
        <x:f>F551-G551</x:f>
        <x:v>23.19589371980676</x:v>
      </x:c>
      <x:c r="J551" s="8" t="n">
        <x:v>0.06702545808910096</x:v>
      </x:c>
      <x:c r="K551" s="8" t="n">
        <x:v>0.06702545808910096</x:v>
      </x:c>
      <x:c r="L551" s="8" t="n">
        <x:v>0</x:v>
      </x:c>
      <x:c r="M551" s="7" t="n">
        <x:v>17.320899991318583</x:v>
      </x:c>
      <x:c r="N551" s="2" t="str">
        <x:v>repository_particle_dynamics_on_frozen_qubo</x:v>
      </x:c>
      <x:c r="O551" s="9" t="str">
        <x:v>0100101</x:v>
      </x:c>
    </x:row>
    <x:row r="552" ht="18" customHeight="1">
      <x:c r="A552" s="2" t="str">
        <x:v>legacy_n5_04</x:v>
      </x:c>
      <x:c r="B552" s="2" t="str">
        <x:v>QAOA</x:v>
      </x:c>
      <x:c r="C552" s="2" t="n">
        <x:v>42</x:v>
      </x:c>
      <x:c r="D552" s="2" t="str">
        <x:v>success</x:v>
      </x:c>
      <x:c r="E552" s="2" t="n">
        <x:v>7</x:v>
      </x:c>
      <x:c r="F552" s="7" t="n">
        <x:v>81.46111111111111</x:v>
      </x:c>
      <x:c r="G552" s="7" t="n">
        <x:v>58.26521739130435</x:v>
      </x:c>
      <x:c r="H552" s="7" t="n">
        <x:f>IF(F552=0,"n.a.",100*(F552-G552)/F552)</x:f>
        <x:v>28.474806448647737</x:v>
      </x:c>
      <x:c r="I552" s="7" t="n">
        <x:f>F552-G552</x:f>
        <x:v>23.19589371980676</x:v>
      </x:c>
      <x:c r="J552" s="8" t="n">
        <x:v>0.06702545808910099</x:v>
      </x:c>
      <x:c r="K552" s="8" t="n">
        <x:v>0.06702545808910096</x:v>
      </x:c>
      <x:c r="L552" s="8" t="n">
        <x:v>2.7755575615628914e-17</x:v>
      </x:c>
      <x:c r="M552" s="7" t="n">
        <x:v>365.54810000234284</x:v>
      </x:c>
      <x:c r="N552" s="2" t="str">
        <x:v>qiskit.primitives.StatevectorSampler</x:v>
      </x:c>
      <x:c r="O552" s="9" t="str">
        <x:v>0010101</x:v>
      </x:c>
    </x:row>
    <x:row r="553" ht="18" customHeight="1">
      <x:c r="A553" s="2" t="str">
        <x:v>legacy_n5_04</x:v>
      </x:c>
      <x:c r="B553" s="2" t="str">
        <x:v>BPSO</x:v>
      </x:c>
      <x:c r="C553" s="2" t="n">
        <x:v>123</x:v>
      </x:c>
      <x:c r="D553" s="2" t="str">
        <x:v>success</x:v>
      </x:c>
      <x:c r="E553" s="2" t="n">
        <x:v>7</x:v>
      </x:c>
      <x:c r="F553" s="7" t="n">
        <x:v>81.46111111111111</x:v>
      </x:c>
      <x:c r="G553" s="7" t="n">
        <x:v>58.26521739130435</x:v>
      </x:c>
      <x:c r="H553" s="7" t="n">
        <x:f>IF(F553=0,"n.a.",100*(F553-G553)/F553)</x:f>
        <x:v>28.474806448647737</x:v>
      </x:c>
      <x:c r="I553" s="7" t="n">
        <x:f>F553-G553</x:f>
        <x:v>23.19589371980676</x:v>
      </x:c>
      <x:c r="J553" s="8" t="n">
        <x:v>0.06702545808910096</x:v>
      </x:c>
      <x:c r="K553" s="8" t="n">
        <x:v>0.06702545808910096</x:v>
      </x:c>
      <x:c r="L553" s="8" t="n">
        <x:v>0</x:v>
      </x:c>
      <x:c r="M553" s="7" t="n">
        <x:v>17.443999997340143</x:v>
      </x:c>
      <x:c r="N553" s="2" t="str">
        <x:v>repository_particle_dynamics_on_frozen_qubo</x:v>
      </x:c>
      <x:c r="O553" s="9" t="str">
        <x:v>1000011</x:v>
      </x:c>
    </x:row>
    <x:row r="554" ht="18" customHeight="1">
      <x:c r="A554" s="2" t="str">
        <x:v>legacy_n5_04</x:v>
      </x:c>
      <x:c r="B554" s="2" t="str">
        <x:v>QAOA</x:v>
      </x:c>
      <x:c r="C554" s="2" t="n">
        <x:v>123</x:v>
      </x:c>
      <x:c r="D554" s="2" t="str">
        <x:v>success</x:v>
      </x:c>
      <x:c r="E554" s="2" t="n">
        <x:v>7</x:v>
      </x:c>
      <x:c r="F554" s="7" t="n">
        <x:v>81.46111111111111</x:v>
      </x:c>
      <x:c r="G554" s="7" t="n">
        <x:v>58.26521739130435</x:v>
      </x:c>
      <x:c r="H554" s="7" t="n">
        <x:f>IF(F554=0,"n.a.",100*(F554-G554)/F554)</x:f>
        <x:v>28.474806448647737</x:v>
      </x:c>
      <x:c r="I554" s="7" t="n">
        <x:f>F554-G554</x:f>
        <x:v>23.19589371980676</x:v>
      </x:c>
      <x:c r="J554" s="8" t="n">
        <x:v>0.06702545808910099</x:v>
      </x:c>
      <x:c r="K554" s="8" t="n">
        <x:v>0.06702545808910096</x:v>
      </x:c>
      <x:c r="L554" s="8" t="n">
        <x:v>2.7755575615628914e-17</x:v>
      </x:c>
      <x:c r="M554" s="7" t="n">
        <x:v>398.6557000025641</x:v>
      </x:c>
      <x:c r="N554" s="2" t="str">
        <x:v>qiskit.primitives.StatevectorSampler</x:v>
      </x:c>
      <x:c r="O554" s="9" t="str">
        <x:v>0101100</x:v>
      </x:c>
    </x:row>
    <x:row r="555" ht="18" customHeight="1">
      <x:c r="A555" s="2" t="str">
        <x:v>legacy_n5_04</x:v>
      </x:c>
      <x:c r="B555" s="2" t="str">
        <x:v>BPSO</x:v>
      </x:c>
      <x:c r="C555" s="2" t="n">
        <x:v>456</x:v>
      </x:c>
      <x:c r="D555" s="2" t="str">
        <x:v>success</x:v>
      </x:c>
      <x:c r="E555" s="2" t="n">
        <x:v>7</x:v>
      </x:c>
      <x:c r="F555" s="7" t="n">
        <x:v>81.46111111111111</x:v>
      </x:c>
      <x:c r="G555" s="7" t="n">
        <x:v>58.26521739130435</x:v>
      </x:c>
      <x:c r="H555" s="7" t="n">
        <x:f>IF(F555=0,"n.a.",100*(F555-G555)/F555)</x:f>
        <x:v>28.474806448647737</x:v>
      </x:c>
      <x:c r="I555" s="7" t="n">
        <x:f>F555-G555</x:f>
        <x:v>23.19589371980676</x:v>
      </x:c>
      <x:c r="J555" s="8" t="n">
        <x:v>0.06702545808910096</x:v>
      </x:c>
      <x:c r="K555" s="8" t="n">
        <x:v>0.06702545808910096</x:v>
      </x:c>
      <x:c r="L555" s="8" t="n">
        <x:v>0</x:v>
      </x:c>
      <x:c r="M555" s="7" t="n">
        <x:v>17.851800002972595</x:v>
      </x:c>
      <x:c r="N555" s="2" t="str">
        <x:v>repository_particle_dynamics_on_frozen_qubo</x:v>
      </x:c>
      <x:c r="O555" s="9" t="str">
        <x:v>0101001</x:v>
      </x:c>
    </x:row>
    <x:row r="556" ht="18" customHeight="1">
      <x:c r="A556" s="2" t="str">
        <x:v>legacy_n5_04</x:v>
      </x:c>
      <x:c r="B556" s="2" t="str">
        <x:v>QAOA</x:v>
      </x:c>
      <x:c r="C556" s="2" t="n">
        <x:v>456</x:v>
      </x:c>
      <x:c r="D556" s="2" t="str">
        <x:v>success</x:v>
      </x:c>
      <x:c r="E556" s="2" t="n">
        <x:v>7</x:v>
      </x:c>
      <x:c r="F556" s="7" t="n">
        <x:v>81.46111111111111</x:v>
      </x:c>
      <x:c r="G556" s="7" t="n">
        <x:v>58.26521739130435</x:v>
      </x:c>
      <x:c r="H556" s="7" t="n">
        <x:f>IF(F556=0,"n.a.",100*(F556-G556)/F556)</x:f>
        <x:v>28.474806448647737</x:v>
      </x:c>
      <x:c r="I556" s="7" t="n">
        <x:f>F556-G556</x:f>
        <x:v>23.19589371980676</x:v>
      </x:c>
      <x:c r="J556" s="8" t="n">
        <x:v>0.06702545808910099</x:v>
      </x:c>
      <x:c r="K556" s="8" t="n">
        <x:v>0.06702545808910096</x:v>
      </x:c>
      <x:c r="L556" s="8" t="n">
        <x:v>2.7755575615628914e-17</x:v>
      </x:c>
      <x:c r="M556" s="7" t="n">
        <x:v>384.2238999932306</x:v>
      </x:c>
      <x:c r="N556" s="2" t="str">
        <x:v>qiskit.primitives.StatevectorSampler</x:v>
      </x:c>
      <x:c r="O556" s="9" t="str">
        <x:v>0010110</x:v>
      </x:c>
    </x:row>
    <x:row r="557" ht="18" customHeight="1">
      <x:c r="A557" s="2" t="str">
        <x:v>legacy_n5_04</x:v>
      </x:c>
      <x:c r="B557" s="2" t="str">
        <x:v>BPSO</x:v>
      </x:c>
      <x:c r="C557" s="2" t="n">
        <x:v>789</x:v>
      </x:c>
      <x:c r="D557" s="2" t="str">
        <x:v>success</x:v>
      </x:c>
      <x:c r="E557" s="2" t="n">
        <x:v>7</x:v>
      </x:c>
      <x:c r="F557" s="7" t="n">
        <x:v>81.46111111111111</x:v>
      </x:c>
      <x:c r="G557" s="7" t="n">
        <x:v>58.26521739130435</x:v>
      </x:c>
      <x:c r="H557" s="7" t="n">
        <x:f>IF(F557=0,"n.a.",100*(F557-G557)/F557)</x:f>
        <x:v>28.474806448647737</x:v>
      </x:c>
      <x:c r="I557" s="7" t="n">
        <x:f>F557-G557</x:f>
        <x:v>23.19589371980676</x:v>
      </x:c>
      <x:c r="J557" s="8" t="n">
        <x:v>0.06702545808910096</x:v>
      </x:c>
      <x:c r="K557" s="8" t="n">
        <x:v>0.06702545808910096</x:v>
      </x:c>
      <x:c r="L557" s="8" t="n">
        <x:v>0</x:v>
      </x:c>
      <x:c r="M557" s="7" t="n">
        <x:v>16.584299999522045</x:v>
      </x:c>
      <x:c r="N557" s="2" t="str">
        <x:v>repository_particle_dynamics_on_frozen_qubo</x:v>
      </x:c>
      <x:c r="O557" s="9" t="str">
        <x:v>1001001</x:v>
      </x:c>
    </x:row>
    <x:row r="558" ht="18" customHeight="1">
      <x:c r="A558" s="2" t="str">
        <x:v>legacy_n5_04</x:v>
      </x:c>
      <x:c r="B558" s="2" t="str">
        <x:v>QAOA</x:v>
      </x:c>
      <x:c r="C558" s="2" t="n">
        <x:v>789</x:v>
      </x:c>
      <x:c r="D558" s="2" t="str">
        <x:v>success</x:v>
      </x:c>
      <x:c r="E558" s="2" t="n">
        <x:v>7</x:v>
      </x:c>
      <x:c r="F558" s="7" t="n">
        <x:v>81.46111111111111</x:v>
      </x:c>
      <x:c r="G558" s="7" t="n">
        <x:v>58.26521739130435</x:v>
      </x:c>
      <x:c r="H558" s="7" t="n">
        <x:f>IF(F558=0,"n.a.",100*(F558-G558)/F558)</x:f>
        <x:v>28.474806448647737</x:v>
      </x:c>
      <x:c r="I558" s="7" t="n">
        <x:f>F558-G558</x:f>
        <x:v>23.19589371980676</x:v>
      </x:c>
      <x:c r="J558" s="8" t="n">
        <x:v>0.06702545808910099</x:v>
      </x:c>
      <x:c r="K558" s="8" t="n">
        <x:v>0.06702545808910096</x:v>
      </x:c>
      <x:c r="L558" s="8" t="n">
        <x:v>2.7755575615628914e-17</x:v>
      </x:c>
      <x:c r="M558" s="7" t="n">
        <x:v>308.15319999237545</x:v>
      </x:c>
      <x:c r="N558" s="2" t="str">
        <x:v>qiskit.primitives.StatevectorSampler</x:v>
      </x:c>
      <x:c r="O558" s="9" t="str">
        <x:v>0100101</x:v>
      </x:c>
    </x:row>
    <x:row r="559" ht="18" customHeight="1">
      <x:c r="A559" s="2" t="str">
        <x:v>legacy_n5_04</x:v>
      </x:c>
      <x:c r="B559" s="2" t="str">
        <x:v>BPSO</x:v>
      </x:c>
      <x:c r="C559" s="2" t="n">
        <x:v>2026</x:v>
      </x:c>
      <x:c r="D559" s="2" t="str">
        <x:v>success</x:v>
      </x:c>
      <x:c r="E559" s="2" t="n">
        <x:v>7</x:v>
      </x:c>
      <x:c r="F559" s="7" t="n">
        <x:v>81.46111111111111</x:v>
      </x:c>
      <x:c r="G559" s="7" t="n">
        <x:v>58.26521739130435</x:v>
      </x:c>
      <x:c r="H559" s="7" t="n">
        <x:f>IF(F559=0,"n.a.",100*(F559-G559)/F559)</x:f>
        <x:v>28.474806448647737</x:v>
      </x:c>
      <x:c r="I559" s="7" t="n">
        <x:f>F559-G559</x:f>
        <x:v>23.19589371980676</x:v>
      </x:c>
      <x:c r="J559" s="8" t="n">
        <x:v>0.06702545808910096</x:v>
      </x:c>
      <x:c r="K559" s="8" t="n">
        <x:v>0.06702545808910096</x:v>
      </x:c>
      <x:c r="L559" s="8" t="n">
        <x:v>0</x:v>
      </x:c>
      <x:c r="M559" s="7" t="n">
        <x:v>16.821400000480935</x:v>
      </x:c>
      <x:c r="N559" s="2" t="str">
        <x:v>repository_particle_dynamics_on_frozen_qubo</x:v>
      </x:c>
      <x:c r="O559" s="9" t="str">
        <x:v>0100011</x:v>
      </x:c>
    </x:row>
    <x:row r="560" ht="18" customHeight="1">
      <x:c r="A560" s="2" t="str">
        <x:v>legacy_n5_04</x:v>
      </x:c>
      <x:c r="B560" s="2" t="str">
        <x:v>QAOA</x:v>
      </x:c>
      <x:c r="C560" s="2" t="n">
        <x:v>2026</x:v>
      </x:c>
      <x:c r="D560" s="2" t="str">
        <x:v>success</x:v>
      </x:c>
      <x:c r="E560" s="2" t="n">
        <x:v>7</x:v>
      </x:c>
      <x:c r="F560" s="7" t="n">
        <x:v>81.46111111111111</x:v>
      </x:c>
      <x:c r="G560" s="7" t="n">
        <x:v>58.26521739130435</x:v>
      </x:c>
      <x:c r="H560" s="7" t="n">
        <x:f>IF(F560=0,"n.a.",100*(F560-G560)/F560)</x:f>
        <x:v>28.474806448647737</x:v>
      </x:c>
      <x:c r="I560" s="7" t="n">
        <x:f>F560-G560</x:f>
        <x:v>23.19589371980676</x:v>
      </x:c>
      <x:c r="J560" s="8" t="n">
        <x:v>0.06702545808910099</x:v>
      </x:c>
      <x:c r="K560" s="8" t="n">
        <x:v>0.06702545808910096</x:v>
      </x:c>
      <x:c r="L560" s="8" t="n">
        <x:v>2.7755575615628914e-17</x:v>
      </x:c>
      <x:c r="M560" s="7" t="n">
        <x:v>342.0068999985233</x:v>
      </x:c>
      <x:c r="N560" s="2" t="str">
        <x:v>qiskit.primitives.StatevectorSampler</x:v>
      </x:c>
      <x:c r="O560" s="9" t="str">
        <x:v>0101100</x:v>
      </x:c>
    </x:row>
    <x:row r="561" ht="18" customHeight="1">
      <x:c r="A561" s="2" t="str">
        <x:v>legacy_n5_05</x:v>
      </x:c>
      <x:c r="B561" s="2" t="str">
        <x:v>Unmanaged</x:v>
      </x:c>
      <x:c r="C561" s="2"/>
      <x:c r="D561" s="2" t="str">
        <x:v>baseline</x:v>
      </x:c>
      <x:c r="E561" s="2" t="n">
        <x:v>9</x:v>
      </x:c>
      <x:c r="F561" s="7" t="n">
        <x:v>77.82941176470588</x:v>
      </x:c>
      <x:c r="G561" s="7" t="n">
        <x:v>77.82941176470588</x:v>
      </x:c>
      <x:c r="H561" s="7" t="n">
        <x:f>IF(F561=0,"n.a.",100*(F561-G561)/F561)</x:f>
        <x:v>0</x:v>
      </x:c>
      <x:c r="I561" s="7" t="n">
        <x:f>F561-G561</x:f>
        <x:v>0</x:v>
      </x:c>
      <x:c r="J561" s="8"/>
      <x:c r="K561" s="8" t="n">
        <x:v>0.4798934898028562</x:v>
      </x:c>
      <x:c r="L561" s="8"/>
      <x:c r="M561" s="7"/>
      <x:c r="N561" s="2" t="str">
        <x:v>unmanaged_input</x:v>
      </x:c>
      <x:c r="O561" s="9"/>
    </x:row>
    <x:row r="562" ht="18" customHeight="1">
      <x:c r="A562" s="2" t="str">
        <x:v>legacy_n5_05</x:v>
      </x:c>
      <x:c r="B562" s="2" t="str">
        <x:v>Exact J</x:v>
      </x:c>
      <x:c r="C562" s="2"/>
      <x:c r="D562" s="2" t="str">
        <x:v>success</x:v>
      </x:c>
      <x:c r="E562" s="2" t="n">
        <x:v>9</x:v>
      </x:c>
      <x:c r="F562" s="7" t="n">
        <x:v>77.82941176470588</x:v>
      </x:c>
      <x:c r="G562" s="7" t="n">
        <x:v>75.10833333333333</x:v>
      </x:c>
      <x:c r="H562" s="7" t="n">
        <x:f>IF(F562=0,"n.a.",100*(F562-G562)/F562)</x:f>
        <x:v>3.4962083994658983</x:v>
      </x:c>
      <x:c r="I562" s="7" t="n">
        <x:f>F562-G562</x:f>
        <x:v>2.721078431372547</x:v>
      </x:c>
      <x:c r="J562" s="8" t="n">
        <x:v>0.4798934898028562</x:v>
      </x:c>
      <x:c r="K562" s="8" t="n">
        <x:v>0.4798934898028562</x:v>
      </x:c>
      <x:c r="L562" s="8" t="n">
        <x:v>0</x:v>
      </x:c>
      <x:c r="M562" s="7"/>
      <x:c r="N562" s="2" t="str">
        <x:v>exhaustive_enumeration</x:v>
      </x:c>
      <x:c r="O562" s="9" t="str">
        <x:v>011110001</x:v>
      </x:c>
    </x:row>
    <x:row r="563" ht="18" customHeight="1">
      <x:c r="A563" s="2" t="str">
        <x:v>legacy_n5_05</x:v>
      </x:c>
      <x:c r="B563" s="2" t="str">
        <x:v>Exact peak</x:v>
      </x:c>
      <x:c r="C563" s="2"/>
      <x:c r="D563" s="2" t="str">
        <x:v>success</x:v>
      </x:c>
      <x:c r="E563" s="2" t="n">
        <x:v>9</x:v>
      </x:c>
      <x:c r="F563" s="7" t="n">
        <x:v>77.82941176470588</x:v>
      </x:c>
      <x:c r="G563" s="7" t="n">
        <x:v>75.10833333333333</x:v>
      </x:c>
      <x:c r="H563" s="7" t="n">
        <x:f>IF(F563=0,"n.a.",100*(F563-G563)/F563)</x:f>
        <x:v>3.4962083994658983</x:v>
      </x:c>
      <x:c r="I563" s="7" t="n">
        <x:f>F563-G563</x:f>
        <x:v>2.721078431372547</x:v>
      </x:c>
      <x:c r="J563" s="8" t="n">
        <x:v>0.4798934898028562</x:v>
      </x:c>
      <x:c r="K563" s="8" t="n">
        <x:v>0.4798934898028562</x:v>
      </x:c>
      <x:c r="L563" s="8" t="n">
        <x:v>0</x:v>
      </x:c>
      <x:c r="M563" s="7"/>
      <x:c r="N563" s="2" t="str">
        <x:v>exhaustive_enumeration</x:v>
      </x:c>
      <x:c r="O563" s="9" t="str">
        <x:v>011110001</x:v>
      </x:c>
    </x:row>
    <x:row r="564" ht="18" customHeight="1">
      <x:c r="A564" s="2" t="str">
        <x:v>legacy_n5_05</x:v>
      </x:c>
      <x:c r="B564" s="2" t="str">
        <x:v>BPSO</x:v>
      </x:c>
      <x:c r="C564" s="2" t="n">
        <x:v>42</x:v>
      </x:c>
      <x:c r="D564" s="2" t="str">
        <x:v>success</x:v>
      </x:c>
      <x:c r="E564" s="2" t="n">
        <x:v>9</x:v>
      </x:c>
      <x:c r="F564" s="7" t="n">
        <x:v>77.82941176470588</x:v>
      </x:c>
      <x:c r="G564" s="7" t="n">
        <x:v>75.10833333333333</x:v>
      </x:c>
      <x:c r="H564" s="7" t="n">
        <x:f>IF(F564=0,"n.a.",100*(F564-G564)/F564)</x:f>
        <x:v>3.4962083994658983</x:v>
      </x:c>
      <x:c r="I564" s="7" t="n">
        <x:f>F564-G564</x:f>
        <x:v>2.721078431372547</x:v>
      </x:c>
      <x:c r="J564" s="8" t="n">
        <x:v>0.4798934898028562</x:v>
      </x:c>
      <x:c r="K564" s="8" t="n">
        <x:v>0.4798934898028562</x:v>
      </x:c>
      <x:c r="L564" s="8" t="n">
        <x:v>0</x:v>
      </x:c>
      <x:c r="M564" s="7" t="n">
        <x:v>19.12550000997726</x:v>
      </x:c>
      <x:c r="N564" s="2" t="str">
        <x:v>repository_particle_dynamics_on_frozen_qubo</x:v>
      </x:c>
      <x:c r="O564" s="9" t="str">
        <x:v>110110001</x:v>
      </x:c>
    </x:row>
    <x:row r="565" ht="18" customHeight="1">
      <x:c r="A565" s="2" t="str">
        <x:v>legacy_n5_05</x:v>
      </x:c>
      <x:c r="B565" s="2" t="str">
        <x:v>QAOA</x:v>
      </x:c>
      <x:c r="C565" s="2" t="n">
        <x:v>42</x:v>
      </x:c>
      <x:c r="D565" s="2" t="str">
        <x:v>success</x:v>
      </x:c>
      <x:c r="E565" s="2" t="n">
        <x:v>9</x:v>
      </x:c>
      <x:c r="F565" s="7" t="n">
        <x:v>77.82941176470588</x:v>
      </x:c>
      <x:c r="G565" s="7" t="n">
        <x:v>75.10833333333333</x:v>
      </x:c>
      <x:c r="H565" s="7" t="n">
        <x:f>IF(F565=0,"n.a.",100*(F565-G565)/F565)</x:f>
        <x:v>3.4962083994658983</x:v>
      </x:c>
      <x:c r="I565" s="7" t="n">
        <x:f>F565-G565</x:f>
        <x:v>2.721078431372547</x:v>
      </x:c>
      <x:c r="J565" s="8" t="n">
        <x:v>0.4798934898028562</x:v>
      </x:c>
      <x:c r="K565" s="8" t="n">
        <x:v>0.4798934898028562</x:v>
      </x:c>
      <x:c r="L565" s="8" t="n">
        <x:v>0</x:v>
      </x:c>
      <x:c r="M565" s="7" t="n">
        <x:v>708.2325000083074</x:v>
      </x:c>
      <x:c r="N565" s="2" t="str">
        <x:v>qiskit.primitives.StatevectorSampler</x:v>
      </x:c>
      <x:c r="O565" s="9" t="str">
        <x:v>101110010</x:v>
      </x:c>
    </x:row>
    <x:row r="566" ht="18" customHeight="1">
      <x:c r="A566" s="2" t="str">
        <x:v>legacy_n5_05</x:v>
      </x:c>
      <x:c r="B566" s="2" t="str">
        <x:v>BPSO</x:v>
      </x:c>
      <x:c r="C566" s="2" t="n">
        <x:v>123</x:v>
      </x:c>
      <x:c r="D566" s="2" t="str">
        <x:v>success</x:v>
      </x:c>
      <x:c r="E566" s="2" t="n">
        <x:v>9</x:v>
      </x:c>
      <x:c r="F566" s="7" t="n">
        <x:v>77.82941176470588</x:v>
      </x:c>
      <x:c r="G566" s="7" t="n">
        <x:v>75.10833333333333</x:v>
      </x:c>
      <x:c r="H566" s="7" t="n">
        <x:f>IF(F566=0,"n.a.",100*(F566-G566)/F566)</x:f>
        <x:v>3.4962083994658983</x:v>
      </x:c>
      <x:c r="I566" s="7" t="n">
        <x:f>F566-G566</x:f>
        <x:v>2.721078431372547</x:v>
      </x:c>
      <x:c r="J566" s="8" t="n">
        <x:v>0.4798934898028562</x:v>
      </x:c>
      <x:c r="K566" s="8" t="n">
        <x:v>0.4798934898028562</x:v>
      </x:c>
      <x:c r="L566" s="8" t="n">
        <x:v>0</x:v>
      </x:c>
      <x:c r="M566" s="7" t="n">
        <x:v>19.179699986125343</x:v>
      </x:c>
      <x:c r="N566" s="2" t="str">
        <x:v>repository_particle_dynamics_on_frozen_qubo</x:v>
      </x:c>
      <x:c r="O566" s="9" t="str">
        <x:v>110110100</x:v>
      </x:c>
    </x:row>
    <x:row r="567" ht="18" customHeight="1">
      <x:c r="A567" s="2" t="str">
        <x:v>legacy_n5_05</x:v>
      </x:c>
      <x:c r="B567" s="2" t="str">
        <x:v>QAOA</x:v>
      </x:c>
      <x:c r="C567" s="2" t="n">
        <x:v>123</x:v>
      </x:c>
      <x:c r="D567" s="2" t="str">
        <x:v>success</x:v>
      </x:c>
      <x:c r="E567" s="2" t="n">
        <x:v>9</x:v>
      </x:c>
      <x:c r="F567" s="7" t="n">
        <x:v>77.82941176470588</x:v>
      </x:c>
      <x:c r="G567" s="7" t="n">
        <x:v>75.10833333333333</x:v>
      </x:c>
      <x:c r="H567" s="7" t="n">
        <x:f>IF(F567=0,"n.a.",100*(F567-G567)/F567)</x:f>
        <x:v>3.4962083994658983</x:v>
      </x:c>
      <x:c r="I567" s="7" t="n">
        <x:f>F567-G567</x:f>
        <x:v>2.721078431372547</x:v>
      </x:c>
      <x:c r="J567" s="8" t="n">
        <x:v>0.4798934898028562</x:v>
      </x:c>
      <x:c r="K567" s="8" t="n">
        <x:v>0.4798934898028562</x:v>
      </x:c>
      <x:c r="L567" s="8" t="n">
        <x:v>0</x:v>
      </x:c>
      <x:c r="M567" s="7" t="n">
        <x:v>845.8594999974594</x:v>
      </x:c>
      <x:c r="N567" s="2" t="str">
        <x:v>qiskit.primitives.StatevectorSampler</x:v>
      </x:c>
      <x:c r="O567" s="9" t="str">
        <x:v>111101000</x:v>
      </x:c>
    </x:row>
    <x:row r="568" ht="18" customHeight="1">
      <x:c r="A568" s="2" t="str">
        <x:v>legacy_n5_05</x:v>
      </x:c>
      <x:c r="B568" s="2" t="str">
        <x:v>BPSO</x:v>
      </x:c>
      <x:c r="C568" s="2" t="n">
        <x:v>456</x:v>
      </x:c>
      <x:c r="D568" s="2" t="str">
        <x:v>success</x:v>
      </x:c>
      <x:c r="E568" s="2" t="n">
        <x:v>9</x:v>
      </x:c>
      <x:c r="F568" s="7" t="n">
        <x:v>77.82941176470588</x:v>
      </x:c>
      <x:c r="G568" s="7" t="n">
        <x:v>75.10833333333333</x:v>
      </x:c>
      <x:c r="H568" s="7" t="n">
        <x:f>IF(F568=0,"n.a.",100*(F568-G568)/F568)</x:f>
        <x:v>3.4962083994658983</x:v>
      </x:c>
      <x:c r="I568" s="7" t="n">
        <x:f>F568-G568</x:f>
        <x:v>2.721078431372547</x:v>
      </x:c>
      <x:c r="J568" s="8" t="n">
        <x:v>0.4798934898028562</x:v>
      </x:c>
      <x:c r="K568" s="8" t="n">
        <x:v>0.4798934898028562</x:v>
      </x:c>
      <x:c r="L568" s="8" t="n">
        <x:v>0</x:v>
      </x:c>
      <x:c r="M568" s="7" t="n">
        <x:v>20.46369999879971</x:v>
      </x:c>
      <x:c r="N568" s="2" t="str">
        <x:v>repository_particle_dynamics_on_frozen_qubo</x:v>
      </x:c>
      <x:c r="O568" s="9" t="str">
        <x:v>111100001</x:v>
      </x:c>
    </x:row>
    <x:row r="569" ht="18" customHeight="1">
      <x:c r="A569" s="2" t="str">
        <x:v>legacy_n5_05</x:v>
      </x:c>
      <x:c r="B569" s="2" t="str">
        <x:v>QAOA</x:v>
      </x:c>
      <x:c r="C569" s="2" t="n">
        <x:v>456</x:v>
      </x:c>
      <x:c r="D569" s="2" t="str">
        <x:v>success</x:v>
      </x:c>
      <x:c r="E569" s="2" t="n">
        <x:v>9</x:v>
      </x:c>
      <x:c r="F569" s="7" t="n">
        <x:v>77.82941176470588</x:v>
      </x:c>
      <x:c r="G569" s="7" t="n">
        <x:v>75.10833333333333</x:v>
      </x:c>
      <x:c r="H569" s="7" t="n">
        <x:f>IF(F569=0,"n.a.",100*(F569-G569)/F569)</x:f>
        <x:v>3.4962083994658983</x:v>
      </x:c>
      <x:c r="I569" s="7" t="n">
        <x:f>F569-G569</x:f>
        <x:v>2.721078431372547</x:v>
      </x:c>
      <x:c r="J569" s="8" t="n">
        <x:v>0.4798934898028562</x:v>
      </x:c>
      <x:c r="K569" s="8" t="n">
        <x:v>0.4798934898028562</x:v>
      </x:c>
      <x:c r="L569" s="8" t="n">
        <x:v>0</x:v>
      </x:c>
      <x:c r="M569" s="7" t="n">
        <x:v>537.0192999980645</x:v>
      </x:c>
      <x:c r="N569" s="2" t="str">
        <x:v>qiskit.primitives.StatevectorSampler</x:v>
      </x:c>
      <x:c r="O569" s="9" t="str">
        <x:v>111100010</x:v>
      </x:c>
    </x:row>
    <x:row r="570" ht="18" customHeight="1">
      <x:c r="A570" s="2" t="str">
        <x:v>legacy_n5_05</x:v>
      </x:c>
      <x:c r="B570" s="2" t="str">
        <x:v>BPSO</x:v>
      </x:c>
      <x:c r="C570" s="2" t="n">
        <x:v>789</x:v>
      </x:c>
      <x:c r="D570" s="2" t="str">
        <x:v>success</x:v>
      </x:c>
      <x:c r="E570" s="2" t="n">
        <x:v>9</x:v>
      </x:c>
      <x:c r="F570" s="7" t="n">
        <x:v>77.82941176470588</x:v>
      </x:c>
      <x:c r="G570" s="7" t="n">
        <x:v>75.10833333333333</x:v>
      </x:c>
      <x:c r="H570" s="7" t="n">
        <x:f>IF(F570=0,"n.a.",100*(F570-G570)/F570)</x:f>
        <x:v>3.4962083994658983</x:v>
      </x:c>
      <x:c r="I570" s="7" t="n">
        <x:f>F570-G570</x:f>
        <x:v>2.721078431372547</x:v>
      </x:c>
      <x:c r="J570" s="8" t="n">
        <x:v>0.4798934898028562</x:v>
      </x:c>
      <x:c r="K570" s="8" t="n">
        <x:v>0.4798934898028562</x:v>
      </x:c>
      <x:c r="L570" s="8" t="n">
        <x:v>0</x:v>
      </x:c>
      <x:c r="M570" s="7" t="n">
        <x:v>19.153200002619997</x:v>
      </x:c>
      <x:c r="N570" s="2" t="str">
        <x:v>repository_particle_dynamics_on_frozen_qubo</x:v>
      </x:c>
      <x:c r="O570" s="9" t="str">
        <x:v>111010010</x:v>
      </x:c>
    </x:row>
    <x:row r="571" ht="18" customHeight="1">
      <x:c r="A571" s="2" t="str">
        <x:v>legacy_n5_05</x:v>
      </x:c>
      <x:c r="B571" s="2" t="str">
        <x:v>QAOA</x:v>
      </x:c>
      <x:c r="C571" s="2" t="n">
        <x:v>789</x:v>
      </x:c>
      <x:c r="D571" s="2" t="str">
        <x:v>success</x:v>
      </x:c>
      <x:c r="E571" s="2" t="n">
        <x:v>9</x:v>
      </x:c>
      <x:c r="F571" s="7" t="n">
        <x:v>77.82941176470588</x:v>
      </x:c>
      <x:c r="G571" s="7" t="n">
        <x:v>75.10833333333333</x:v>
      </x:c>
      <x:c r="H571" s="7" t="n">
        <x:f>IF(F571=0,"n.a.",100*(F571-G571)/F571)</x:f>
        <x:v>3.4962083994658983</x:v>
      </x:c>
      <x:c r="I571" s="7" t="n">
        <x:f>F571-G571</x:f>
        <x:v>2.721078431372547</x:v>
      </x:c>
      <x:c r="J571" s="8" t="n">
        <x:v>0.4798934898028562</x:v>
      </x:c>
      <x:c r="K571" s="8" t="n">
        <x:v>0.4798934898028562</x:v>
      </x:c>
      <x:c r="L571" s="8" t="n">
        <x:v>0</x:v>
      </x:c>
      <x:c r="M571" s="7" t="n">
        <x:v>640.055099996971</x:v>
      </x:c>
      <x:c r="N571" s="2" t="str">
        <x:v>qiskit.primitives.StatevectorSampler</x:v>
      </x:c>
      <x:c r="O571" s="9" t="str">
        <x:v>101111000</x:v>
      </x:c>
    </x:row>
    <x:row r="572" ht="18" customHeight="1">
      <x:c r="A572" s="2" t="str">
        <x:v>legacy_n5_05</x:v>
      </x:c>
      <x:c r="B572" s="2" t="str">
        <x:v>BPSO</x:v>
      </x:c>
      <x:c r="C572" s="2" t="n">
        <x:v>2026</x:v>
      </x:c>
      <x:c r="D572" s="2" t="str">
        <x:v>success</x:v>
      </x:c>
      <x:c r="E572" s="2" t="n">
        <x:v>9</x:v>
      </x:c>
      <x:c r="F572" s="7" t="n">
        <x:v>77.82941176470588</x:v>
      </x:c>
      <x:c r="G572" s="7" t="n">
        <x:v>75.10833333333333</x:v>
      </x:c>
      <x:c r="H572" s="7" t="n">
        <x:f>IF(F572=0,"n.a.",100*(F572-G572)/F572)</x:f>
        <x:v>3.4962083994658983</x:v>
      </x:c>
      <x:c r="I572" s="7" t="n">
        <x:f>F572-G572</x:f>
        <x:v>2.721078431372547</x:v>
      </x:c>
      <x:c r="J572" s="8" t="n">
        <x:v>0.4798934898028562</x:v>
      </x:c>
      <x:c r="K572" s="8" t="n">
        <x:v>0.4798934898028562</x:v>
      </x:c>
      <x:c r="L572" s="8" t="n">
        <x:v>0</x:v>
      </x:c>
      <x:c r="M572" s="7" t="n">
        <x:v>19.981799996457994</x:v>
      </x:c>
      <x:c r="N572" s="2" t="str">
        <x:v>repository_particle_dynamics_on_frozen_qubo</x:v>
      </x:c>
      <x:c r="O572" s="9" t="str">
        <x:v>111101000</x:v>
      </x:c>
    </x:row>
    <x:row r="573" ht="18" customHeight="1">
      <x:c r="A573" s="2" t="str">
        <x:v>legacy_n5_05</x:v>
      </x:c>
      <x:c r="B573" s="2" t="str">
        <x:v>QAOA</x:v>
      </x:c>
      <x:c r="C573" s="2" t="n">
        <x:v>2026</x:v>
      </x:c>
      <x:c r="D573" s="2" t="str">
        <x:v>success</x:v>
      </x:c>
      <x:c r="E573" s="2" t="n">
        <x:v>9</x:v>
      </x:c>
      <x:c r="F573" s="7" t="n">
        <x:v>77.82941176470588</x:v>
      </x:c>
      <x:c r="G573" s="7" t="n">
        <x:v>75.10833333333333</x:v>
      </x:c>
      <x:c r="H573" s="7" t="n">
        <x:f>IF(F573=0,"n.a.",100*(F573-G573)/F573)</x:f>
        <x:v>3.4962083994658983</x:v>
      </x:c>
      <x:c r="I573" s="7" t="n">
        <x:f>F573-G573</x:f>
        <x:v>2.721078431372547</x:v>
      </x:c>
      <x:c r="J573" s="8" t="n">
        <x:v>0.4798934898028562</x:v>
      </x:c>
      <x:c r="K573" s="8" t="n">
        <x:v>0.4798934898028562</x:v>
      </x:c>
      <x:c r="L573" s="8" t="n">
        <x:v>0</x:v>
      </x:c>
      <x:c r="M573" s="7" t="n">
        <x:v>556.4206999988528</x:v>
      </x:c>
      <x:c r="N573" s="2" t="str">
        <x:v>qiskit.primitives.StatevectorSampler</x:v>
      </x:c>
      <x:c r="O573" s="9" t="str">
        <x:v>110110010</x:v>
      </x:c>
    </x:row>
    <x:row r="574" ht="18" customHeight="1">
      <x:c r="A574" s="2" t="str">
        <x:v>legacy_n5_06</x:v>
      </x:c>
      <x:c r="B574" s="2" t="str">
        <x:v>Unmanaged</x:v>
      </x:c>
      <x:c r="C574" s="2"/>
      <x:c r="D574" s="2" t="str">
        <x:v>baseline</x:v>
      </x:c>
      <x:c r="E574" s="2" t="n">
        <x:v>10</x:v>
      </x:c>
      <x:c r="F574" s="7" t="n">
        <x:v>84.46666666666667</x:v>
      </x:c>
      <x:c r="G574" s="7" t="n">
        <x:v>84.46666666666667</x:v>
      </x:c>
      <x:c r="H574" s="7" t="n">
        <x:f>IF(F574=0,"n.a.",100*(F574-G574)/F574)</x:f>
        <x:v>0</x:v>
      </x:c>
      <x:c r="I574" s="7" t="n">
        <x:f>F574-G574</x:f>
        <x:v>0</x:v>
      </x:c>
      <x:c r="J574" s="8"/>
      <x:c r="K574" s="8" t="n">
        <x:v>0.7669758040938603</x:v>
      </x:c>
      <x:c r="L574" s="8"/>
      <x:c r="M574" s="7"/>
      <x:c r="N574" s="2" t="str">
        <x:v>unmanaged_input</x:v>
      </x:c>
      <x:c r="O574" s="9"/>
    </x:row>
    <x:row r="575" ht="18" customHeight="1">
      <x:c r="A575" s="2" t="str">
        <x:v>legacy_n5_06</x:v>
      </x:c>
      <x:c r="B575" s="2" t="str">
        <x:v>Exact J</x:v>
      </x:c>
      <x:c r="C575" s="2"/>
      <x:c r="D575" s="2" t="str">
        <x:v>success</x:v>
      </x:c>
      <x:c r="E575" s="2" t="n">
        <x:v>10</x:v>
      </x:c>
      <x:c r="F575" s="7" t="n">
        <x:v>84.46666666666667</x:v>
      </x:c>
      <x:c r="G575" s="7" t="n">
        <x:v>80.94117647058823</x:v>
      </x:c>
      <x:c r="H575" s="7" t="n">
        <x:f>IF(F575=0,"n.a.",100*(F575-G575)/F575)</x:f>
        <x:v>4.173824225822932</x:v>
      </x:c>
      <x:c r="I575" s="7" t="n">
        <x:f>F575-G575</x:f>
        <x:v>3.5254901960784366</x:v>
      </x:c>
      <x:c r="J575" s="8" t="n">
        <x:v>0.7669758040938603</x:v>
      </x:c>
      <x:c r="K575" s="8" t="n">
        <x:v>0.7669758040938603</x:v>
      </x:c>
      <x:c r="L575" s="8" t="n">
        <x:v>0</x:v>
      </x:c>
      <x:c r="M575" s="7"/>
      <x:c r="N575" s="2" t="str">
        <x:v>exhaustive_enumeration</x:v>
      </x:c>
      <x:c r="O575" s="9" t="str">
        <x:v>0000111101</x:v>
      </x:c>
    </x:row>
    <x:row r="576" ht="18" customHeight="1">
      <x:c r="A576" s="2" t="str">
        <x:v>legacy_n5_06</x:v>
      </x:c>
      <x:c r="B576" s="2" t="str">
        <x:v>Exact peak</x:v>
      </x:c>
      <x:c r="C576" s="2"/>
      <x:c r="D576" s="2" t="str">
        <x:v>success</x:v>
      </x:c>
      <x:c r="E576" s="2" t="n">
        <x:v>10</x:v>
      </x:c>
      <x:c r="F576" s="7" t="n">
        <x:v>84.46666666666667</x:v>
      </x:c>
      <x:c r="G576" s="7" t="n">
        <x:v>80.42142857142858</x:v>
      </x:c>
      <x:c r="H576" s="7" t="n">
        <x:f>IF(F576=0,"n.a.",100*(F576-G576)/F576)</x:f>
        <x:v>4.789153230352909</x:v>
      </x:c>
      <x:c r="I576" s="7" t="n">
        <x:f>F576-G576</x:f>
        <x:v>4.045238095238091</x:v>
      </x:c>
      <x:c r="J576" s="8" t="n">
        <x:v>0.8644951452084464</x:v>
      </x:c>
      <x:c r="K576" s="8" t="n">
        <x:v>0.7669758040938603</x:v>
      </x:c>
      <x:c r="L576" s="8" t="n">
        <x:v>0.09751934111458604</x:v>
      </x:c>
      <x:c r="M576" s="7"/>
      <x:c r="N576" s="2" t="str">
        <x:v>exhaustive_enumeration</x:v>
      </x:c>
      <x:c r="O576" s="9" t="str">
        <x:v>0001111101</x:v>
      </x:c>
    </x:row>
    <x:row r="577" ht="18" customHeight="1">
      <x:c r="A577" s="2" t="str">
        <x:v>legacy_n5_06</x:v>
      </x:c>
      <x:c r="B577" s="2" t="str">
        <x:v>BPSO</x:v>
      </x:c>
      <x:c r="C577" s="2" t="n">
        <x:v>42</x:v>
      </x:c>
      <x:c r="D577" s="2" t="str">
        <x:v>success</x:v>
      </x:c>
      <x:c r="E577" s="2" t="n">
        <x:v>10</x:v>
      </x:c>
      <x:c r="F577" s="7" t="n">
        <x:v>84.46666666666667</x:v>
      </x:c>
      <x:c r="G577" s="7" t="n">
        <x:v>80.94117647058823</x:v>
      </x:c>
      <x:c r="H577" s="7" t="n">
        <x:f>IF(F577=0,"n.a.",100*(F577-G577)/F577)</x:f>
        <x:v>4.173824225822932</x:v>
      </x:c>
      <x:c r="I577" s="7" t="n">
        <x:f>F577-G577</x:f>
        <x:v>3.5254901960784366</x:v>
      </x:c>
      <x:c r="J577" s="8" t="n">
        <x:v>0.7669758040938603</x:v>
      </x:c>
      <x:c r="K577" s="8" t="n">
        <x:v>0.7669758040938603</x:v>
      </x:c>
      <x:c r="L577" s="8" t="n">
        <x:v>0</x:v>
      </x:c>
      <x:c r="M577" s="7" t="n">
        <x:v>20.305700003518723</x:v>
      </x:c>
      <x:c r="N577" s="2" t="str">
        <x:v>repository_particle_dynamics_on_frozen_qubo</x:v>
      </x:c>
      <x:c r="O577" s="9" t="str">
        <x:v>1000011101</x:v>
      </x:c>
    </x:row>
    <x:row r="578" ht="18" customHeight="1">
      <x:c r="A578" s="2" t="str">
        <x:v>legacy_n5_06</x:v>
      </x:c>
      <x:c r="B578" s="2" t="str">
        <x:v>QAOA</x:v>
      </x:c>
      <x:c r="C578" s="2" t="n">
        <x:v>42</x:v>
      </x:c>
      <x:c r="D578" s="2" t="str">
        <x:v>success</x:v>
      </x:c>
      <x:c r="E578" s="2" t="n">
        <x:v>10</x:v>
      </x:c>
      <x:c r="F578" s="7" t="n">
        <x:v>84.46666666666667</x:v>
      </x:c>
      <x:c r="G578" s="7" t="n">
        <x:v>80.94117647058823</x:v>
      </x:c>
      <x:c r="H578" s="7" t="n">
        <x:f>IF(F578=0,"n.a.",100*(F578-G578)/F578)</x:f>
        <x:v>4.173824225822932</x:v>
      </x:c>
      <x:c r="I578" s="7" t="n">
        <x:f>F578-G578</x:f>
        <x:v>3.5254901960784366</x:v>
      </x:c>
      <x:c r="J578" s="8" t="n">
        <x:v>0.7669758040938608</x:v>
      </x:c>
      <x:c r="K578" s="8" t="n">
        <x:v>0.7669758040938603</x:v>
      </x:c>
      <x:c r="L578" s="8" t="n">
        <x:v>4.440892098500626e-16</x:v>
      </x:c>
      <x:c r="M578" s="7" t="n">
        <x:v>709.1903999971692</x:v>
      </x:c>
      <x:c r="N578" s="2" t="str">
        <x:v>qiskit.primitives.StatevectorSampler</x:v>
      </x:c>
      <x:c r="O578" s="9" t="str">
        <x:v>0001011101</x:v>
      </x:c>
    </x:row>
    <x:row r="579" ht="18" customHeight="1">
      <x:c r="A579" s="2" t="str">
        <x:v>legacy_n5_06</x:v>
      </x:c>
      <x:c r="B579" s="2" t="str">
        <x:v>BPSO</x:v>
      </x:c>
      <x:c r="C579" s="2" t="n">
        <x:v>123</x:v>
      </x:c>
      <x:c r="D579" s="2" t="str">
        <x:v>success</x:v>
      </x:c>
      <x:c r="E579" s="2" t="n">
        <x:v>10</x:v>
      </x:c>
      <x:c r="F579" s="7" t="n">
        <x:v>84.46666666666667</x:v>
      </x:c>
      <x:c r="G579" s="7" t="n">
        <x:v>80.94117647058823</x:v>
      </x:c>
      <x:c r="H579" s="7" t="n">
        <x:f>IF(F579=0,"n.a.",100*(F579-G579)/F579)</x:f>
        <x:v>4.173824225822932</x:v>
      </x:c>
      <x:c r="I579" s="7" t="n">
        <x:f>F579-G579</x:f>
        <x:v>3.5254901960784366</x:v>
      </x:c>
      <x:c r="J579" s="8" t="n">
        <x:v>0.7669758040938603</x:v>
      </x:c>
      <x:c r="K579" s="8" t="n">
        <x:v>0.7669758040938603</x:v>
      </x:c>
      <x:c r="L579" s="8" t="n">
        <x:v>0</x:v>
      </x:c>
      <x:c r="M579" s="7" t="n">
        <x:v>20.35999999498017</x:v>
      </x:c>
      <x:c r="N579" s="2" t="str">
        <x:v>repository_particle_dynamics_on_frozen_qubo</x:v>
      </x:c>
      <x:c r="O579" s="9" t="str">
        <x:v>0100011110</x:v>
      </x:c>
    </x:row>
    <x:row r="580" ht="18" customHeight="1">
      <x:c r="A580" s="2" t="str">
        <x:v>legacy_n5_06</x:v>
      </x:c>
      <x:c r="B580" s="2" t="str">
        <x:v>QAOA</x:v>
      </x:c>
      <x:c r="C580" s="2" t="n">
        <x:v>123</x:v>
      </x:c>
      <x:c r="D580" s="2" t="str">
        <x:v>success</x:v>
      </x:c>
      <x:c r="E580" s="2" t="n">
        <x:v>10</x:v>
      </x:c>
      <x:c r="F580" s="7" t="n">
        <x:v>84.46666666666667</x:v>
      </x:c>
      <x:c r="G580" s="7" t="n">
        <x:v>80.94117647058823</x:v>
      </x:c>
      <x:c r="H580" s="7" t="n">
        <x:f>IF(F580=0,"n.a.",100*(F580-G580)/F580)</x:f>
        <x:v>4.173824225822932</x:v>
      </x:c>
      <x:c r="I580" s="7" t="n">
        <x:f>F580-G580</x:f>
        <x:v>3.5254901960784366</x:v>
      </x:c>
      <x:c r="J580" s="8" t="n">
        <x:v>0.7669758040938608</x:v>
      </x:c>
      <x:c r="K580" s="8" t="n">
        <x:v>0.7669758040938603</x:v>
      </x:c>
      <x:c r="L580" s="8" t="n">
        <x:v>4.440892098500626e-16</x:v>
      </x:c>
      <x:c r="M580" s="7" t="n">
        <x:v>933.1227999937255</x:v>
      </x:c>
      <x:c r="N580" s="2" t="str">
        <x:v>qiskit.primitives.StatevectorSampler</x:v>
      </x:c>
      <x:c r="O580" s="9" t="str">
        <x:v>0001011110</x:v>
      </x:c>
    </x:row>
    <x:row r="581" ht="18" customHeight="1">
      <x:c r="A581" s="2" t="str">
        <x:v>legacy_n5_06</x:v>
      </x:c>
      <x:c r="B581" s="2" t="str">
        <x:v>BPSO</x:v>
      </x:c>
      <x:c r="C581" s="2" t="n">
        <x:v>456</x:v>
      </x:c>
      <x:c r="D581" s="2" t="str">
        <x:v>success</x:v>
      </x:c>
      <x:c r="E581" s="2" t="n">
        <x:v>10</x:v>
      </x:c>
      <x:c r="F581" s="7" t="n">
        <x:v>84.46666666666667</x:v>
      </x:c>
      <x:c r="G581" s="7" t="n">
        <x:v>80.94117647058823</x:v>
      </x:c>
      <x:c r="H581" s="7" t="n">
        <x:f>IF(F581=0,"n.a.",100*(F581-G581)/F581)</x:f>
        <x:v>4.173824225822932</x:v>
      </x:c>
      <x:c r="I581" s="7" t="n">
        <x:f>F581-G581</x:f>
        <x:v>3.5254901960784366</x:v>
      </x:c>
      <x:c r="J581" s="8" t="n">
        <x:v>0.7669758040938603</x:v>
      </x:c>
      <x:c r="K581" s="8" t="n">
        <x:v>0.7669758040938603</x:v>
      </x:c>
      <x:c r="L581" s="8" t="n">
        <x:v>0</x:v>
      </x:c>
      <x:c r="M581" s="7" t="n">
        <x:v>20.46590000099968</x:v>
      </x:c>
      <x:c r="N581" s="2" t="str">
        <x:v>repository_particle_dynamics_on_frozen_qubo</x:v>
      </x:c>
      <x:c r="O581" s="9" t="str">
        <x:v>0010011110</x:v>
      </x:c>
    </x:row>
    <x:row r="582" ht="18" customHeight="1">
      <x:c r="A582" s="2" t="str">
        <x:v>legacy_n5_06</x:v>
      </x:c>
      <x:c r="B582" s="2" t="str">
        <x:v>QAOA</x:v>
      </x:c>
      <x:c r="C582" s="2" t="n">
        <x:v>456</x:v>
      </x:c>
      <x:c r="D582" s="2" t="str">
        <x:v>success</x:v>
      </x:c>
      <x:c r="E582" s="2" t="n">
        <x:v>10</x:v>
      </x:c>
      <x:c r="F582" s="7" t="n">
        <x:v>84.46666666666667</x:v>
      </x:c>
      <x:c r="G582" s="7" t="n">
        <x:v>80.94117647058823</x:v>
      </x:c>
      <x:c r="H582" s="7" t="n">
        <x:f>IF(F582=0,"n.a.",100*(F582-G582)/F582)</x:f>
        <x:v>4.173824225822932</x:v>
      </x:c>
      <x:c r="I582" s="7" t="n">
        <x:f>F582-G582</x:f>
        <x:v>3.5254901960784366</x:v>
      </x:c>
      <x:c r="J582" s="8" t="n">
        <x:v>0.7669758040938608</x:v>
      </x:c>
      <x:c r="K582" s="8" t="n">
        <x:v>0.7669758040938603</x:v>
      </x:c>
      <x:c r="L582" s="8" t="n">
        <x:v>4.440892098500626e-16</x:v>
      </x:c>
      <x:c r="M582" s="7" t="n">
        <x:v>649.6211000048788</x:v>
      </x:c>
      <x:c r="N582" s="2" t="str">
        <x:v>qiskit.primitives.StatevectorSampler</x:v>
      </x:c>
      <x:c r="O582" s="9" t="str">
        <x:v>0100011101</x:v>
      </x:c>
    </x:row>
    <x:row r="583" ht="18" customHeight="1">
      <x:c r="A583" s="2" t="str">
        <x:v>legacy_n5_06</x:v>
      </x:c>
      <x:c r="B583" s="2" t="str">
        <x:v>BPSO</x:v>
      </x:c>
      <x:c r="C583" s="2" t="n">
        <x:v>789</x:v>
      </x:c>
      <x:c r="D583" s="2" t="str">
        <x:v>success</x:v>
      </x:c>
      <x:c r="E583" s="2" t="n">
        <x:v>10</x:v>
      </x:c>
      <x:c r="F583" s="7" t="n">
        <x:v>84.46666666666667</x:v>
      </x:c>
      <x:c r="G583" s="7" t="n">
        <x:v>80.94117647058823</x:v>
      </x:c>
      <x:c r="H583" s="7" t="n">
        <x:f>IF(F583=0,"n.a.",100*(F583-G583)/F583)</x:f>
        <x:v>4.173824225822932</x:v>
      </x:c>
      <x:c r="I583" s="7" t="n">
        <x:f>F583-G583</x:f>
        <x:v>3.5254901960784366</x:v>
      </x:c>
      <x:c r="J583" s="8" t="n">
        <x:v>0.7669758040938603</x:v>
      </x:c>
      <x:c r="K583" s="8" t="n">
        <x:v>0.7669758040938603</x:v>
      </x:c>
      <x:c r="L583" s="8" t="n">
        <x:v>0</x:v>
      </x:c>
      <x:c r="M583" s="7" t="n">
        <x:v>20.258999997167848</x:v>
      </x:c>
      <x:c r="N583" s="2" t="str">
        <x:v>repository_particle_dynamics_on_frozen_qubo</x:v>
      </x:c>
      <x:c r="O583" s="9" t="str">
        <x:v>0000111110</x:v>
      </x:c>
    </x:row>
    <x:row r="584" ht="18" customHeight="1">
      <x:c r="A584" s="2" t="str">
        <x:v>legacy_n5_06</x:v>
      </x:c>
      <x:c r="B584" s="2" t="str">
        <x:v>QAOA</x:v>
      </x:c>
      <x:c r="C584" s="2" t="n">
        <x:v>789</x:v>
      </x:c>
      <x:c r="D584" s="2" t="str">
        <x:v>success</x:v>
      </x:c>
      <x:c r="E584" s="2" t="n">
        <x:v>10</x:v>
      </x:c>
      <x:c r="F584" s="7" t="n">
        <x:v>84.46666666666667</x:v>
      </x:c>
      <x:c r="G584" s="7" t="n">
        <x:v>80.94117647058823</x:v>
      </x:c>
      <x:c r="H584" s="7" t="n">
        <x:f>IF(F584=0,"n.a.",100*(F584-G584)/F584)</x:f>
        <x:v>4.173824225822932</x:v>
      </x:c>
      <x:c r="I584" s="7" t="n">
        <x:f>F584-G584</x:f>
        <x:v>3.5254901960784366</x:v>
      </x:c>
      <x:c r="J584" s="8" t="n">
        <x:v>0.7669758040938608</x:v>
      </x:c>
      <x:c r="K584" s="8" t="n">
        <x:v>0.7669758040938603</x:v>
      </x:c>
      <x:c r="L584" s="8" t="n">
        <x:v>4.440892098500626e-16</x:v>
      </x:c>
      <x:c r="M584" s="7" t="n">
        <x:v>1083.982099997229</x:v>
      </x:c>
      <x:c r="N584" s="2" t="str">
        <x:v>qiskit.primitives.StatevectorSampler</x:v>
      </x:c>
      <x:c r="O584" s="9" t="str">
        <x:v>1000011110</x:v>
      </x:c>
    </x:row>
    <x:row r="585" ht="18" customHeight="1">
      <x:c r="A585" s="2" t="str">
        <x:v>legacy_n5_06</x:v>
      </x:c>
      <x:c r="B585" s="2" t="str">
        <x:v>BPSO</x:v>
      </x:c>
      <x:c r="C585" s="2" t="n">
        <x:v>2026</x:v>
      </x:c>
      <x:c r="D585" s="2" t="str">
        <x:v>success</x:v>
      </x:c>
      <x:c r="E585" s="2" t="n">
        <x:v>10</x:v>
      </x:c>
      <x:c r="F585" s="7" t="n">
        <x:v>84.46666666666667</x:v>
      </x:c>
      <x:c r="G585" s="7" t="n">
        <x:v>80.94117647058823</x:v>
      </x:c>
      <x:c r="H585" s="7" t="n">
        <x:f>IF(F585=0,"n.a.",100*(F585-G585)/F585)</x:f>
        <x:v>4.173824225822932</x:v>
      </x:c>
      <x:c r="I585" s="7" t="n">
        <x:f>F585-G585</x:f>
        <x:v>3.5254901960784366</x:v>
      </x:c>
      <x:c r="J585" s="8" t="n">
        <x:v>0.7669758040938603</x:v>
      </x:c>
      <x:c r="K585" s="8" t="n">
        <x:v>0.7669758040938603</x:v>
      </x:c>
      <x:c r="L585" s="8" t="n">
        <x:v>0</x:v>
      </x:c>
      <x:c r="M585" s="7" t="n">
        <x:v>20.423499998287298</x:v>
      </x:c>
      <x:c r="N585" s="2" t="str">
        <x:v>repository_particle_dynamics_on_frozen_qubo</x:v>
      </x:c>
      <x:c r="O585" s="9" t="str">
        <x:v>0100011110</x:v>
      </x:c>
    </x:row>
    <x:row r="586" ht="18" customHeight="1">
      <x:c r="A586" s="2" t="str">
        <x:v>legacy_n5_06</x:v>
      </x:c>
      <x:c r="B586" s="2" t="str">
        <x:v>QAOA</x:v>
      </x:c>
      <x:c r="C586" s="2" t="n">
        <x:v>2026</x:v>
      </x:c>
      <x:c r="D586" s="2" t="str">
        <x:v>success</x:v>
      </x:c>
      <x:c r="E586" s="2" t="n">
        <x:v>10</x:v>
      </x:c>
      <x:c r="F586" s="7" t="n">
        <x:v>84.46666666666667</x:v>
      </x:c>
      <x:c r="G586" s="7" t="n">
        <x:v>80.94117647058823</x:v>
      </x:c>
      <x:c r="H586" s="7" t="n">
        <x:f>IF(F586=0,"n.a.",100*(F586-G586)/F586)</x:f>
        <x:v>4.173824225822932</x:v>
      </x:c>
      <x:c r="I586" s="7" t="n">
        <x:f>F586-G586</x:f>
        <x:v>3.5254901960784366</x:v>
      </x:c>
      <x:c r="J586" s="8" t="n">
        <x:v>0.7669758040938608</x:v>
      </x:c>
      <x:c r="K586" s="8" t="n">
        <x:v>0.7669758040938603</x:v>
      </x:c>
      <x:c r="L586" s="8" t="n">
        <x:v>4.440892098500626e-16</x:v>
      </x:c>
      <x:c r="M586" s="7" t="n">
        <x:v>679.7260000021197</x:v>
      </x:c>
      <x:c r="N586" s="2" t="str">
        <x:v>qiskit.primitives.StatevectorSampler</x:v>
      </x:c>
      <x:c r="O586" s="9" t="str">
        <x:v>0000111110</x:v>
      </x:c>
    </x:row>
    <x:row r="587" ht="18" customHeight="1">
      <x:c r="A587" s="2" t="str">
        <x:v>legacy_n5_07</x:v>
      </x:c>
      <x:c r="B587" s="2" t="str">
        <x:v>Unmanaged</x:v>
      </x:c>
      <x:c r="C587" s="2"/>
      <x:c r="D587" s="2" t="str">
        <x:v>baseline</x:v>
      </x:c>
      <x:c r="E587" s="2" t="n">
        <x:v>2</x:v>
      </x:c>
      <x:c r="F587" s="7" t="n">
        <x:v>73.88333333333334</x:v>
      </x:c>
      <x:c r="G587" s="7" t="n">
        <x:v>73.88333333333334</x:v>
      </x:c>
      <x:c r="H587" s="7" t="n">
        <x:f>IF(F587=0,"n.a.",100*(F587-G587)/F587)</x:f>
        <x:v>0</x:v>
      </x:c>
      <x:c r="I587" s="7" t="n">
        <x:f>F587-G587</x:f>
        <x:v>0</x:v>
      </x:c>
      <x:c r="J587" s="8"/>
      <x:c r="K587" s="8" t="n">
        <x:v>0.17511913973065268</x:v>
      </x:c>
      <x:c r="L587" s="8"/>
      <x:c r="M587" s="7"/>
      <x:c r="N587" s="2" t="str">
        <x:v>unmanaged_input</x:v>
      </x:c>
      <x:c r="O587" s="9"/>
    </x:row>
    <x:row r="588" ht="18" customHeight="1">
      <x:c r="A588" s="2" t="str">
        <x:v>legacy_n5_07</x:v>
      </x:c>
      <x:c r="B588" s="2" t="str">
        <x:v>Exact J</x:v>
      </x:c>
      <x:c r="C588" s="2"/>
      <x:c r="D588" s="2" t="str">
        <x:v>success</x:v>
      </x:c>
      <x:c r="E588" s="2" t="n">
        <x:v>2</x:v>
      </x:c>
      <x:c r="F588" s="7" t="n">
        <x:v>73.88333333333334</x:v>
      </x:c>
      <x:c r="G588" s="7" t="n">
        <x:v>48.88333333333333</x:v>
      </x:c>
      <x:c r="H588" s="7" t="n">
        <x:f>IF(F588=0,"n.a.",100*(F588-G588)/F588)</x:f>
        <x:v>33.83713061132417</x:v>
      </x:c>
      <x:c r="I588" s="7" t="n">
        <x:f>F588-G588</x:f>
        <x:v>25.000000000000007</x:v>
      </x:c>
      <x:c r="J588" s="8" t="n">
        <x:v>0.17511913973065268</x:v>
      </x:c>
      <x:c r="K588" s="8" t="n">
        <x:v>0.17511913973065268</x:v>
      </x:c>
      <x:c r="L588" s="8" t="n">
        <x:v>0</x:v>
      </x:c>
      <x:c r="M588" s="7"/>
      <x:c r="N588" s="2" t="str">
        <x:v>exhaustive_enumeration</x:v>
      </x:c>
      <x:c r="O588" s="9" t="str">
        <x:v>01</x:v>
      </x:c>
    </x:row>
    <x:row r="589" ht="18" customHeight="1">
      <x:c r="A589" s="2" t="str">
        <x:v>legacy_n5_07</x:v>
      </x:c>
      <x:c r="B589" s="2" t="str">
        <x:v>Exact peak</x:v>
      </x:c>
      <x:c r="C589" s="2"/>
      <x:c r="D589" s="2" t="str">
        <x:v>success</x:v>
      </x:c>
      <x:c r="E589" s="2" t="n">
        <x:v>2</x:v>
      </x:c>
      <x:c r="F589" s="7" t="n">
        <x:v>73.88333333333334</x:v>
      </x:c>
      <x:c r="G589" s="7" t="n">
        <x:v>48.88333333333333</x:v>
      </x:c>
      <x:c r="H589" s="7" t="n">
        <x:f>IF(F589=0,"n.a.",100*(F589-G589)/F589)</x:f>
        <x:v>33.83713061132417</x:v>
      </x:c>
      <x:c r="I589" s="7" t="n">
        <x:f>F589-G589</x:f>
        <x:v>25.000000000000007</x:v>
      </x:c>
      <x:c r="J589" s="8" t="n">
        <x:v>0.17511913973065268</x:v>
      </x:c>
      <x:c r="K589" s="8" t="n">
        <x:v>0.17511913973065268</x:v>
      </x:c>
      <x:c r="L589" s="8" t="n">
        <x:v>0</x:v>
      </x:c>
      <x:c r="M589" s="7"/>
      <x:c r="N589" s="2" t="str">
        <x:v>exhaustive_enumeration</x:v>
      </x:c>
      <x:c r="O589" s="9" t="str">
        <x:v>01</x:v>
      </x:c>
    </x:row>
    <x:row r="590" ht="18" customHeight="1">
      <x:c r="A590" s="2" t="str">
        <x:v>legacy_n5_07</x:v>
      </x:c>
      <x:c r="B590" s="2" t="str">
        <x:v>BPSO</x:v>
      </x:c>
      <x:c r="C590" s="2" t="n">
        <x:v>42</x:v>
      </x:c>
      <x:c r="D590" s="2" t="str">
        <x:v>success</x:v>
      </x:c>
      <x:c r="E590" s="2" t="n">
        <x:v>2</x:v>
      </x:c>
      <x:c r="F590" s="7" t="n">
        <x:v>73.88333333333334</x:v>
      </x:c>
      <x:c r="G590" s="7" t="n">
        <x:v>48.88333333333333</x:v>
      </x:c>
      <x:c r="H590" s="7" t="n">
        <x:f>IF(F590=0,"n.a.",100*(F590-G590)/F590)</x:f>
        <x:v>33.83713061132417</x:v>
      </x:c>
      <x:c r="I590" s="7" t="n">
        <x:f>F590-G590</x:f>
        <x:v>25.000000000000007</x:v>
      </x:c>
      <x:c r="J590" s="8" t="n">
        <x:v>0.17511913973065268</x:v>
      </x:c>
      <x:c r="K590" s="8" t="n">
        <x:v>0.17511913973065268</x:v>
      </x:c>
      <x:c r="L590" s="8" t="n">
        <x:v>0</x:v>
      </x:c>
      <x:c r="M590" s="7" t="n">
        <x:v>12.713000003714114</x:v>
      </x:c>
      <x:c r="N590" s="2" t="str">
        <x:v>repository_particle_dynamics_on_frozen_qubo</x:v>
      </x:c>
      <x:c r="O590" s="9" t="str">
        <x:v>10</x:v>
      </x:c>
    </x:row>
    <x:row r="591" ht="18" customHeight="1">
      <x:c r="A591" s="2" t="str">
        <x:v>legacy_n5_07</x:v>
      </x:c>
      <x:c r="B591" s="2" t="str">
        <x:v>QAOA</x:v>
      </x:c>
      <x:c r="C591" s="2" t="n">
        <x:v>42</x:v>
      </x:c>
      <x:c r="D591" s="2" t="str">
        <x:v>success</x:v>
      </x:c>
      <x:c r="E591" s="2" t="n">
        <x:v>2</x:v>
      </x:c>
      <x:c r="F591" s="7" t="n">
        <x:v>73.88333333333334</x:v>
      </x:c>
      <x:c r="G591" s="7" t="n">
        <x:v>48.88333333333333</x:v>
      </x:c>
      <x:c r="H591" s="7" t="n">
        <x:f>IF(F591=0,"n.a.",100*(F591-G591)/F591)</x:f>
        <x:v>33.83713061132417</x:v>
      </x:c>
      <x:c r="I591" s="7" t="n">
        <x:f>F591-G591</x:f>
        <x:v>25.000000000000007</x:v>
      </x:c>
      <x:c r="J591" s="8" t="n">
        <x:v>0.17511913973065268</x:v>
      </x:c>
      <x:c r="K591" s="8" t="n">
        <x:v>0.17511913973065268</x:v>
      </x:c>
      <x:c r="L591" s="8" t="n">
        <x:v>0</x:v>
      </x:c>
      <x:c r="M591" s="7" t="n">
        <x:v>106.2779999920167</x:v>
      </x:c>
      <x:c r="N591" s="2" t="str">
        <x:v>qiskit.primitives.StatevectorSampler</x:v>
      </x:c>
      <x:c r="O591" s="9" t="str">
        <x:v>01</x:v>
      </x:c>
    </x:row>
    <x:row r="592" ht="18" customHeight="1">
      <x:c r="A592" s="2" t="str">
        <x:v>legacy_n5_07</x:v>
      </x:c>
      <x:c r="B592" s="2" t="str">
        <x:v>BPSO</x:v>
      </x:c>
      <x:c r="C592" s="2" t="n">
        <x:v>123</x:v>
      </x:c>
      <x:c r="D592" s="2" t="str">
        <x:v>success</x:v>
      </x:c>
      <x:c r="E592" s="2" t="n">
        <x:v>2</x:v>
      </x:c>
      <x:c r="F592" s="7" t="n">
        <x:v>73.88333333333334</x:v>
      </x:c>
      <x:c r="G592" s="7" t="n">
        <x:v>48.88333333333333</x:v>
      </x:c>
      <x:c r="H592" s="7" t="n">
        <x:f>IF(F592=0,"n.a.",100*(F592-G592)/F592)</x:f>
        <x:v>33.83713061132417</x:v>
      </x:c>
      <x:c r="I592" s="7" t="n">
        <x:f>F592-G592</x:f>
        <x:v>25.000000000000007</x:v>
      </x:c>
      <x:c r="J592" s="8" t="n">
        <x:v>0.17511913973065268</x:v>
      </x:c>
      <x:c r="K592" s="8" t="n">
        <x:v>0.17511913973065268</x:v>
      </x:c>
      <x:c r="L592" s="8" t="n">
        <x:v>0</x:v>
      </x:c>
      <x:c r="M592" s="7" t="n">
        <x:v>12.94259999122005</x:v>
      </x:c>
      <x:c r="N592" s="2" t="str">
        <x:v>repository_particle_dynamics_on_frozen_qubo</x:v>
      </x:c>
      <x:c r="O592" s="9" t="str">
        <x:v>10</x:v>
      </x:c>
    </x:row>
    <x:row r="593" ht="18" customHeight="1">
      <x:c r="A593" s="2" t="str">
        <x:v>legacy_n5_07</x:v>
      </x:c>
      <x:c r="B593" s="2" t="str">
        <x:v>QAOA</x:v>
      </x:c>
      <x:c r="C593" s="2" t="n">
        <x:v>123</x:v>
      </x:c>
      <x:c r="D593" s="2" t="str">
        <x:v>success</x:v>
      </x:c>
      <x:c r="E593" s="2" t="n">
        <x:v>2</x:v>
      </x:c>
      <x:c r="F593" s="7" t="n">
        <x:v>73.88333333333334</x:v>
      </x:c>
      <x:c r="G593" s="7" t="n">
        <x:v>48.88333333333333</x:v>
      </x:c>
      <x:c r="H593" s="7" t="n">
        <x:f>IF(F593=0,"n.a.",100*(F593-G593)/F593)</x:f>
        <x:v>33.83713061132417</x:v>
      </x:c>
      <x:c r="I593" s="7" t="n">
        <x:f>F593-G593</x:f>
        <x:v>25.000000000000007</x:v>
      </x:c>
      <x:c r="J593" s="8" t="n">
        <x:v>0.17511913973065268</x:v>
      </x:c>
      <x:c r="K593" s="8" t="n">
        <x:v>0.17511913973065268</x:v>
      </x:c>
      <x:c r="L593" s="8" t="n">
        <x:v>0</x:v>
      </x:c>
      <x:c r="M593" s="7" t="n">
        <x:v>138.82769999327138</x:v>
      </x:c>
      <x:c r="N593" s="2" t="str">
        <x:v>qiskit.primitives.StatevectorSampler</x:v>
      </x:c>
      <x:c r="O593" s="9" t="str">
        <x:v>01</x:v>
      </x:c>
    </x:row>
    <x:row r="594" ht="18" customHeight="1">
      <x:c r="A594" s="2" t="str">
        <x:v>legacy_n5_07</x:v>
      </x:c>
      <x:c r="B594" s="2" t="str">
        <x:v>BPSO</x:v>
      </x:c>
      <x:c r="C594" s="2" t="n">
        <x:v>456</x:v>
      </x:c>
      <x:c r="D594" s="2" t="str">
        <x:v>success</x:v>
      </x:c>
      <x:c r="E594" s="2" t="n">
        <x:v>2</x:v>
      </x:c>
      <x:c r="F594" s="7" t="n">
        <x:v>73.88333333333334</x:v>
      </x:c>
      <x:c r="G594" s="7" t="n">
        <x:v>48.88333333333333</x:v>
      </x:c>
      <x:c r="H594" s="7" t="n">
        <x:f>IF(F594=0,"n.a.",100*(F594-G594)/F594)</x:f>
        <x:v>33.83713061132417</x:v>
      </x:c>
      <x:c r="I594" s="7" t="n">
        <x:f>F594-G594</x:f>
        <x:v>25.000000000000007</x:v>
      </x:c>
      <x:c r="J594" s="8" t="n">
        <x:v>0.17511913973065268</x:v>
      </x:c>
      <x:c r="K594" s="8" t="n">
        <x:v>0.17511913973065268</x:v>
      </x:c>
      <x:c r="L594" s="8" t="n">
        <x:v>0</x:v>
      </x:c>
      <x:c r="M594" s="7" t="n">
        <x:v>12.766899992129765</x:v>
      </x:c>
      <x:c r="N594" s="2" t="str">
        <x:v>repository_particle_dynamics_on_frozen_qubo</x:v>
      </x:c>
      <x:c r="O594" s="9" t="str">
        <x:v>10</x:v>
      </x:c>
    </x:row>
    <x:row r="595" ht="18" customHeight="1">
      <x:c r="A595" s="2" t="str">
        <x:v>legacy_n5_07</x:v>
      </x:c>
      <x:c r="B595" s="2" t="str">
        <x:v>QAOA</x:v>
      </x:c>
      <x:c r="C595" s="2" t="n">
        <x:v>456</x:v>
      </x:c>
      <x:c r="D595" s="2" t="str">
        <x:v>success</x:v>
      </x:c>
      <x:c r="E595" s="2" t="n">
        <x:v>2</x:v>
      </x:c>
      <x:c r="F595" s="7" t="n">
        <x:v>73.88333333333334</x:v>
      </x:c>
      <x:c r="G595" s="7" t="n">
        <x:v>48.88333333333333</x:v>
      </x:c>
      <x:c r="H595" s="7" t="n">
        <x:f>IF(F595=0,"n.a.",100*(F595-G595)/F595)</x:f>
        <x:v>33.83713061132417</x:v>
      </x:c>
      <x:c r="I595" s="7" t="n">
        <x:f>F595-G595</x:f>
        <x:v>25.000000000000007</x:v>
      </x:c>
      <x:c r="J595" s="8" t="n">
        <x:v>0.17511913973065268</x:v>
      </x:c>
      <x:c r="K595" s="8" t="n">
        <x:v>0.17511913973065268</x:v>
      </x:c>
      <x:c r="L595" s="8" t="n">
        <x:v>0</x:v>
      </x:c>
      <x:c r="M595" s="7" t="n">
        <x:v>85.40300000458956</x:v>
      </x:c>
      <x:c r="N595" s="2" t="str">
        <x:v>qiskit.primitives.StatevectorSampler</x:v>
      </x:c>
      <x:c r="O595" s="9" t="str">
        <x:v>10</x:v>
      </x:c>
    </x:row>
    <x:row r="596" ht="18" customHeight="1">
      <x:c r="A596" s="2" t="str">
        <x:v>legacy_n5_07</x:v>
      </x:c>
      <x:c r="B596" s="2" t="str">
        <x:v>BPSO</x:v>
      </x:c>
      <x:c r="C596" s="2" t="n">
        <x:v>789</x:v>
      </x:c>
      <x:c r="D596" s="2" t="str">
        <x:v>success</x:v>
      </x:c>
      <x:c r="E596" s="2" t="n">
        <x:v>2</x:v>
      </x:c>
      <x:c r="F596" s="7" t="n">
        <x:v>73.88333333333334</x:v>
      </x:c>
      <x:c r="G596" s="7" t="n">
        <x:v>48.88333333333333</x:v>
      </x:c>
      <x:c r="H596" s="7" t="n">
        <x:f>IF(F596=0,"n.a.",100*(F596-G596)/F596)</x:f>
        <x:v>33.83713061132417</x:v>
      </x:c>
      <x:c r="I596" s="7" t="n">
        <x:f>F596-G596</x:f>
        <x:v>25.000000000000007</x:v>
      </x:c>
      <x:c r="J596" s="8" t="n">
        <x:v>0.17511913973065268</x:v>
      </x:c>
      <x:c r="K596" s="8" t="n">
        <x:v>0.17511913973065268</x:v>
      </x:c>
      <x:c r="L596" s="8" t="n">
        <x:v>0</x:v>
      </x:c>
      <x:c r="M596" s="7" t="n">
        <x:v>12.782500009052455</x:v>
      </x:c>
      <x:c r="N596" s="2" t="str">
        <x:v>repository_particle_dynamics_on_frozen_qubo</x:v>
      </x:c>
      <x:c r="O596" s="9" t="str">
        <x:v>01</x:v>
      </x:c>
    </x:row>
    <x:row r="597" ht="18" customHeight="1">
      <x:c r="A597" s="2" t="str">
        <x:v>legacy_n5_07</x:v>
      </x:c>
      <x:c r="B597" s="2" t="str">
        <x:v>QAOA</x:v>
      </x:c>
      <x:c r="C597" s="2" t="n">
        <x:v>789</x:v>
      </x:c>
      <x:c r="D597" s="2" t="str">
        <x:v>success</x:v>
      </x:c>
      <x:c r="E597" s="2" t="n">
        <x:v>2</x:v>
      </x:c>
      <x:c r="F597" s="7" t="n">
        <x:v>73.88333333333334</x:v>
      </x:c>
      <x:c r="G597" s="7" t="n">
        <x:v>48.88333333333333</x:v>
      </x:c>
      <x:c r="H597" s="7" t="n">
        <x:f>IF(F597=0,"n.a.",100*(F597-G597)/F597)</x:f>
        <x:v>33.83713061132417</x:v>
      </x:c>
      <x:c r="I597" s="7" t="n">
        <x:f>F597-G597</x:f>
        <x:v>25.000000000000007</x:v>
      </x:c>
      <x:c r="J597" s="8" t="n">
        <x:v>0.17511913973065268</x:v>
      </x:c>
      <x:c r="K597" s="8" t="n">
        <x:v>0.17511913973065268</x:v>
      </x:c>
      <x:c r="L597" s="8" t="n">
        <x:v>0</x:v>
      </x:c>
      <x:c r="M597" s="7" t="n">
        <x:v>115.01720000524074</x:v>
      </x:c>
      <x:c r="N597" s="2" t="str">
        <x:v>qiskit.primitives.StatevectorSampler</x:v>
      </x:c>
      <x:c r="O597" s="9" t="str">
        <x:v>01</x:v>
      </x:c>
    </x:row>
    <x:row r="598" ht="18" customHeight="1">
      <x:c r="A598" s="2" t="str">
        <x:v>legacy_n5_07</x:v>
      </x:c>
      <x:c r="B598" s="2" t="str">
        <x:v>BPSO</x:v>
      </x:c>
      <x:c r="C598" s="2" t="n">
        <x:v>2026</x:v>
      </x:c>
      <x:c r="D598" s="2" t="str">
        <x:v>success</x:v>
      </x:c>
      <x:c r="E598" s="2" t="n">
        <x:v>2</x:v>
      </x:c>
      <x:c r="F598" s="7" t="n">
        <x:v>73.88333333333334</x:v>
      </x:c>
      <x:c r="G598" s="7" t="n">
        <x:v>48.88333333333333</x:v>
      </x:c>
      <x:c r="H598" s="7" t="n">
        <x:f>IF(F598=0,"n.a.",100*(F598-G598)/F598)</x:f>
        <x:v>33.83713061132417</x:v>
      </x:c>
      <x:c r="I598" s="7" t="n">
        <x:f>F598-G598</x:f>
        <x:v>25.000000000000007</x:v>
      </x:c>
      <x:c r="J598" s="8" t="n">
        <x:v>0.17511913973065268</x:v>
      </x:c>
      <x:c r="K598" s="8" t="n">
        <x:v>0.17511913973065268</x:v>
      </x:c>
      <x:c r="L598" s="8" t="n">
        <x:v>0</x:v>
      </x:c>
      <x:c r="M598" s="7" t="n">
        <x:v>12.70170000498183</x:v>
      </x:c>
      <x:c r="N598" s="2" t="str">
        <x:v>repository_particle_dynamics_on_frozen_qubo</x:v>
      </x:c>
      <x:c r="O598" s="9" t="str">
        <x:v>01</x:v>
      </x:c>
    </x:row>
    <x:row r="599" ht="18" customHeight="1">
      <x:c r="A599" s="2" t="str">
        <x:v>legacy_n5_07</x:v>
      </x:c>
      <x:c r="B599" s="2" t="str">
        <x:v>QAOA</x:v>
      </x:c>
      <x:c r="C599" s="2" t="n">
        <x:v>2026</x:v>
      </x:c>
      <x:c r="D599" s="2" t="str">
        <x:v>success</x:v>
      </x:c>
      <x:c r="E599" s="2" t="n">
        <x:v>2</x:v>
      </x:c>
      <x:c r="F599" s="7" t="n">
        <x:v>73.88333333333334</x:v>
      </x:c>
      <x:c r="G599" s="7" t="n">
        <x:v>48.88333333333333</x:v>
      </x:c>
      <x:c r="H599" s="7" t="n">
        <x:f>IF(F599=0,"n.a.",100*(F599-G599)/F599)</x:f>
        <x:v>33.83713061132417</x:v>
      </x:c>
      <x:c r="I599" s="7" t="n">
        <x:f>F599-G599</x:f>
        <x:v>25.000000000000007</x:v>
      </x:c>
      <x:c r="J599" s="8" t="n">
        <x:v>0.17511913973065268</x:v>
      </x:c>
      <x:c r="K599" s="8" t="n">
        <x:v>0.17511913973065268</x:v>
      </x:c>
      <x:c r="L599" s="8" t="n">
        <x:v>0</x:v>
      </x:c>
      <x:c r="M599" s="7" t="n">
        <x:v>124.00840000191238</x:v>
      </x:c>
      <x:c r="N599" s="2" t="str">
        <x:v>qiskit.primitives.StatevectorSampler</x:v>
      </x:c>
      <x:c r="O599" s="9" t="str">
        <x:v>10</x:v>
      </x:c>
    </x:row>
    <x:row r="600" ht="18" customHeight="1">
      <x:c r="A600" s="2" t="str">
        <x:v>legacy_n5_08</x:v>
      </x:c>
      <x:c r="B600" s="2" t="str">
        <x:v>Unmanaged</x:v>
      </x:c>
      <x:c r="C600" s="2"/>
      <x:c r="D600" s="2" t="str">
        <x:v>baseline</x:v>
      </x:c>
      <x:c r="E600" s="2" t="n">
        <x:v>7</x:v>
      </x:c>
      <x:c r="F600" s="7" t="n">
        <x:v>79.76666666666667</x:v>
      </x:c>
      <x:c r="G600" s="7" t="n">
        <x:v>79.76666666666667</x:v>
      </x:c>
      <x:c r="H600" s="7" t="n">
        <x:f>IF(F600=0,"n.a.",100*(F600-G600)/F600)</x:f>
        <x:v>0</x:v>
      </x:c>
      <x:c r="I600" s="7" t="n">
        <x:f>F600-G600</x:f>
        <x:v>0</x:v>
      </x:c>
      <x:c r="J600" s="8"/>
      <x:c r="K600" s="8" t="n">
        <x:v>0.2238777284115816</x:v>
      </x:c>
      <x:c r="L600" s="8"/>
      <x:c r="M600" s="7"/>
      <x:c r="N600" s="2" t="str">
        <x:v>unmanaged_input</x:v>
      </x:c>
      <x:c r="O600" s="9"/>
    </x:row>
    <x:row r="601" ht="18" customHeight="1">
      <x:c r="A601" s="2" t="str">
        <x:v>legacy_n5_08</x:v>
      </x:c>
      <x:c r="B601" s="2" t="str">
        <x:v>Exact J</x:v>
      </x:c>
      <x:c r="C601" s="2"/>
      <x:c r="D601" s="2" t="str">
        <x:v>success</x:v>
      </x:c>
      <x:c r="E601" s="2" t="n">
        <x:v>7</x:v>
      </x:c>
      <x:c r="F601" s="7" t="n">
        <x:v>79.76666666666667</x:v>
      </x:c>
      <x:c r="G601" s="7" t="n">
        <x:v>65.82941176470588</x:v>
      </x:c>
      <x:c r="H601" s="7" t="n">
        <x:f>IF(F601=0,"n.a.",100*(F601-G601)/F601)</x:f>
        <x:v>17.472530173791206</x:v>
      </x:c>
      <x:c r="I601" s="7" t="n">
        <x:f>F601-G601</x:f>
        <x:v>13.937254901960785</x:v>
      </x:c>
      <x:c r="J601" s="8" t="n">
        <x:v>0.2238777284115816</x:v>
      </x:c>
      <x:c r="K601" s="8" t="n">
        <x:v>0.2238777284115816</x:v>
      </x:c>
      <x:c r="L601" s="8" t="n">
        <x:v>0</x:v>
      </x:c>
      <x:c r="M601" s="7"/>
      <x:c r="N601" s="2" t="str">
        <x:v>exhaustive_enumeration</x:v>
      </x:c>
      <x:c r="O601" s="9" t="str">
        <x:v>0010011</x:v>
      </x:c>
    </x:row>
    <x:row r="602" ht="18" customHeight="1">
      <x:c r="A602" s="2" t="str">
        <x:v>legacy_n5_08</x:v>
      </x:c>
      <x:c r="B602" s="2" t="str">
        <x:v>Exact peak</x:v>
      </x:c>
      <x:c r="C602" s="2"/>
      <x:c r="D602" s="2" t="str">
        <x:v>success</x:v>
      </x:c>
      <x:c r="E602" s="2" t="n">
        <x:v>7</x:v>
      </x:c>
      <x:c r="F602" s="7" t="n">
        <x:v>79.76666666666667</x:v>
      </x:c>
      <x:c r="G602" s="7" t="n">
        <x:v>65.82941176470588</x:v>
      </x:c>
      <x:c r="H602" s="7" t="n">
        <x:f>IF(F602=0,"n.a.",100*(F602-G602)/F602)</x:f>
        <x:v>17.472530173791206</x:v>
      </x:c>
      <x:c r="I602" s="7" t="n">
        <x:f>F602-G602</x:f>
        <x:v>13.937254901960785</x:v>
      </x:c>
      <x:c r="J602" s="8" t="n">
        <x:v>0.2238777284115816</x:v>
      </x:c>
      <x:c r="K602" s="8" t="n">
        <x:v>0.2238777284115816</x:v>
      </x:c>
      <x:c r="L602" s="8" t="n">
        <x:v>0</x:v>
      </x:c>
      <x:c r="M602" s="7"/>
      <x:c r="N602" s="2" t="str">
        <x:v>exhaustive_enumeration</x:v>
      </x:c>
      <x:c r="O602" s="9" t="str">
        <x:v>0010011</x:v>
      </x:c>
    </x:row>
    <x:row r="603" ht="18" customHeight="1">
      <x:c r="A603" s="2" t="str">
        <x:v>legacy_n5_08</x:v>
      </x:c>
      <x:c r="B603" s="2" t="str">
        <x:v>BPSO</x:v>
      </x:c>
      <x:c r="C603" s="2" t="n">
        <x:v>42</x:v>
      </x:c>
      <x:c r="D603" s="2" t="str">
        <x:v>success</x:v>
      </x:c>
      <x:c r="E603" s="2" t="n">
        <x:v>7</x:v>
      </x:c>
      <x:c r="F603" s="7" t="n">
        <x:v>79.76666666666667</x:v>
      </x:c>
      <x:c r="G603" s="7" t="n">
        <x:v>65.82941176470588</x:v>
      </x:c>
      <x:c r="H603" s="7" t="n">
        <x:f>IF(F603=0,"n.a.",100*(F603-G603)/F603)</x:f>
        <x:v>17.472530173791206</x:v>
      </x:c>
      <x:c r="I603" s="7" t="n">
        <x:f>F603-G603</x:f>
        <x:v>13.937254901960785</x:v>
      </x:c>
      <x:c r="J603" s="8" t="n">
        <x:v>0.2238777284115816</x:v>
      </x:c>
      <x:c r="K603" s="8" t="n">
        <x:v>0.2238777284115816</x:v>
      </x:c>
      <x:c r="L603" s="8" t="n">
        <x:v>0</x:v>
      </x:c>
      <x:c r="M603" s="7" t="n">
        <x:v>17.3575999942841</x:v>
      </x:c>
      <x:c r="N603" s="2" t="str">
        <x:v>repository_particle_dynamics_on_frozen_qubo</x:v>
      </x:c>
      <x:c r="O603" s="9" t="str">
        <x:v>0100101</x:v>
      </x:c>
    </x:row>
    <x:row r="604" ht="18" customHeight="1">
      <x:c r="A604" s="2" t="str">
        <x:v>legacy_n5_08</x:v>
      </x:c>
      <x:c r="B604" s="2" t="str">
        <x:v>QAOA</x:v>
      </x:c>
      <x:c r="C604" s="2" t="n">
        <x:v>42</x:v>
      </x:c>
      <x:c r="D604" s="2" t="str">
        <x:v>success</x:v>
      </x:c>
      <x:c r="E604" s="2" t="n">
        <x:v>7</x:v>
      </x:c>
      <x:c r="F604" s="7" t="n">
        <x:v>79.76666666666667</x:v>
      </x:c>
      <x:c r="G604" s="7" t="n">
        <x:v>65.82941176470588</x:v>
      </x:c>
      <x:c r="H604" s="7" t="n">
        <x:f>IF(F604=0,"n.a.",100*(F604-G604)/F604)</x:f>
        <x:v>17.472530173791206</x:v>
      </x:c>
      <x:c r="I604" s="7" t="n">
        <x:f>F604-G604</x:f>
        <x:v>13.937254901960785</x:v>
      </x:c>
      <x:c r="J604" s="8" t="n">
        <x:v>0.22387772841158166</x:v>
      </x:c>
      <x:c r="K604" s="8" t="n">
        <x:v>0.2238777284115816</x:v>
      </x:c>
      <x:c r="L604" s="8" t="n">
        <x:v>5.551115123125783e-17</x:v>
      </x:c>
      <x:c r="M604" s="7" t="n">
        <x:v>339.7234000003664</x:v>
      </x:c>
      <x:c r="N604" s="2" t="str">
        <x:v>qiskit.primitives.StatevectorSampler</x:v>
      </x:c>
      <x:c r="O604" s="9" t="str">
        <x:v>0010011</x:v>
      </x:c>
    </x:row>
    <x:row r="605" ht="18" customHeight="1">
      <x:c r="A605" s="2" t="str">
        <x:v>legacy_n5_08</x:v>
      </x:c>
      <x:c r="B605" s="2" t="str">
        <x:v>BPSO</x:v>
      </x:c>
      <x:c r="C605" s="2" t="n">
        <x:v>123</x:v>
      </x:c>
      <x:c r="D605" s="2" t="str">
        <x:v>success</x:v>
      </x:c>
      <x:c r="E605" s="2" t="n">
        <x:v>7</x:v>
      </x:c>
      <x:c r="F605" s="7" t="n">
        <x:v>79.76666666666667</x:v>
      </x:c>
      <x:c r="G605" s="7" t="n">
        <x:v>65.82941176470588</x:v>
      </x:c>
      <x:c r="H605" s="7" t="n">
        <x:f>IF(F605=0,"n.a.",100*(F605-G605)/F605)</x:f>
        <x:v>17.472530173791206</x:v>
      </x:c>
      <x:c r="I605" s="7" t="n">
        <x:f>F605-G605</x:f>
        <x:v>13.937254901960785</x:v>
      </x:c>
      <x:c r="J605" s="8" t="n">
        <x:v>0.2238777284115816</x:v>
      </x:c>
      <x:c r="K605" s="8" t="n">
        <x:v>0.2238777284115816</x:v>
      </x:c>
      <x:c r="L605" s="8" t="n">
        <x:v>0</x:v>
      </x:c>
      <x:c r="M605" s="7" t="n">
        <x:v>16.93719999457244</x:v>
      </x:c>
      <x:c r="N605" s="2" t="str">
        <x:v>repository_particle_dynamics_on_frozen_qubo</x:v>
      </x:c>
      <x:c r="O605" s="9" t="str">
        <x:v>1000011</x:v>
      </x:c>
    </x:row>
    <x:row r="606" ht="18" customHeight="1">
      <x:c r="A606" s="2" t="str">
        <x:v>legacy_n5_08</x:v>
      </x:c>
      <x:c r="B606" s="2" t="str">
        <x:v>QAOA</x:v>
      </x:c>
      <x:c r="C606" s="2" t="n">
        <x:v>123</x:v>
      </x:c>
      <x:c r="D606" s="2" t="str">
        <x:v>success</x:v>
      </x:c>
      <x:c r="E606" s="2" t="n">
        <x:v>7</x:v>
      </x:c>
      <x:c r="F606" s="7" t="n">
        <x:v>79.76666666666667</x:v>
      </x:c>
      <x:c r="G606" s="7" t="n">
        <x:v>65.82941176470588</x:v>
      </x:c>
      <x:c r="H606" s="7" t="n">
        <x:f>IF(F606=0,"n.a.",100*(F606-G606)/F606)</x:f>
        <x:v>17.472530173791206</x:v>
      </x:c>
      <x:c r="I606" s="7" t="n">
        <x:f>F606-G606</x:f>
        <x:v>13.937254901960785</x:v>
      </x:c>
      <x:c r="J606" s="8" t="n">
        <x:v>0.22387772841158166</x:v>
      </x:c>
      <x:c r="K606" s="8" t="n">
        <x:v>0.2238777284115816</x:v>
      </x:c>
      <x:c r="L606" s="8" t="n">
        <x:v>5.551115123125783e-17</x:v>
      </x:c>
      <x:c r="M606" s="7" t="n">
        <x:v>311.93009999697097</x:v>
      </x:c>
      <x:c r="N606" s="2" t="str">
        <x:v>qiskit.primitives.StatevectorSampler</x:v>
      </x:c>
      <x:c r="O606" s="9" t="str">
        <x:v>1001100</x:v>
      </x:c>
    </x:row>
    <x:row r="607" ht="18" customHeight="1">
      <x:c r="A607" s="2" t="str">
        <x:v>legacy_n5_08</x:v>
      </x:c>
      <x:c r="B607" s="2" t="str">
        <x:v>BPSO</x:v>
      </x:c>
      <x:c r="C607" s="2" t="n">
        <x:v>456</x:v>
      </x:c>
      <x:c r="D607" s="2" t="str">
        <x:v>success</x:v>
      </x:c>
      <x:c r="E607" s="2" t="n">
        <x:v>7</x:v>
      </x:c>
      <x:c r="F607" s="7" t="n">
        <x:v>79.76666666666667</x:v>
      </x:c>
      <x:c r="G607" s="7" t="n">
        <x:v>65.82941176470588</x:v>
      </x:c>
      <x:c r="H607" s="7" t="n">
        <x:f>IF(F607=0,"n.a.",100*(F607-G607)/F607)</x:f>
        <x:v>17.472530173791206</x:v>
      </x:c>
      <x:c r="I607" s="7" t="n">
        <x:f>F607-G607</x:f>
        <x:v>13.937254901960785</x:v>
      </x:c>
      <x:c r="J607" s="8" t="n">
        <x:v>0.2238777284115816</x:v>
      </x:c>
      <x:c r="K607" s="8" t="n">
        <x:v>0.2238777284115816</x:v>
      </x:c>
      <x:c r="L607" s="8" t="n">
        <x:v>0</x:v>
      </x:c>
      <x:c r="M607" s="7" t="n">
        <x:v>16.568299994105473</x:v>
      </x:c>
      <x:c r="N607" s="2" t="str">
        <x:v>repository_particle_dynamics_on_frozen_qubo</x:v>
      </x:c>
      <x:c r="O607" s="9" t="str">
        <x:v>0101001</x:v>
      </x:c>
    </x:row>
    <x:row r="608" ht="18" customHeight="1">
      <x:c r="A608" s="2" t="str">
        <x:v>legacy_n5_08</x:v>
      </x:c>
      <x:c r="B608" s="2" t="str">
        <x:v>QAOA</x:v>
      </x:c>
      <x:c r="C608" s="2" t="n">
        <x:v>456</x:v>
      </x:c>
      <x:c r="D608" s="2" t="str">
        <x:v>success</x:v>
      </x:c>
      <x:c r="E608" s="2" t="n">
        <x:v>7</x:v>
      </x:c>
      <x:c r="F608" s="7" t="n">
        <x:v>79.76666666666667</x:v>
      </x:c>
      <x:c r="G608" s="7" t="n">
        <x:v>65.82941176470588</x:v>
      </x:c>
      <x:c r="H608" s="7" t="n">
        <x:f>IF(F608=0,"n.a.",100*(F608-G608)/F608)</x:f>
        <x:v>17.472530173791206</x:v>
      </x:c>
      <x:c r="I608" s="7" t="n">
        <x:f>F608-G608</x:f>
        <x:v>13.937254901960785</x:v>
      </x:c>
      <x:c r="J608" s="8" t="n">
        <x:v>0.22387772841158166</x:v>
      </x:c>
      <x:c r="K608" s="8" t="n">
        <x:v>0.2238777284115816</x:v>
      </x:c>
      <x:c r="L608" s="8" t="n">
        <x:v>5.551115123125783e-17</x:v>
      </x:c>
      <x:c r="M608" s="7" t="n">
        <x:v>335.1479999982985</x:v>
      </x:c>
      <x:c r="N608" s="2" t="str">
        <x:v>qiskit.primitives.StatevectorSampler</x:v>
      </x:c>
      <x:c r="O608" s="9" t="str">
        <x:v>1000110</x:v>
      </x:c>
    </x:row>
    <x:row r="609" ht="18" customHeight="1">
      <x:c r="A609" s="2" t="str">
        <x:v>legacy_n5_08</x:v>
      </x:c>
      <x:c r="B609" s="2" t="str">
        <x:v>BPSO</x:v>
      </x:c>
      <x:c r="C609" s="2" t="n">
        <x:v>789</x:v>
      </x:c>
      <x:c r="D609" s="2" t="str">
        <x:v>success</x:v>
      </x:c>
      <x:c r="E609" s="2" t="n">
        <x:v>7</x:v>
      </x:c>
      <x:c r="F609" s="7" t="n">
        <x:v>79.76666666666667</x:v>
      </x:c>
      <x:c r="G609" s="7" t="n">
        <x:v>65.82941176470588</x:v>
      </x:c>
      <x:c r="H609" s="7" t="n">
        <x:f>IF(F609=0,"n.a.",100*(F609-G609)/F609)</x:f>
        <x:v>17.472530173791206</x:v>
      </x:c>
      <x:c r="I609" s="7" t="n">
        <x:f>F609-G609</x:f>
        <x:v>13.937254901960785</x:v>
      </x:c>
      <x:c r="J609" s="8" t="n">
        <x:v>0.2238777284115816</x:v>
      </x:c>
      <x:c r="K609" s="8" t="n">
        <x:v>0.2238777284115816</x:v>
      </x:c>
      <x:c r="L609" s="8" t="n">
        <x:v>0</x:v>
      </x:c>
      <x:c r="M609" s="7" t="n">
        <x:v>16.705200003343634</x:v>
      </x:c>
      <x:c r="N609" s="2" t="str">
        <x:v>repository_particle_dynamics_on_frozen_qubo</x:v>
      </x:c>
      <x:c r="O609" s="9" t="str">
        <x:v>1001001</x:v>
      </x:c>
    </x:row>
    <x:row r="610" ht="18" customHeight="1">
      <x:c r="A610" s="2" t="str">
        <x:v>legacy_n5_08</x:v>
      </x:c>
      <x:c r="B610" s="2" t="str">
        <x:v>QAOA</x:v>
      </x:c>
      <x:c r="C610" s="2" t="n">
        <x:v>789</x:v>
      </x:c>
      <x:c r="D610" s="2" t="str">
        <x:v>success</x:v>
      </x:c>
      <x:c r="E610" s="2" t="n">
        <x:v>7</x:v>
      </x:c>
      <x:c r="F610" s="7" t="n">
        <x:v>79.76666666666667</x:v>
      </x:c>
      <x:c r="G610" s="7" t="n">
        <x:v>65.82941176470588</x:v>
      </x:c>
      <x:c r="H610" s="7" t="n">
        <x:f>IF(F610=0,"n.a.",100*(F610-G610)/F610)</x:f>
        <x:v>17.472530173791206</x:v>
      </x:c>
      <x:c r="I610" s="7" t="n">
        <x:f>F610-G610</x:f>
        <x:v>13.937254901960785</x:v>
      </x:c>
      <x:c r="J610" s="8" t="n">
        <x:v>0.22387772841158166</x:v>
      </x:c>
      <x:c r="K610" s="8" t="n">
        <x:v>0.2238777284115816</x:v>
      </x:c>
      <x:c r="L610" s="8" t="n">
        <x:v>5.551115123125783e-17</x:v>
      </x:c>
      <x:c r="M610" s="7" t="n">
        <x:v>290.1927000057185</x:v>
      </x:c>
      <x:c r="N610" s="2" t="str">
        <x:v>qiskit.primitives.StatevectorSampler</x:v>
      </x:c>
      <x:c r="O610" s="9" t="str">
        <x:v>0010101</x:v>
      </x:c>
    </x:row>
    <x:row r="611" ht="18" customHeight="1">
      <x:c r="A611" s="2" t="str">
        <x:v>legacy_n5_08</x:v>
      </x:c>
      <x:c r="B611" s="2" t="str">
        <x:v>BPSO</x:v>
      </x:c>
      <x:c r="C611" s="2" t="n">
        <x:v>2026</x:v>
      </x:c>
      <x:c r="D611" s="2" t="str">
        <x:v>success</x:v>
      </x:c>
      <x:c r="E611" s="2" t="n">
        <x:v>7</x:v>
      </x:c>
      <x:c r="F611" s="7" t="n">
        <x:v>79.76666666666667</x:v>
      </x:c>
      <x:c r="G611" s="7" t="n">
        <x:v>65.82941176470588</x:v>
      </x:c>
      <x:c r="H611" s="7" t="n">
        <x:f>IF(F611=0,"n.a.",100*(F611-G611)/F611)</x:f>
        <x:v>17.472530173791206</x:v>
      </x:c>
      <x:c r="I611" s="7" t="n">
        <x:f>F611-G611</x:f>
        <x:v>13.937254901960785</x:v>
      </x:c>
      <x:c r="J611" s="8" t="n">
        <x:v>0.2238777284115816</x:v>
      </x:c>
      <x:c r="K611" s="8" t="n">
        <x:v>0.2238777284115816</x:v>
      </x:c>
      <x:c r="L611" s="8" t="n">
        <x:v>0</x:v>
      </x:c>
      <x:c r="M611" s="7" t="n">
        <x:v>16.831999993883073</x:v>
      </x:c>
      <x:c r="N611" s="2" t="str">
        <x:v>repository_particle_dynamics_on_frozen_qubo</x:v>
      </x:c>
      <x:c r="O611" s="9" t="str">
        <x:v>0100011</x:v>
      </x:c>
    </x:row>
    <x:row r="612" ht="18" customHeight="1">
      <x:c r="A612" s="2" t="str">
        <x:v>legacy_n5_08</x:v>
      </x:c>
      <x:c r="B612" s="2" t="str">
        <x:v>QAOA</x:v>
      </x:c>
      <x:c r="C612" s="2" t="n">
        <x:v>2026</x:v>
      </x:c>
      <x:c r="D612" s="2" t="str">
        <x:v>success</x:v>
      </x:c>
      <x:c r="E612" s="2" t="n">
        <x:v>7</x:v>
      </x:c>
      <x:c r="F612" s="7" t="n">
        <x:v>79.76666666666667</x:v>
      </x:c>
      <x:c r="G612" s="7" t="n">
        <x:v>65.82941176470588</x:v>
      </x:c>
      <x:c r="H612" s="7" t="n">
        <x:f>IF(F612=0,"n.a.",100*(F612-G612)/F612)</x:f>
        <x:v>17.472530173791206</x:v>
      </x:c>
      <x:c r="I612" s="7" t="n">
        <x:f>F612-G612</x:f>
        <x:v>13.937254901960785</x:v>
      </x:c>
      <x:c r="J612" s="8" t="n">
        <x:v>0.22387772841158166</x:v>
      </x:c>
      <x:c r="K612" s="8" t="n">
        <x:v>0.2238777284115816</x:v>
      </x:c>
      <x:c r="L612" s="8" t="n">
        <x:v>5.551115123125783e-17</x:v>
      </x:c>
      <x:c r="M612" s="7" t="n">
        <x:v>371.19459999667015</x:v>
      </x:c>
      <x:c r="N612" s="2" t="str">
        <x:v>qiskit.primitives.StatevectorSampler</x:v>
      </x:c>
      <x:c r="O612" s="9" t="str">
        <x:v>0011010</x:v>
      </x:c>
    </x:row>
    <x:row r="613" ht="18" customHeight="1">
      <x:c r="A613" s="2" t="str">
        <x:v>legacy_n5_09</x:v>
      </x:c>
      <x:c r="B613" s="2" t="str">
        <x:v>Unmanaged</x:v>
      </x:c>
      <x:c r="C613" s="2"/>
      <x:c r="D613" s="2" t="str">
        <x:v>baseline</x:v>
      </x:c>
      <x:c r="E613" s="2" t="n">
        <x:v>10</x:v>
      </x:c>
      <x:c r="F613" s="7" t="n">
        <x:v>84.45416666666668</x:v>
      </x:c>
      <x:c r="G613" s="7" t="n">
        <x:v>84.45416666666668</x:v>
      </x:c>
      <x:c r="H613" s="7" t="n">
        <x:f>IF(F613=0,"n.a.",100*(F613-G613)/F613)</x:f>
        <x:v>0</x:v>
      </x:c>
      <x:c r="I613" s="7" t="n">
        <x:f>F613-G613</x:f>
        <x:v>0</x:v>
      </x:c>
      <x:c r="J613" s="8"/>
      <x:c r="K613" s="8" t="n">
        <x:v>0.981620272834509</x:v>
      </x:c>
      <x:c r="L613" s="8"/>
      <x:c r="M613" s="7"/>
      <x:c r="N613" s="2" t="str">
        <x:v>unmanaged_input</x:v>
      </x:c>
      <x:c r="O613" s="9"/>
    </x:row>
    <x:row r="614" ht="18" customHeight="1">
      <x:c r="A614" s="2" t="str">
        <x:v>legacy_n5_09</x:v>
      </x:c>
      <x:c r="B614" s="2" t="str">
        <x:v>Exact J</x:v>
      </x:c>
      <x:c r="C614" s="2"/>
      <x:c r="D614" s="2" t="str">
        <x:v>success</x:v>
      </x:c>
      <x:c r="E614" s="2" t="n">
        <x:v>10</x:v>
      </x:c>
      <x:c r="F614" s="7" t="n">
        <x:v>84.45416666666668</x:v>
      </x:c>
      <x:c r="G614" s="7" t="n">
        <x:v>81.56666666666666</x:v>
      </x:c>
      <x:c r="H614" s="7" t="n">
        <x:f>IF(F614=0,"n.a.",100*(F614-G614)/F614)</x:f>
        <x:v>3.4190142582268686</x:v>
      </x:c>
      <x:c r="I614" s="7" t="n">
        <x:f>F614-G614</x:f>
        <x:v>2.887500000000017</x:v>
      </x:c>
      <x:c r="J614" s="8" t="n">
        <x:v>0.981620272834509</x:v>
      </x:c>
      <x:c r="K614" s="8" t="n">
        <x:v>0.981620272834509</x:v>
      </x:c>
      <x:c r="L614" s="8" t="n">
        <x:v>0</x:v>
      </x:c>
      <x:c r="M614" s="7"/>
      <x:c r="N614" s="2" t="str">
        <x:v>exhaustive_enumeration</x:v>
      </x:c>
      <x:c r="O614" s="9" t="str">
        <x:v>0001001111</x:v>
      </x:c>
    </x:row>
    <x:row r="615" ht="18" customHeight="1">
      <x:c r="A615" s="2" t="str">
        <x:v>legacy_n5_09</x:v>
      </x:c>
      <x:c r="B615" s="2" t="str">
        <x:v>Exact peak</x:v>
      </x:c>
      <x:c r="C615" s="2"/>
      <x:c r="D615" s="2" t="str">
        <x:v>success</x:v>
      </x:c>
      <x:c r="E615" s="2" t="n">
        <x:v>10</x:v>
      </x:c>
      <x:c r="F615" s="7" t="n">
        <x:v>84.45416666666668</x:v>
      </x:c>
      <x:c r="G615" s="7" t="n">
        <x:v>81.56666666666666</x:v>
      </x:c>
      <x:c r="H615" s="7" t="n">
        <x:f>IF(F615=0,"n.a.",100*(F615-G615)/F615)</x:f>
        <x:v>3.4190142582268686</x:v>
      </x:c>
      <x:c r="I615" s="7" t="n">
        <x:f>F615-G615</x:f>
        <x:v>2.887500000000017</x:v>
      </x:c>
      <x:c r="J615" s="8" t="n">
        <x:v>0.981620272834509</x:v>
      </x:c>
      <x:c r="K615" s="8" t="n">
        <x:v>0.981620272834509</x:v>
      </x:c>
      <x:c r="L615" s="8" t="n">
        <x:v>0</x:v>
      </x:c>
      <x:c r="M615" s="7"/>
      <x:c r="N615" s="2" t="str">
        <x:v>exhaustive_enumeration</x:v>
      </x:c>
      <x:c r="O615" s="9" t="str">
        <x:v>0001001111</x:v>
      </x:c>
    </x:row>
    <x:row r="616" ht="18" customHeight="1">
      <x:c r="A616" s="2" t="str">
        <x:v>legacy_n5_09</x:v>
      </x:c>
      <x:c r="B616" s="2" t="str">
        <x:v>BPSO</x:v>
      </x:c>
      <x:c r="C616" s="2" t="n">
        <x:v>42</x:v>
      </x:c>
      <x:c r="D616" s="2" t="str">
        <x:v>success</x:v>
      </x:c>
      <x:c r="E616" s="2" t="n">
        <x:v>10</x:v>
      </x:c>
      <x:c r="F616" s="7" t="n">
        <x:v>84.45416666666668</x:v>
      </x:c>
      <x:c r="G616" s="7" t="n">
        <x:v>81.56666666666666</x:v>
      </x:c>
      <x:c r="H616" s="7" t="n">
        <x:f>IF(F616=0,"n.a.",100*(F616-G616)/F616)</x:f>
        <x:v>3.4190142582268686</x:v>
      </x:c>
      <x:c r="I616" s="7" t="n">
        <x:f>F616-G616</x:f>
        <x:v>2.887500000000017</x:v>
      </x:c>
      <x:c r="J616" s="8" t="n">
        <x:v>0.981620272834509</x:v>
      </x:c>
      <x:c r="K616" s="8" t="n">
        <x:v>0.981620272834509</x:v>
      </x:c>
      <x:c r="L616" s="8" t="n">
        <x:v>0</x:v>
      </x:c>
      <x:c r="M616" s="7" t="n">
        <x:v>20.801200007554144</x:v>
      </x:c>
      <x:c r="N616" s="2" t="str">
        <x:v>repository_particle_dynamics_on_frozen_qubo</x:v>
      </x:c>
      <x:c r="O616" s="9" t="str">
        <x:v>0100101101</x:v>
      </x:c>
    </x:row>
    <x:row r="617" ht="18" customHeight="1">
      <x:c r="A617" s="2" t="str">
        <x:v>legacy_n5_09</x:v>
      </x:c>
      <x:c r="B617" s="2" t="str">
        <x:v>QAOA</x:v>
      </x:c>
      <x:c r="C617" s="2" t="n">
        <x:v>42</x:v>
      </x:c>
      <x:c r="D617" s="2" t="str">
        <x:v>success</x:v>
      </x:c>
      <x:c r="E617" s="2" t="n">
        <x:v>10</x:v>
      </x:c>
      <x:c r="F617" s="7" t="n">
        <x:v>84.45416666666668</x:v>
      </x:c>
      <x:c r="G617" s="7" t="n">
        <x:v>81.56666666666666</x:v>
      </x:c>
      <x:c r="H617" s="7" t="n">
        <x:f>IF(F617=0,"n.a.",100*(F617-G617)/F617)</x:f>
        <x:v>3.4190142582268686</x:v>
      </x:c>
      <x:c r="I617" s="7" t="n">
        <x:f>F617-G617</x:f>
        <x:v>2.887500000000017</x:v>
      </x:c>
      <x:c r="J617" s="8" t="n">
        <x:v>0.9816202728345086</x:v>
      </x:c>
      <x:c r="K617" s="8" t="n">
        <x:v>0.981620272834509</x:v>
      </x:c>
      <x:c r="L617" s="8" t="n">
        <x:v>0</x:v>
      </x:c>
      <x:c r="M617" s="7" t="n">
        <x:v>737.2865999932401</x:v>
      </x:c>
      <x:c r="N617" s="2" t="str">
        <x:v>qiskit.primitives.StatevectorSampler</x:v>
      </x:c>
      <x:c r="O617" s="9" t="str">
        <x:v>0100111100</x:v>
      </x:c>
    </x:row>
    <x:row r="618" ht="18" customHeight="1">
      <x:c r="A618" s="2" t="str">
        <x:v>legacy_n5_09</x:v>
      </x:c>
      <x:c r="B618" s="2" t="str">
        <x:v>BPSO</x:v>
      </x:c>
      <x:c r="C618" s="2" t="n">
        <x:v>123</x:v>
      </x:c>
      <x:c r="D618" s="2" t="str">
        <x:v>success</x:v>
      </x:c>
      <x:c r="E618" s="2" t="n">
        <x:v>10</x:v>
      </x:c>
      <x:c r="F618" s="7" t="n">
        <x:v>84.45416666666668</x:v>
      </x:c>
      <x:c r="G618" s="7" t="n">
        <x:v>81.56666666666666</x:v>
      </x:c>
      <x:c r="H618" s="7" t="n">
        <x:f>IF(F618=0,"n.a.",100*(F618-G618)/F618)</x:f>
        <x:v>3.4190142582268686</x:v>
      </x:c>
      <x:c r="I618" s="7" t="n">
        <x:f>F618-G618</x:f>
        <x:v>2.887500000000017</x:v>
      </x:c>
      <x:c r="J618" s="8" t="n">
        <x:v>0.981620272834509</x:v>
      </x:c>
      <x:c r="K618" s="8" t="n">
        <x:v>0.981620272834509</x:v>
      </x:c>
      <x:c r="L618" s="8" t="n">
        <x:v>0</x:v>
      </x:c>
      <x:c r="M618" s="7" t="n">
        <x:v>20.67199999873992</x:v>
      </x:c>
      <x:c r="N618" s="2" t="str">
        <x:v>repository_particle_dynamics_on_frozen_qubo</x:v>
      </x:c>
      <x:c r="O618" s="9" t="str">
        <x:v>1000011011</x:v>
      </x:c>
    </x:row>
    <x:row r="619" ht="18" customHeight="1">
      <x:c r="A619" s="2" t="str">
        <x:v>legacy_n5_09</x:v>
      </x:c>
      <x:c r="B619" s="2" t="str">
        <x:v>QAOA</x:v>
      </x:c>
      <x:c r="C619" s="2" t="n">
        <x:v>123</x:v>
      </x:c>
      <x:c r="D619" s="2" t="str">
        <x:v>success</x:v>
      </x:c>
      <x:c r="E619" s="2" t="n">
        <x:v>10</x:v>
      </x:c>
      <x:c r="F619" s="7" t="n">
        <x:v>84.45416666666668</x:v>
      </x:c>
      <x:c r="G619" s="7" t="n">
        <x:v>81.56666666666666</x:v>
      </x:c>
      <x:c r="H619" s="7" t="n">
        <x:f>IF(F619=0,"n.a.",100*(F619-G619)/F619)</x:f>
        <x:v>3.4190142582268686</x:v>
      </x:c>
      <x:c r="I619" s="7" t="n">
        <x:f>F619-G619</x:f>
        <x:v>2.887500000000017</x:v>
      </x:c>
      <x:c r="J619" s="8" t="n">
        <x:v>0.9816202728345086</x:v>
      </x:c>
      <x:c r="K619" s="8" t="n">
        <x:v>0.981620272834509</x:v>
      </x:c>
      <x:c r="L619" s="8" t="n">
        <x:v>0</x:v>
      </x:c>
      <x:c r="M619" s="7" t="n">
        <x:v>1163.3157000032952</x:v>
      </x:c>
      <x:c r="N619" s="2" t="str">
        <x:v>qiskit.primitives.StatevectorSampler</x:v>
      </x:c>
      <x:c r="O619" s="9" t="str">
        <x:v>0001101011</x:v>
      </x:c>
    </x:row>
    <x:row r="620" ht="18" customHeight="1">
      <x:c r="A620" s="2" t="str">
        <x:v>legacy_n5_09</x:v>
      </x:c>
      <x:c r="B620" s="2" t="str">
        <x:v>BPSO</x:v>
      </x:c>
      <x:c r="C620" s="2" t="n">
        <x:v>456</x:v>
      </x:c>
      <x:c r="D620" s="2" t="str">
        <x:v>success</x:v>
      </x:c>
      <x:c r="E620" s="2" t="n">
        <x:v>10</x:v>
      </x:c>
      <x:c r="F620" s="7" t="n">
        <x:v>84.45416666666668</x:v>
      </x:c>
      <x:c r="G620" s="7" t="n">
        <x:v>81.56666666666666</x:v>
      </x:c>
      <x:c r="H620" s="7" t="n">
        <x:f>IF(F620=0,"n.a.",100*(F620-G620)/F620)</x:f>
        <x:v>3.4190142582268686</x:v>
      </x:c>
      <x:c r="I620" s="7" t="n">
        <x:f>F620-G620</x:f>
        <x:v>2.887500000000017</x:v>
      </x:c>
      <x:c r="J620" s="8" t="n">
        <x:v>0.981620272834509</x:v>
      </x:c>
      <x:c r="K620" s="8" t="n">
        <x:v>0.981620272834509</x:v>
      </x:c>
      <x:c r="L620" s="8" t="n">
        <x:v>0</x:v>
      </x:c>
      <x:c r="M620" s="7" t="n">
        <x:v>21.50840000831522</x:v>
      </x:c>
      <x:c r="N620" s="2" t="str">
        <x:v>repository_particle_dynamics_on_frozen_qubo</x:v>
      </x:c>
      <x:c r="O620" s="9" t="str">
        <x:v>0010011110</x:v>
      </x:c>
    </x:row>
    <x:row r="621" ht="18" customHeight="1">
      <x:c r="A621" s="2" t="str">
        <x:v>legacy_n5_09</x:v>
      </x:c>
      <x:c r="B621" s="2" t="str">
        <x:v>QAOA</x:v>
      </x:c>
      <x:c r="C621" s="2" t="n">
        <x:v>456</x:v>
      </x:c>
      <x:c r="D621" s="2" t="str">
        <x:v>success</x:v>
      </x:c>
      <x:c r="E621" s="2" t="n">
        <x:v>10</x:v>
      </x:c>
      <x:c r="F621" s="7" t="n">
        <x:v>84.45416666666668</x:v>
      </x:c>
      <x:c r="G621" s="7" t="n">
        <x:v>81.56666666666666</x:v>
      </x:c>
      <x:c r="H621" s="7" t="n">
        <x:f>IF(F621=0,"n.a.",100*(F621-G621)/F621)</x:f>
        <x:v>3.4190142582268686</x:v>
      </x:c>
      <x:c r="I621" s="7" t="n">
        <x:f>F621-G621</x:f>
        <x:v>2.887500000000017</x:v>
      </x:c>
      <x:c r="J621" s="8" t="n">
        <x:v>0.9816202728345086</x:v>
      </x:c>
      <x:c r="K621" s="8" t="n">
        <x:v>0.981620272834509</x:v>
      </x:c>
      <x:c r="L621" s="8" t="n">
        <x:v>0</x:v>
      </x:c>
      <x:c r="M621" s="7" t="n">
        <x:v>730.7850000070175</x:v>
      </x:c>
      <x:c r="N621" s="2" t="str">
        <x:v>qiskit.primitives.StatevectorSampler</x:v>
      </x:c>
      <x:c r="O621" s="9" t="str">
        <x:v>1000110011</x:v>
      </x:c>
    </x:row>
    <x:row r="622" ht="18" customHeight="1">
      <x:c r="A622" s="2" t="str">
        <x:v>legacy_n5_09</x:v>
      </x:c>
      <x:c r="B622" s="2" t="str">
        <x:v>BPSO</x:v>
      </x:c>
      <x:c r="C622" s="2" t="n">
        <x:v>789</x:v>
      </x:c>
      <x:c r="D622" s="2" t="str">
        <x:v>success</x:v>
      </x:c>
      <x:c r="E622" s="2" t="n">
        <x:v>10</x:v>
      </x:c>
      <x:c r="F622" s="7" t="n">
        <x:v>84.45416666666668</x:v>
      </x:c>
      <x:c r="G622" s="7" t="n">
        <x:v>81.56666666666666</x:v>
      </x:c>
      <x:c r="H622" s="7" t="n">
        <x:f>IF(F622=0,"n.a.",100*(F622-G622)/F622)</x:f>
        <x:v>3.4190142582268686</x:v>
      </x:c>
      <x:c r="I622" s="7" t="n">
        <x:f>F622-G622</x:f>
        <x:v>2.887500000000017</x:v>
      </x:c>
      <x:c r="J622" s="8" t="n">
        <x:v>0.981620272834509</x:v>
      </x:c>
      <x:c r="K622" s="8" t="n">
        <x:v>0.981620272834509</x:v>
      </x:c>
      <x:c r="L622" s="8" t="n">
        <x:v>0</x:v>
      </x:c>
      <x:c r="M622" s="7" t="n">
        <x:v>21.192500003962778</x:v>
      </x:c>
      <x:c r="N622" s="2" t="str">
        <x:v>repository_particle_dynamics_on_frozen_qubo</x:v>
      </x:c>
      <x:c r="O622" s="9" t="str">
        <x:v>0010011011</x:v>
      </x:c>
    </x:row>
    <x:row r="623" ht="18" customHeight="1">
      <x:c r="A623" s="2" t="str">
        <x:v>legacy_n5_09</x:v>
      </x:c>
      <x:c r="B623" s="2" t="str">
        <x:v>QAOA</x:v>
      </x:c>
      <x:c r="C623" s="2" t="n">
        <x:v>789</x:v>
      </x:c>
      <x:c r="D623" s="2" t="str">
        <x:v>success</x:v>
      </x:c>
      <x:c r="E623" s="2" t="n">
        <x:v>10</x:v>
      </x:c>
      <x:c r="F623" s="7" t="n">
        <x:v>84.45416666666668</x:v>
      </x:c>
      <x:c r="G623" s="7" t="n">
        <x:v>81.56666666666666</x:v>
      </x:c>
      <x:c r="H623" s="7" t="n">
        <x:f>IF(F623=0,"n.a.",100*(F623-G623)/F623)</x:f>
        <x:v>3.4190142582268686</x:v>
      </x:c>
      <x:c r="I623" s="7" t="n">
        <x:f>F623-G623</x:f>
        <x:v>2.887500000000017</x:v>
      </x:c>
      <x:c r="J623" s="8" t="n">
        <x:v>0.9816202728345086</x:v>
      </x:c>
      <x:c r="K623" s="8" t="n">
        <x:v>0.981620272834509</x:v>
      </x:c>
      <x:c r="L623" s="8" t="n">
        <x:v>0</x:v>
      </x:c>
      <x:c r="M623" s="7" t="n">
        <x:v>733.609200004139</x:v>
      </x:c>
      <x:c r="N623" s="2" t="str">
        <x:v>qiskit.primitives.StatevectorSampler</x:v>
      </x:c>
      <x:c r="O623" s="9" t="str">
        <x:v>0001110011</x:v>
      </x:c>
    </x:row>
    <x:row r="624" ht="18" customHeight="1">
      <x:c r="A624" s="2" t="str">
        <x:v>legacy_n5_09</x:v>
      </x:c>
      <x:c r="B624" s="2" t="str">
        <x:v>BPSO</x:v>
      </x:c>
      <x:c r="C624" s="2" t="n">
        <x:v>2026</x:v>
      </x:c>
      <x:c r="D624" s="2" t="str">
        <x:v>success</x:v>
      </x:c>
      <x:c r="E624" s="2" t="n">
        <x:v>10</x:v>
      </x:c>
      <x:c r="F624" s="7" t="n">
        <x:v>84.45416666666668</x:v>
      </x:c>
      <x:c r="G624" s="7" t="n">
        <x:v>81.56666666666666</x:v>
      </x:c>
      <x:c r="H624" s="7" t="n">
        <x:f>IF(F624=0,"n.a.",100*(F624-G624)/F624)</x:f>
        <x:v>3.4190142582268686</x:v>
      </x:c>
      <x:c r="I624" s="7" t="n">
        <x:f>F624-G624</x:f>
        <x:v>2.887500000000017</x:v>
      </x:c>
      <x:c r="J624" s="8" t="n">
        <x:v>0.981620272834509</x:v>
      </x:c>
      <x:c r="K624" s="8" t="n">
        <x:v>0.981620272834509</x:v>
      </x:c>
      <x:c r="L624" s="8" t="n">
        <x:v>0</x:v>
      </x:c>
      <x:c r="M624" s="7" t="n">
        <x:v>20.72069999121595</x:v>
      </x:c>
      <x:c r="N624" s="2" t="str">
        <x:v>repository_particle_dynamics_on_frozen_qubo</x:v>
      </x:c>
      <x:c r="O624" s="9" t="str">
        <x:v>0100010111</x:v>
      </x:c>
    </x:row>
    <x:row r="625" ht="18" customHeight="1">
      <x:c r="A625" s="2" t="str">
        <x:v>legacy_n5_09</x:v>
      </x:c>
      <x:c r="B625" s="2" t="str">
        <x:v>QAOA</x:v>
      </x:c>
      <x:c r="C625" s="2" t="n">
        <x:v>2026</x:v>
      </x:c>
      <x:c r="D625" s="2" t="str">
        <x:v>success</x:v>
      </x:c>
      <x:c r="E625" s="2" t="n">
        <x:v>10</x:v>
      </x:c>
      <x:c r="F625" s="7" t="n">
        <x:v>84.45416666666668</x:v>
      </x:c>
      <x:c r="G625" s="7" t="n">
        <x:v>81.56666666666666</x:v>
      </x:c>
      <x:c r="H625" s="7" t="n">
        <x:f>IF(F625=0,"n.a.",100*(F625-G625)/F625)</x:f>
        <x:v>3.4190142582268686</x:v>
      </x:c>
      <x:c r="I625" s="7" t="n">
        <x:f>F625-G625</x:f>
        <x:v>2.887500000000017</x:v>
      </x:c>
      <x:c r="J625" s="8" t="n">
        <x:v>0.9816202728345086</x:v>
      </x:c>
      <x:c r="K625" s="8" t="n">
        <x:v>0.981620272834509</x:v>
      </x:c>
      <x:c r="L625" s="8" t="n">
        <x:v>0</x:v>
      </x:c>
      <x:c r="M625" s="7" t="n">
        <x:v>596.2122999917483</x:v>
      </x:c>
      <x:c r="N625" s="2" t="str">
        <x:v>qiskit.primitives.StatevectorSampler</x:v>
      </x:c>
      <x:c r="O625" s="9" t="str">
        <x:v>1000011101</x:v>
      </x:c>
    </x:row>
    <x:row r="626" ht="18" customHeight="1">
      <x:c r="A626" s="2" t="str">
        <x:v>legacy_n5_10</x:v>
      </x:c>
      <x:c r="B626" s="2" t="str">
        <x:v>Unmanaged</x:v>
      </x:c>
      <x:c r="C626" s="2"/>
      <x:c r="D626" s="2" t="str">
        <x:v>baseline</x:v>
      </x:c>
      <x:c r="E626" s="2" t="n">
        <x:v>8</x:v>
      </x:c>
      <x:c r="F626" s="7" t="n">
        <x:v>77.73157894736843</x:v>
      </x:c>
      <x:c r="G626" s="7" t="n">
        <x:v>77.73157894736843</x:v>
      </x:c>
      <x:c r="H626" s="7" t="n">
        <x:f>IF(F626=0,"n.a.",100*(F626-G626)/F626)</x:f>
        <x:v>0</x:v>
      </x:c>
      <x:c r="I626" s="7" t="n">
        <x:f>F626-G626</x:f>
        <x:v>0</x:v>
      </x:c>
      <x:c r="J626" s="8"/>
      <x:c r="K626" s="8" t="n">
        <x:v>0.1563071023861491</x:v>
      </x:c>
      <x:c r="L626" s="8"/>
      <x:c r="M626" s="7"/>
      <x:c r="N626" s="2" t="str">
        <x:v>unmanaged_input</x:v>
      </x:c>
      <x:c r="O626" s="9"/>
    </x:row>
    <x:row r="627" ht="18" customHeight="1">
      <x:c r="A627" s="2" t="str">
        <x:v>legacy_n5_10</x:v>
      </x:c>
      <x:c r="B627" s="2" t="str">
        <x:v>Exact J</x:v>
      </x:c>
      <x:c r="C627" s="2"/>
      <x:c r="D627" s="2" t="str">
        <x:v>success</x:v>
      </x:c>
      <x:c r="E627" s="2" t="n">
        <x:v>8</x:v>
      </x:c>
      <x:c r="F627" s="7" t="n">
        <x:v>77.73157894736843</x:v>
      </x:c>
      <x:c r="G627" s="7" t="n">
        <x:v>63.06875000000001</x:v>
      </x:c>
      <x:c r="H627" s="7" t="n">
        <x:f>IF(F627=0,"n.a.",100*(F627-G627)/F627)</x:f>
        <x:v>18.863413230415063</x:v>
      </x:c>
      <x:c r="I627" s="7" t="n">
        <x:f>F627-G627</x:f>
        <x:v>14.662828947368425</x:v>
      </x:c>
      <x:c r="J627" s="8" t="n">
        <x:v>0.1563071023861491</x:v>
      </x:c>
      <x:c r="K627" s="8" t="n">
        <x:v>0.1563071023861491</x:v>
      </x:c>
      <x:c r="L627" s="8" t="n">
        <x:v>0</x:v>
      </x:c>
      <x:c r="M627" s="7"/>
      <x:c r="N627" s="2" t="str">
        <x:v>exhaustive_enumeration</x:v>
      </x:c>
      <x:c r="O627" s="9" t="str">
        <x:v>00110001</x:v>
      </x:c>
    </x:row>
    <x:row r="628" ht="18" customHeight="1">
      <x:c r="A628" s="2" t="str">
        <x:v>legacy_n5_10</x:v>
      </x:c>
      <x:c r="B628" s="2" t="str">
        <x:v>Exact peak</x:v>
      </x:c>
      <x:c r="C628" s="2"/>
      <x:c r="D628" s="2" t="str">
        <x:v>success</x:v>
      </x:c>
      <x:c r="E628" s="2" t="n">
        <x:v>8</x:v>
      </x:c>
      <x:c r="F628" s="7" t="n">
        <x:v>77.73157894736843</x:v>
      </x:c>
      <x:c r="G628" s="7" t="n">
        <x:v>63.06875000000001</x:v>
      </x:c>
      <x:c r="H628" s="7" t="n">
        <x:f>IF(F628=0,"n.a.",100*(F628-G628)/F628)</x:f>
        <x:v>18.863413230415063</x:v>
      </x:c>
      <x:c r="I628" s="7" t="n">
        <x:f>F628-G628</x:f>
        <x:v>14.662828947368425</x:v>
      </x:c>
      <x:c r="J628" s="8" t="n">
        <x:v>0.1563071023861491</x:v>
      </x:c>
      <x:c r="K628" s="8" t="n">
        <x:v>0.1563071023861491</x:v>
      </x:c>
      <x:c r="L628" s="8" t="n">
        <x:v>0</x:v>
      </x:c>
      <x:c r="M628" s="7"/>
      <x:c r="N628" s="2" t="str">
        <x:v>exhaustive_enumeration</x:v>
      </x:c>
      <x:c r="O628" s="9" t="str">
        <x:v>00110001</x:v>
      </x:c>
    </x:row>
    <x:row r="629" ht="18" customHeight="1">
      <x:c r="A629" s="2" t="str">
        <x:v>legacy_n5_10</x:v>
      </x:c>
      <x:c r="B629" s="2" t="str">
        <x:v>BPSO</x:v>
      </x:c>
      <x:c r="C629" s="2" t="n">
        <x:v>42</x:v>
      </x:c>
      <x:c r="D629" s="2" t="str">
        <x:v>success</x:v>
      </x:c>
      <x:c r="E629" s="2" t="n">
        <x:v>8</x:v>
      </x:c>
      <x:c r="F629" s="7" t="n">
        <x:v>77.73157894736843</x:v>
      </x:c>
      <x:c r="G629" s="7" t="n">
        <x:v>63.06875000000001</x:v>
      </x:c>
      <x:c r="H629" s="7" t="n">
        <x:f>IF(F629=0,"n.a.",100*(F629-G629)/F629)</x:f>
        <x:v>18.863413230415063</x:v>
      </x:c>
      <x:c r="I629" s="7" t="n">
        <x:f>F629-G629</x:f>
        <x:v>14.662828947368425</x:v>
      </x:c>
      <x:c r="J629" s="8" t="n">
        <x:v>0.1563071023861491</x:v>
      </x:c>
      <x:c r="K629" s="8" t="n">
        <x:v>0.1563071023861491</x:v>
      </x:c>
      <x:c r="L629" s="8" t="n">
        <x:v>0</x:v>
      </x:c>
      <x:c r="M629" s="7" t="n">
        <x:v>17.573599994648248</x:v>
      </x:c>
      <x:c r="N629" s="2" t="str">
        <x:v>repository_particle_dynamics_on_frozen_qubo</x:v>
      </x:c>
      <x:c r="O629" s="9" t="str">
        <x:v>10100010</x:v>
      </x:c>
    </x:row>
    <x:row r="630" ht="18" customHeight="1">
      <x:c r="A630" s="2" t="str">
        <x:v>legacy_n5_10</x:v>
      </x:c>
      <x:c r="B630" s="2" t="str">
        <x:v>QAOA</x:v>
      </x:c>
      <x:c r="C630" s="2" t="n">
        <x:v>42</x:v>
      </x:c>
      <x:c r="D630" s="2" t="str">
        <x:v>success</x:v>
      </x:c>
      <x:c r="E630" s="2" t="n">
        <x:v>8</x:v>
      </x:c>
      <x:c r="F630" s="7" t="n">
        <x:v>77.73157894736843</x:v>
      </x:c>
      <x:c r="G630" s="7" t="n">
        <x:v>63.06875000000001</x:v>
      </x:c>
      <x:c r="H630" s="7" t="n">
        <x:f>IF(F630=0,"n.a.",100*(F630-G630)/F630)</x:f>
        <x:v>18.863413230415063</x:v>
      </x:c>
      <x:c r="I630" s="7" t="n">
        <x:f>F630-G630</x:f>
        <x:v>14.662828947368425</x:v>
      </x:c>
      <x:c r="J630" s="8" t="n">
        <x:v>0.1563071023861491</x:v>
      </x:c>
      <x:c r="K630" s="8" t="n">
        <x:v>0.1563071023861491</x:v>
      </x:c>
      <x:c r="L630" s="8" t="n">
        <x:v>0</x:v>
      </x:c>
      <x:c r="M630" s="7" t="n">
        <x:v>368.9672999898903</x:v>
      </x:c>
      <x:c r="N630" s="2" t="str">
        <x:v>qiskit.primitives.StatevectorSampler</x:v>
      </x:c>
      <x:c r="O630" s="9" t="str">
        <x:v>01010001</x:v>
      </x:c>
    </x:row>
    <x:row r="631" ht="18" customHeight="1">
      <x:c r="A631" s="2" t="str">
        <x:v>legacy_n5_10</x:v>
      </x:c>
      <x:c r="B631" s="2" t="str">
        <x:v>BPSO</x:v>
      </x:c>
      <x:c r="C631" s="2" t="n">
        <x:v>123</x:v>
      </x:c>
      <x:c r="D631" s="2" t="str">
        <x:v>success</x:v>
      </x:c>
      <x:c r="E631" s="2" t="n">
        <x:v>8</x:v>
      </x:c>
      <x:c r="F631" s="7" t="n">
        <x:v>77.73157894736843</x:v>
      </x:c>
      <x:c r="G631" s="7" t="n">
        <x:v>63.06875000000001</x:v>
      </x:c>
      <x:c r="H631" s="7" t="n">
        <x:f>IF(F631=0,"n.a.",100*(F631-G631)/F631)</x:f>
        <x:v>18.863413230415063</x:v>
      </x:c>
      <x:c r="I631" s="7" t="n">
        <x:f>F631-G631</x:f>
        <x:v>14.662828947368425</x:v>
      </x:c>
      <x:c r="J631" s="8" t="n">
        <x:v>0.1563071023861491</x:v>
      </x:c>
      <x:c r="K631" s="8" t="n">
        <x:v>0.1563071023861491</x:v>
      </x:c>
      <x:c r="L631" s="8" t="n">
        <x:v>0</x:v>
      </x:c>
      <x:c r="M631" s="7" t="n">
        <x:v>17.649900008109398</x:v>
      </x:c>
      <x:c r="N631" s="2" t="str">
        <x:v>repository_particle_dynamics_on_frozen_qubo</x:v>
      </x:c>
      <x:c r="O631" s="9" t="str">
        <x:v>11000100</x:v>
      </x:c>
    </x:row>
    <x:row r="632" ht="18" customHeight="1">
      <x:c r="A632" s="2" t="str">
        <x:v>legacy_n5_10</x:v>
      </x:c>
      <x:c r="B632" s="2" t="str">
        <x:v>QAOA</x:v>
      </x:c>
      <x:c r="C632" s="2" t="n">
        <x:v>123</x:v>
      </x:c>
      <x:c r="D632" s="2" t="str">
        <x:v>success</x:v>
      </x:c>
      <x:c r="E632" s="2" t="n">
        <x:v>8</x:v>
      </x:c>
      <x:c r="F632" s="7" t="n">
        <x:v>77.73157894736843</x:v>
      </x:c>
      <x:c r="G632" s="7" t="n">
        <x:v>63.06875000000001</x:v>
      </x:c>
      <x:c r="H632" s="7" t="n">
        <x:f>IF(F632=0,"n.a.",100*(F632-G632)/F632)</x:f>
        <x:v>18.863413230415063</x:v>
      </x:c>
      <x:c r="I632" s="7" t="n">
        <x:f>F632-G632</x:f>
        <x:v>14.662828947368425</x:v>
      </x:c>
      <x:c r="J632" s="8" t="n">
        <x:v>0.1563071023861491</x:v>
      </x:c>
      <x:c r="K632" s="8" t="n">
        <x:v>0.1563071023861491</x:v>
      </x:c>
      <x:c r="L632" s="8" t="n">
        <x:v>0</x:v>
      </x:c>
      <x:c r="M632" s="7" t="n">
        <x:v>540.0705999927595</x:v>
      </x:c>
      <x:c r="N632" s="2" t="str">
        <x:v>qiskit.primitives.StatevectorSampler</x:v>
      </x:c>
      <x:c r="O632" s="9" t="str">
        <x:v>11000100</x:v>
      </x:c>
    </x:row>
    <x:row r="633" ht="18" customHeight="1">
      <x:c r="A633" s="2" t="str">
        <x:v>legacy_n5_10</x:v>
      </x:c>
      <x:c r="B633" s="2" t="str">
        <x:v>BPSO</x:v>
      </x:c>
      <x:c r="C633" s="2" t="n">
        <x:v>456</x:v>
      </x:c>
      <x:c r="D633" s="2" t="str">
        <x:v>success</x:v>
      </x:c>
      <x:c r="E633" s="2" t="n">
        <x:v>8</x:v>
      </x:c>
      <x:c r="F633" s="7" t="n">
        <x:v>77.73157894736843</x:v>
      </x:c>
      <x:c r="G633" s="7" t="n">
        <x:v>63.06875000000001</x:v>
      </x:c>
      <x:c r="H633" s="7" t="n">
        <x:f>IF(F633=0,"n.a.",100*(F633-G633)/F633)</x:f>
        <x:v>18.863413230415063</x:v>
      </x:c>
      <x:c r="I633" s="7" t="n">
        <x:f>F633-G633</x:f>
        <x:v>14.662828947368425</x:v>
      </x:c>
      <x:c r="J633" s="8" t="n">
        <x:v>0.1563071023861491</x:v>
      </x:c>
      <x:c r="K633" s="8" t="n">
        <x:v>0.1563071023861491</x:v>
      </x:c>
      <x:c r="L633" s="8" t="n">
        <x:v>0</x:v>
      </x:c>
      <x:c r="M633" s="7" t="n">
        <x:v>18.317499998374842</x:v>
      </x:c>
      <x:c r="N633" s="2" t="str">
        <x:v>repository_particle_dynamics_on_frozen_qubo</x:v>
      </x:c>
      <x:c r="O633" s="9" t="str">
        <x:v>00110001</x:v>
      </x:c>
    </x:row>
    <x:row r="634" ht="18" customHeight="1">
      <x:c r="A634" s="2" t="str">
        <x:v>legacy_n5_10</x:v>
      </x:c>
      <x:c r="B634" s="2" t="str">
        <x:v>QAOA</x:v>
      </x:c>
      <x:c r="C634" s="2" t="n">
        <x:v>456</x:v>
      </x:c>
      <x:c r="D634" s="2" t="str">
        <x:v>success</x:v>
      </x:c>
      <x:c r="E634" s="2" t="n">
        <x:v>8</x:v>
      </x:c>
      <x:c r="F634" s="7" t="n">
        <x:v>77.73157894736843</x:v>
      </x:c>
      <x:c r="G634" s="7" t="n">
        <x:v>63.06875000000001</x:v>
      </x:c>
      <x:c r="H634" s="7" t="n">
        <x:f>IF(F634=0,"n.a.",100*(F634-G634)/F634)</x:f>
        <x:v>18.863413230415063</x:v>
      </x:c>
      <x:c r="I634" s="7" t="n">
        <x:f>F634-G634</x:f>
        <x:v>14.662828947368425</x:v>
      </x:c>
      <x:c r="J634" s="8" t="n">
        <x:v>0.1563071023861491</x:v>
      </x:c>
      <x:c r="K634" s="8" t="n">
        <x:v>0.1563071023861491</x:v>
      </x:c>
      <x:c r="L634" s="8" t="n">
        <x:v>0</x:v>
      </x:c>
      <x:c r="M634" s="7" t="n">
        <x:v>437.5562999921385</x:v>
      </x:c>
      <x:c r="N634" s="2" t="str">
        <x:v>qiskit.primitives.StatevectorSampler</x:v>
      </x:c>
      <x:c r="O634" s="9" t="str">
        <x:v>01010100</x:v>
      </x:c>
    </x:row>
    <x:row r="635" ht="18" customHeight="1">
      <x:c r="A635" s="2" t="str">
        <x:v>legacy_n5_10</x:v>
      </x:c>
      <x:c r="B635" s="2" t="str">
        <x:v>BPSO</x:v>
      </x:c>
      <x:c r="C635" s="2" t="n">
        <x:v>789</x:v>
      </x:c>
      <x:c r="D635" s="2" t="str">
        <x:v>success</x:v>
      </x:c>
      <x:c r="E635" s="2" t="n">
        <x:v>8</x:v>
      </x:c>
      <x:c r="F635" s="7" t="n">
        <x:v>77.73157894736843</x:v>
      </x:c>
      <x:c r="G635" s="7" t="n">
        <x:v>63.06875000000001</x:v>
      </x:c>
      <x:c r="H635" s="7" t="n">
        <x:f>IF(F635=0,"n.a.",100*(F635-G635)/F635)</x:f>
        <x:v>18.863413230415063</x:v>
      </x:c>
      <x:c r="I635" s="7" t="n">
        <x:f>F635-G635</x:f>
        <x:v>14.662828947368425</x:v>
      </x:c>
      <x:c r="J635" s="8" t="n">
        <x:v>0.1563071023861491</x:v>
      </x:c>
      <x:c r="K635" s="8" t="n">
        <x:v>0.1563071023861491</x:v>
      </x:c>
      <x:c r="L635" s="8" t="n">
        <x:v>0</x:v>
      </x:c>
      <x:c r="M635" s="7" t="n">
        <x:v>19.05339999939315</x:v>
      </x:c>
      <x:c r="N635" s="2" t="str">
        <x:v>repository_particle_dynamics_on_frozen_qubo</x:v>
      </x:c>
      <x:c r="O635" s="9" t="str">
        <x:v>11001000</x:v>
      </x:c>
    </x:row>
    <x:row r="636" ht="18" customHeight="1">
      <x:c r="A636" s="2" t="str">
        <x:v>legacy_n5_10</x:v>
      </x:c>
      <x:c r="B636" s="2" t="str">
        <x:v>QAOA</x:v>
      </x:c>
      <x:c r="C636" s="2" t="n">
        <x:v>789</x:v>
      </x:c>
      <x:c r="D636" s="2" t="str">
        <x:v>success</x:v>
      </x:c>
      <x:c r="E636" s="2" t="n">
        <x:v>8</x:v>
      </x:c>
      <x:c r="F636" s="7" t="n">
        <x:v>77.73157894736843</x:v>
      </x:c>
      <x:c r="G636" s="7" t="n">
        <x:v>63.06875000000001</x:v>
      </x:c>
      <x:c r="H636" s="7" t="n">
        <x:f>IF(F636=0,"n.a.",100*(F636-G636)/F636)</x:f>
        <x:v>18.863413230415063</x:v>
      </x:c>
      <x:c r="I636" s="7" t="n">
        <x:f>F636-G636</x:f>
        <x:v>14.662828947368425</x:v>
      </x:c>
      <x:c r="J636" s="8" t="n">
        <x:v>0.1563071023861491</x:v>
      </x:c>
      <x:c r="K636" s="8" t="n">
        <x:v>0.1563071023861491</x:v>
      </x:c>
      <x:c r="L636" s="8" t="n">
        <x:v>0</x:v>
      </x:c>
      <x:c r="M636" s="7" t="n">
        <x:v>570.4237000027206</x:v>
      </x:c>
      <x:c r="N636" s="2" t="str">
        <x:v>qiskit.primitives.StatevectorSampler</x:v>
      </x:c>
      <x:c r="O636" s="9" t="str">
        <x:v>10010010</x:v>
      </x:c>
    </x:row>
    <x:row r="637" ht="18" customHeight="1">
      <x:c r="A637" s="2" t="str">
        <x:v>legacy_n5_10</x:v>
      </x:c>
      <x:c r="B637" s="2" t="str">
        <x:v>BPSO</x:v>
      </x:c>
      <x:c r="C637" s="2" t="n">
        <x:v>2026</x:v>
      </x:c>
      <x:c r="D637" s="2" t="str">
        <x:v>success</x:v>
      </x:c>
      <x:c r="E637" s="2" t="n">
        <x:v>8</x:v>
      </x:c>
      <x:c r="F637" s="7" t="n">
        <x:v>77.73157894736843</x:v>
      </x:c>
      <x:c r="G637" s="7" t="n">
        <x:v>63.06875000000001</x:v>
      </x:c>
      <x:c r="H637" s="7" t="n">
        <x:f>IF(F637=0,"n.a.",100*(F637-G637)/F637)</x:f>
        <x:v>18.863413230415063</x:v>
      </x:c>
      <x:c r="I637" s="7" t="n">
        <x:f>F637-G637</x:f>
        <x:v>14.662828947368425</x:v>
      </x:c>
      <x:c r="J637" s="8" t="n">
        <x:v>0.1563071023861491</x:v>
      </x:c>
      <x:c r="K637" s="8" t="n">
        <x:v>0.1563071023861491</x:v>
      </x:c>
      <x:c r="L637" s="8" t="n">
        <x:v>0</x:v>
      </x:c>
      <x:c r="M637" s="7" t="n">
        <x:v>18.732299999101087</x:v>
      </x:c>
      <x:c r="N637" s="2" t="str">
        <x:v>repository_particle_dynamics_on_frozen_qubo</x:v>
      </x:c>
      <x:c r="O637" s="9" t="str">
        <x:v>10010010</x:v>
      </x:c>
    </x:row>
    <x:row r="638" ht="18" customHeight="1">
      <x:c r="A638" s="2" t="str">
        <x:v>legacy_n5_10</x:v>
      </x:c>
      <x:c r="B638" s="2" t="str">
        <x:v>QAOA</x:v>
      </x:c>
      <x:c r="C638" s="2" t="n">
        <x:v>2026</x:v>
      </x:c>
      <x:c r="D638" s="2" t="str">
        <x:v>success</x:v>
      </x:c>
      <x:c r="E638" s="2" t="n">
        <x:v>8</x:v>
      </x:c>
      <x:c r="F638" s="7" t="n">
        <x:v>77.73157894736843</x:v>
      </x:c>
      <x:c r="G638" s="7" t="n">
        <x:v>63.06875000000001</x:v>
      </x:c>
      <x:c r="H638" s="7" t="n">
        <x:f>IF(F638=0,"n.a.",100*(F638-G638)/F638)</x:f>
        <x:v>18.863413230415063</x:v>
      </x:c>
      <x:c r="I638" s="7" t="n">
        <x:f>F638-G638</x:f>
        <x:v>14.662828947368425</x:v>
      </x:c>
      <x:c r="J638" s="8" t="n">
        <x:v>0.1563071023861491</x:v>
      </x:c>
      <x:c r="K638" s="8" t="n">
        <x:v>0.1563071023861491</x:v>
      </x:c>
      <x:c r="L638" s="8" t="n">
        <x:v>0</x:v>
      </x:c>
      <x:c r="M638" s="7" t="n">
        <x:v>445.3312999976333</x:v>
      </x:c>
      <x:c r="N638" s="2" t="str">
        <x:v>qiskit.primitives.StatevectorSampler</x:v>
      </x:c>
      <x:c r="O638" s="9" t="str">
        <x:v>01010010</x:v>
      </x:c>
    </x:row>
    <x:row r="639" ht="18" customHeight="1">
      <x:c r="A639" s="2" t="str">
        <x:v>legacy_n5_11</x:v>
      </x:c>
      <x:c r="B639" s="2" t="str">
        <x:v>Unmanaged</x:v>
      </x:c>
      <x:c r="C639" s="2"/>
      <x:c r="D639" s="2" t="str">
        <x:v>baseline</x:v>
      </x:c>
      <x:c r="E639" s="2" t="n">
        <x:v>10</x:v>
      </x:c>
      <x:c r="F639" s="7" t="n">
        <x:v>82.61363636363637</x:v>
      </x:c>
      <x:c r="G639" s="7" t="n">
        <x:v>82.61363636363637</x:v>
      </x:c>
      <x:c r="H639" s="7" t="n">
        <x:f>IF(F639=0,"n.a.",100*(F639-G639)/F639)</x:f>
        <x:v>0</x:v>
      </x:c>
      <x:c r="I639" s="7" t="n">
        <x:f>F639-G639</x:f>
        <x:v>0</x:v>
      </x:c>
      <x:c r="J639" s="8"/>
      <x:c r="K639" s="8" t="n">
        <x:v>0.4332951025997879</x:v>
      </x:c>
      <x:c r="L639" s="8"/>
      <x:c r="M639" s="7"/>
      <x:c r="N639" s="2" t="str">
        <x:v>unmanaged_input</x:v>
      </x:c>
      <x:c r="O639" s="9"/>
    </x:row>
    <x:row r="640" ht="18" customHeight="1">
      <x:c r="A640" s="2" t="str">
        <x:v>legacy_n5_11</x:v>
      </x:c>
      <x:c r="B640" s="2" t="str">
        <x:v>Exact J</x:v>
      </x:c>
      <x:c r="C640" s="2"/>
      <x:c r="D640" s="2" t="str">
        <x:v>success</x:v>
      </x:c>
      <x:c r="E640" s="2" t="n">
        <x:v>10</x:v>
      </x:c>
      <x:c r="F640" s="7" t="n">
        <x:v>82.61363636363637</x:v>
      </x:c>
      <x:c r="G640" s="7" t="n">
        <x:v>69.34857142857143</x:v>
      </x:c>
      <x:c r="H640" s="7" t="n">
        <x:f>IF(F640=0,"n.a.",100*(F640-G640)/F640)</x:f>
        <x:v>16.056749852623312</x:v>
      </x:c>
      <x:c r="I640" s="7" t="n">
        <x:f>F640-G640</x:f>
        <x:v>13.265064935064942</x:v>
      </x:c>
      <x:c r="J640" s="8" t="n">
        <x:v>0.4332951025997879</x:v>
      </x:c>
      <x:c r="K640" s="8" t="n">
        <x:v>0.4332951025997879</x:v>
      </x:c>
      <x:c r="L640" s="8" t="n">
        <x:v>0</x:v>
      </x:c>
      <x:c r="M640" s="7"/>
      <x:c r="N640" s="2" t="str">
        <x:v>exhaustive_enumeration</x:v>
      </x:c>
      <x:c r="O640" s="9" t="str">
        <x:v>0111001111</x:v>
      </x:c>
    </x:row>
    <x:row r="641" ht="18" customHeight="1">
      <x:c r="A641" s="2" t="str">
        <x:v>legacy_n5_11</x:v>
      </x:c>
      <x:c r="B641" s="2" t="str">
        <x:v>Exact peak</x:v>
      </x:c>
      <x:c r="C641" s="2"/>
      <x:c r="D641" s="2" t="str">
        <x:v>success</x:v>
      </x:c>
      <x:c r="E641" s="2" t="n">
        <x:v>10</x:v>
      </x:c>
      <x:c r="F641" s="7" t="n">
        <x:v>82.61363636363637</x:v>
      </x:c>
      <x:c r="G641" s="7" t="n">
        <x:v>69.34857142857143</x:v>
      </x:c>
      <x:c r="H641" s="7" t="n">
        <x:f>IF(F641=0,"n.a.",100*(F641-G641)/F641)</x:f>
        <x:v>16.056749852623312</x:v>
      </x:c>
      <x:c r="I641" s="7" t="n">
        <x:f>F641-G641</x:f>
        <x:v>13.265064935064942</x:v>
      </x:c>
      <x:c r="J641" s="8" t="n">
        <x:v>0.4332951025997879</x:v>
      </x:c>
      <x:c r="K641" s="8" t="n">
        <x:v>0.4332951025997879</x:v>
      </x:c>
      <x:c r="L641" s="8" t="n">
        <x:v>0</x:v>
      </x:c>
      <x:c r="M641" s="7"/>
      <x:c r="N641" s="2" t="str">
        <x:v>exhaustive_enumeration</x:v>
      </x:c>
      <x:c r="O641" s="9" t="str">
        <x:v>0111001111</x:v>
      </x:c>
    </x:row>
    <x:row r="642" ht="18" customHeight="1">
      <x:c r="A642" s="2" t="str">
        <x:v>legacy_n5_11</x:v>
      </x:c>
      <x:c r="B642" s="2" t="str">
        <x:v>BPSO</x:v>
      </x:c>
      <x:c r="C642" s="2" t="n">
        <x:v>42</x:v>
      </x:c>
      <x:c r="D642" s="2" t="str">
        <x:v>success</x:v>
      </x:c>
      <x:c r="E642" s="2" t="n">
        <x:v>10</x:v>
      </x:c>
      <x:c r="F642" s="7" t="n">
        <x:v>82.61363636363637</x:v>
      </x:c>
      <x:c r="G642" s="7" t="n">
        <x:v>69.34857142857143</x:v>
      </x:c>
      <x:c r="H642" s="7" t="n">
        <x:f>IF(F642=0,"n.a.",100*(F642-G642)/F642)</x:f>
        <x:v>16.056749852623312</x:v>
      </x:c>
      <x:c r="I642" s="7" t="n">
        <x:f>F642-G642</x:f>
        <x:v>13.265064935064942</x:v>
      </x:c>
      <x:c r="J642" s="8" t="n">
        <x:v>0.4332951025997879</x:v>
      </x:c>
      <x:c r="K642" s="8" t="n">
        <x:v>0.4332951025997879</x:v>
      </x:c>
      <x:c r="L642" s="8" t="n">
        <x:v>0</x:v>
      </x:c>
      <x:c r="M642" s="7" t="n">
        <x:v>21.23349999601487</x:v>
      </x:c>
      <x:c r="N642" s="2" t="str">
        <x:v>repository_particle_dynamics_on_frozen_qubo</x:v>
      </x:c>
      <x:c r="O642" s="9" t="str">
        <x:v>1101101011</x:v>
      </x:c>
    </x:row>
    <x:row r="643" ht="18" customHeight="1">
      <x:c r="A643" s="2" t="str">
        <x:v>legacy_n5_11</x:v>
      </x:c>
      <x:c r="B643" s="2" t="str">
        <x:v>QAOA</x:v>
      </x:c>
      <x:c r="C643" s="2" t="n">
        <x:v>42</x:v>
      </x:c>
      <x:c r="D643" s="2" t="str">
        <x:v>success</x:v>
      </x:c>
      <x:c r="E643" s="2" t="n">
        <x:v>10</x:v>
      </x:c>
      <x:c r="F643" s="7" t="n">
        <x:v>82.61363636363637</x:v>
      </x:c>
      <x:c r="G643" s="7" t="n">
        <x:v>69.34857142857143</x:v>
      </x:c>
      <x:c r="H643" s="7" t="n">
        <x:f>IF(F643=0,"n.a.",100*(F643-G643)/F643)</x:f>
        <x:v>16.056749852623312</x:v>
      </x:c>
      <x:c r="I643" s="7" t="n">
        <x:f>F643-G643</x:f>
        <x:v>13.265064935064942</x:v>
      </x:c>
      <x:c r="J643" s="8" t="n">
        <x:v>0.43329510259978765</x:v>
      </x:c>
      <x:c r="K643" s="8" t="n">
        <x:v>0.4332951025997879</x:v>
      </x:c>
      <x:c r="L643" s="8" t="n">
        <x:v>0</x:v>
      </x:c>
      <x:c r="M643" s="7" t="n">
        <x:v>759.7071000054711</x:v>
      </x:c>
      <x:c r="N643" s="2" t="str">
        <x:v>qiskit.primitives.StatevectorSampler</x:v>
      </x:c>
      <x:c r="O643" s="9" t="str">
        <x:v>1011011011</x:v>
      </x:c>
    </x:row>
    <x:row r="644" ht="18" customHeight="1">
      <x:c r="A644" s="2" t="str">
        <x:v>legacy_n5_11</x:v>
      </x:c>
      <x:c r="B644" s="2" t="str">
        <x:v>BPSO</x:v>
      </x:c>
      <x:c r="C644" s="2" t="n">
        <x:v>123</x:v>
      </x:c>
      <x:c r="D644" s="2" t="str">
        <x:v>success</x:v>
      </x:c>
      <x:c r="E644" s="2" t="n">
        <x:v>10</x:v>
      </x:c>
      <x:c r="F644" s="7" t="n">
        <x:v>82.61363636363637</x:v>
      </x:c>
      <x:c r="G644" s="7" t="n">
        <x:v>69.34857142857143</x:v>
      </x:c>
      <x:c r="H644" s="7" t="n">
        <x:f>IF(F644=0,"n.a.",100*(F644-G644)/F644)</x:f>
        <x:v>16.056749852623312</x:v>
      </x:c>
      <x:c r="I644" s="7" t="n">
        <x:f>F644-G644</x:f>
        <x:v>13.265064935064942</x:v>
      </x:c>
      <x:c r="J644" s="8" t="n">
        <x:v>0.4332951025997879</x:v>
      </x:c>
      <x:c r="K644" s="8" t="n">
        <x:v>0.4332951025997879</x:v>
      </x:c>
      <x:c r="L644" s="8" t="n">
        <x:v>0</x:v>
      </x:c>
      <x:c r="M644" s="7" t="n">
        <x:v>21.78490000369493</x:v>
      </x:c>
      <x:c r="N644" s="2" t="str">
        <x:v>repository_particle_dynamics_on_frozen_qubo</x:v>
      </x:c>
      <x:c r="O644" s="9" t="str">
        <x:v>0111101011</x:v>
      </x:c>
    </x:row>
    <x:row r="645" ht="18" customHeight="1">
      <x:c r="A645" s="2" t="str">
        <x:v>legacy_n5_11</x:v>
      </x:c>
      <x:c r="B645" s="2" t="str">
        <x:v>QAOA</x:v>
      </x:c>
      <x:c r="C645" s="2" t="n">
        <x:v>123</x:v>
      </x:c>
      <x:c r="D645" s="2" t="str">
        <x:v>success</x:v>
      </x:c>
      <x:c r="E645" s="2" t="n">
        <x:v>10</x:v>
      </x:c>
      <x:c r="F645" s="7" t="n">
        <x:v>82.61363636363637</x:v>
      </x:c>
      <x:c r="G645" s="7" t="n">
        <x:v>69.34857142857143</x:v>
      </x:c>
      <x:c r="H645" s="7" t="n">
        <x:f>IF(F645=0,"n.a.",100*(F645-G645)/F645)</x:f>
        <x:v>16.056749852623312</x:v>
      </x:c>
      <x:c r="I645" s="7" t="n">
        <x:f>F645-G645</x:f>
        <x:v>13.265064935064942</x:v>
      </x:c>
      <x:c r="J645" s="8" t="n">
        <x:v>0.43329510259978765</x:v>
      </x:c>
      <x:c r="K645" s="8" t="n">
        <x:v>0.4332951025997879</x:v>
      </x:c>
      <x:c r="L645" s="8" t="n">
        <x:v>0</x:v>
      </x:c>
      <x:c r="M645" s="7" t="n">
        <x:v>1034.712499997113</x:v>
      </x:c>
      <x:c r="N645" s="2" t="str">
        <x:v>qiskit.primitives.StatevectorSampler</x:v>
      </x:c>
      <x:c r="O645" s="9" t="str">
        <x:v>1101101011</x:v>
      </x:c>
    </x:row>
    <x:row r="646" ht="18" customHeight="1">
      <x:c r="A646" s="2" t="str">
        <x:v>legacy_n5_11</x:v>
      </x:c>
      <x:c r="B646" s="2" t="str">
        <x:v>BPSO</x:v>
      </x:c>
      <x:c r="C646" s="2" t="n">
        <x:v>456</x:v>
      </x:c>
      <x:c r="D646" s="2" t="str">
        <x:v>success</x:v>
      </x:c>
      <x:c r="E646" s="2" t="n">
        <x:v>10</x:v>
      </x:c>
      <x:c r="F646" s="7" t="n">
        <x:v>82.61363636363637</x:v>
      </x:c>
      <x:c r="G646" s="7" t="n">
        <x:v>69.34857142857143</x:v>
      </x:c>
      <x:c r="H646" s="7" t="n">
        <x:f>IF(F646=0,"n.a.",100*(F646-G646)/F646)</x:f>
        <x:v>16.056749852623312</x:v>
      </x:c>
      <x:c r="I646" s="7" t="n">
        <x:f>F646-G646</x:f>
        <x:v>13.265064935064942</x:v>
      </x:c>
      <x:c r="J646" s="8" t="n">
        <x:v>0.4332951025997879</x:v>
      </x:c>
      <x:c r="K646" s="8" t="n">
        <x:v>0.4332951025997879</x:v>
      </x:c>
      <x:c r="L646" s="8" t="n">
        <x:v>0</x:v>
      </x:c>
      <x:c r="M646" s="7" t="n">
        <x:v>21.48039999883622</x:v>
      </x:c>
      <x:c r="N646" s="2" t="str">
        <x:v>repository_particle_dynamics_on_frozen_qubo</x:v>
      </x:c>
      <x:c r="O646" s="9" t="str">
        <x:v>0111100111</x:v>
      </x:c>
    </x:row>
    <x:row r="647" ht="18" customHeight="1">
      <x:c r="A647" s="2" t="str">
        <x:v>legacy_n5_11</x:v>
      </x:c>
      <x:c r="B647" s="2" t="str">
        <x:v>QAOA</x:v>
      </x:c>
      <x:c r="C647" s="2" t="n">
        <x:v>456</x:v>
      </x:c>
      <x:c r="D647" s="2" t="str">
        <x:v>success</x:v>
      </x:c>
      <x:c r="E647" s="2" t="n">
        <x:v>10</x:v>
      </x:c>
      <x:c r="F647" s="7" t="n">
        <x:v>82.61363636363637</x:v>
      </x:c>
      <x:c r="G647" s="7" t="n">
        <x:v>69.34857142857143</x:v>
      </x:c>
      <x:c r="H647" s="7" t="n">
        <x:f>IF(F647=0,"n.a.",100*(F647-G647)/F647)</x:f>
        <x:v>16.056749852623312</x:v>
      </x:c>
      <x:c r="I647" s="7" t="n">
        <x:f>F647-G647</x:f>
        <x:v>13.265064935064942</x:v>
      </x:c>
      <x:c r="J647" s="8" t="n">
        <x:v>0.43329510259978765</x:v>
      </x:c>
      <x:c r="K647" s="8" t="n">
        <x:v>0.4332951025997879</x:v>
      </x:c>
      <x:c r="L647" s="8" t="n">
        <x:v>0</x:v>
      </x:c>
      <x:c r="M647" s="7" t="n">
        <x:v>753.9874000067357</x:v>
      </x:c>
      <x:c r="N647" s="2" t="str">
        <x:v>qiskit.primitives.StatevectorSampler</x:v>
      </x:c>
      <x:c r="O647" s="9" t="str">
        <x:v>1011001111</x:v>
      </x:c>
    </x:row>
    <x:row r="648" ht="18" customHeight="1">
      <x:c r="A648" s="2" t="str">
        <x:v>legacy_n5_11</x:v>
      </x:c>
      <x:c r="B648" s="2" t="str">
        <x:v>BPSO</x:v>
      </x:c>
      <x:c r="C648" s="2" t="n">
        <x:v>789</x:v>
      </x:c>
      <x:c r="D648" s="2" t="str">
        <x:v>success</x:v>
      </x:c>
      <x:c r="E648" s="2" t="n">
        <x:v>10</x:v>
      </x:c>
      <x:c r="F648" s="7" t="n">
        <x:v>82.61363636363637</x:v>
      </x:c>
      <x:c r="G648" s="7" t="n">
        <x:v>69.34857142857143</x:v>
      </x:c>
      <x:c r="H648" s="7" t="n">
        <x:f>IF(F648=0,"n.a.",100*(F648-G648)/F648)</x:f>
        <x:v>16.056749852623312</x:v>
      </x:c>
      <x:c r="I648" s="7" t="n">
        <x:f>F648-G648</x:f>
        <x:v>13.265064935064942</x:v>
      </x:c>
      <x:c r="J648" s="8" t="n">
        <x:v>0.4332951025997879</x:v>
      </x:c>
      <x:c r="K648" s="8" t="n">
        <x:v>0.4332951025997879</x:v>
      </x:c>
      <x:c r="L648" s="8" t="n">
        <x:v>0</x:v>
      </x:c>
      <x:c r="M648" s="7" t="n">
        <x:v>20.304999998188578</x:v>
      </x:c>
      <x:c r="N648" s="2" t="str">
        <x:v>repository_particle_dynamics_on_frozen_qubo</x:v>
      </x:c>
      <x:c r="O648" s="9" t="str">
        <x:v>1011001111</x:v>
      </x:c>
    </x:row>
    <x:row r="649" ht="18" customHeight="1">
      <x:c r="A649" s="2" t="str">
        <x:v>legacy_n5_11</x:v>
      </x:c>
      <x:c r="B649" s="2" t="str">
        <x:v>QAOA</x:v>
      </x:c>
      <x:c r="C649" s="2" t="n">
        <x:v>789</x:v>
      </x:c>
      <x:c r="D649" s="2" t="str">
        <x:v>success</x:v>
      </x:c>
      <x:c r="E649" s="2" t="n">
        <x:v>10</x:v>
      </x:c>
      <x:c r="F649" s="7" t="n">
        <x:v>82.61363636363637</x:v>
      </x:c>
      <x:c r="G649" s="7" t="n">
        <x:v>69.34857142857143</x:v>
      </x:c>
      <x:c r="H649" s="7" t="n">
        <x:f>IF(F649=0,"n.a.",100*(F649-G649)/F649)</x:f>
        <x:v>16.056749852623312</x:v>
      </x:c>
      <x:c r="I649" s="7" t="n">
        <x:f>F649-G649</x:f>
        <x:v>13.265064935064942</x:v>
      </x:c>
      <x:c r="J649" s="8" t="n">
        <x:v>0.43329510259978765</x:v>
      </x:c>
      <x:c r="K649" s="8" t="n">
        <x:v>0.4332951025997879</x:v>
      </x:c>
      <x:c r="L649" s="8" t="n">
        <x:v>0</x:v>
      </x:c>
      <x:c r="M649" s="7" t="n">
        <x:v>701.9319999963045</x:v>
      </x:c>
      <x:c r="N649" s="2" t="str">
        <x:v>qiskit.primitives.StatevectorSampler</x:v>
      </x:c>
      <x:c r="O649" s="9" t="str">
        <x:v>1110101011</x:v>
      </x:c>
    </x:row>
    <x:row r="650" ht="18" customHeight="1">
      <x:c r="A650" s="2" t="str">
        <x:v>legacy_n5_11</x:v>
      </x:c>
      <x:c r="B650" s="2" t="str">
        <x:v>BPSO</x:v>
      </x:c>
      <x:c r="C650" s="2" t="n">
        <x:v>2026</x:v>
      </x:c>
      <x:c r="D650" s="2" t="str">
        <x:v>success</x:v>
      </x:c>
      <x:c r="E650" s="2" t="n">
        <x:v>10</x:v>
      </x:c>
      <x:c r="F650" s="7" t="n">
        <x:v>82.61363636363637</x:v>
      </x:c>
      <x:c r="G650" s="7" t="n">
        <x:v>69.34857142857143</x:v>
      </x:c>
      <x:c r="H650" s="7" t="n">
        <x:f>IF(F650=0,"n.a.",100*(F650-G650)/F650)</x:f>
        <x:v>16.056749852623312</x:v>
      </x:c>
      <x:c r="I650" s="7" t="n">
        <x:f>F650-G650</x:f>
        <x:v>13.265064935064942</x:v>
      </x:c>
      <x:c r="J650" s="8" t="n">
        <x:v>0.4332951025997879</x:v>
      </x:c>
      <x:c r="K650" s="8" t="n">
        <x:v>0.4332951025997879</x:v>
      </x:c>
      <x:c r="L650" s="8" t="n">
        <x:v>0</x:v>
      </x:c>
      <x:c r="M650" s="7" t="n">
        <x:v>20.238799988874234</x:v>
      </x:c>
      <x:c r="N650" s="2" t="str">
        <x:v>repository_particle_dynamics_on_frozen_qubo</x:v>
      </x:c>
      <x:c r="O650" s="9" t="str">
        <x:v>1101110011</x:v>
      </x:c>
    </x:row>
    <x:row r="651" ht="18" customHeight="1">
      <x:c r="A651" s="2" t="str">
        <x:v>legacy_n5_11</x:v>
      </x:c>
      <x:c r="B651" s="2" t="str">
        <x:v>QAOA</x:v>
      </x:c>
      <x:c r="C651" s="2" t="n">
        <x:v>2026</x:v>
      </x:c>
      <x:c r="D651" s="2" t="str">
        <x:v>success</x:v>
      </x:c>
      <x:c r="E651" s="2" t="n">
        <x:v>10</x:v>
      </x:c>
      <x:c r="F651" s="7" t="n">
        <x:v>82.61363636363637</x:v>
      </x:c>
      <x:c r="G651" s="7" t="n">
        <x:v>69.34857142857143</x:v>
      </x:c>
      <x:c r="H651" s="7" t="n">
        <x:f>IF(F651=0,"n.a.",100*(F651-G651)/F651)</x:f>
        <x:v>16.056749852623312</x:v>
      </x:c>
      <x:c r="I651" s="7" t="n">
        <x:f>F651-G651</x:f>
        <x:v>13.265064935064942</x:v>
      </x:c>
      <x:c r="J651" s="8" t="n">
        <x:v>0.43329510259978765</x:v>
      </x:c>
      <x:c r="K651" s="8" t="n">
        <x:v>0.4332951025997879</x:v>
      </x:c>
      <x:c r="L651" s="8" t="n">
        <x:v>0</x:v>
      </x:c>
      <x:c r="M651" s="7" t="n">
        <x:v>645.6340000004275</x:v>
      </x:c>
      <x:c r="N651" s="2" t="str">
        <x:v>qiskit.primitives.StatevectorSampler</x:v>
      </x:c>
      <x:c r="O651" s="9" t="str">
        <x:v>0111101011</x:v>
      </x:c>
    </x:row>
    <x:row r="652" ht="18" customHeight="1">
      <x:c r="A652" s="2" t="str">
        <x:v>legacy_n5_12</x:v>
      </x:c>
      <x:c r="B652" s="2" t="str">
        <x:v>Unmanaged</x:v>
      </x:c>
      <x:c r="C652" s="2"/>
      <x:c r="D652" s="2" t="str">
        <x:v>baseline</x:v>
      </x:c>
      <x:c r="E652" s="2" t="n">
        <x:v>8</x:v>
      </x:c>
      <x:c r="F652" s="7" t="n">
        <x:v>85.4125</x:v>
      </x:c>
      <x:c r="G652" s="7" t="n">
        <x:v>85.4125</x:v>
      </x:c>
      <x:c r="H652" s="7" t="n">
        <x:f>IF(F652=0,"n.a.",100*(F652-G652)/F652)</x:f>
        <x:v>0</x:v>
      </x:c>
      <x:c r="I652" s="7" t="n">
        <x:f>F652-G652</x:f>
        <x:v>0</x:v>
      </x:c>
      <x:c r="J652" s="8"/>
      <x:c r="K652" s="8" t="n">
        <x:v>0.338099593546189</x:v>
      </x:c>
      <x:c r="L652" s="8"/>
      <x:c r="M652" s="7"/>
      <x:c r="N652" s="2" t="str">
        <x:v>unmanaged_input</x:v>
      </x:c>
      <x:c r="O652" s="9"/>
    </x:row>
    <x:row r="653" ht="18" customHeight="1">
      <x:c r="A653" s="2" t="str">
        <x:v>legacy_n5_12</x:v>
      </x:c>
      <x:c r="B653" s="2" t="str">
        <x:v>Exact J</x:v>
      </x:c>
      <x:c r="C653" s="2"/>
      <x:c r="D653" s="2" t="str">
        <x:v>success</x:v>
      </x:c>
      <x:c r="E653" s="2" t="n">
        <x:v>8</x:v>
      </x:c>
      <x:c r="F653" s="7" t="n">
        <x:v>85.4125</x:v>
      </x:c>
      <x:c r="G653" s="7" t="n">
        <x:v>72.2342857142857</x:v>
      </x:c>
      <x:c r="H653" s="7" t="n">
        <x:f>IF(F653=0,"n.a.",100*(F653-G653)/F653)</x:f>
        <x:v>15.428905939662567</x:v>
      </x:c>
      <x:c r="I653" s="7" t="n">
        <x:f>F653-G653</x:f>
        <x:v>13.17821428571429</x:v>
      </x:c>
      <x:c r="J653" s="8" t="n">
        <x:v>0.338099593546189</x:v>
      </x:c>
      <x:c r="K653" s="8" t="n">
        <x:v>0.338099593546189</x:v>
      </x:c>
      <x:c r="L653" s="8" t="n">
        <x:v>0</x:v>
      </x:c>
      <x:c r="M653" s="7"/>
      <x:c r="N653" s="2" t="str">
        <x:v>exhaustive_enumeration</x:v>
      </x:c>
      <x:c r="O653" s="9" t="str">
        <x:v>00110011</x:v>
      </x:c>
    </x:row>
    <x:row r="654" ht="18" customHeight="1">
      <x:c r="A654" s="2" t="str">
        <x:v>legacy_n5_12</x:v>
      </x:c>
      <x:c r="B654" s="2" t="str">
        <x:v>Exact peak</x:v>
      </x:c>
      <x:c r="C654" s="2"/>
      <x:c r="D654" s="2" t="str">
        <x:v>success</x:v>
      </x:c>
      <x:c r="E654" s="2" t="n">
        <x:v>8</x:v>
      </x:c>
      <x:c r="F654" s="7" t="n">
        <x:v>85.4125</x:v>
      </x:c>
      <x:c r="G654" s="7" t="n">
        <x:v>67</x:v>
      </x:c>
      <x:c r="H654" s="7" t="n">
        <x:f>IF(F654=0,"n.a.",100*(F654-G654)/F654)</x:f>
        <x:v>21.557149129225813</x:v>
      </x:c>
      <x:c r="I654" s="7" t="n">
        <x:f>F654-G654</x:f>
        <x:v>18.412499999999994</x:v>
      </x:c>
      <x:c r="J654" s="8" t="n">
        <x:v>0.34049068169217955</x:v>
      </x:c>
      <x:c r="K654" s="8" t="n">
        <x:v>0.338099593546189</x:v>
      </x:c>
      <x:c r="L654" s="8" t="n">
        <x:v>0.0023910881459905386</x:v>
      </x:c>
      <x:c r="M654" s="7"/>
      <x:c r="N654" s="2" t="str">
        <x:v>exhaustive_enumeration</x:v>
      </x:c>
      <x:c r="O654" s="9" t="str">
        <x:v>01110011</x:v>
      </x:c>
    </x:row>
    <x:row r="655" ht="18" customHeight="1">
      <x:c r="A655" s="2" t="str">
        <x:v>legacy_n5_12</x:v>
      </x:c>
      <x:c r="B655" s="2" t="str">
        <x:v>BPSO</x:v>
      </x:c>
      <x:c r="C655" s="2" t="n">
        <x:v>42</x:v>
      </x:c>
      <x:c r="D655" s="2" t="str">
        <x:v>success</x:v>
      </x:c>
      <x:c r="E655" s="2" t="n">
        <x:v>8</x:v>
      </x:c>
      <x:c r="F655" s="7" t="n">
        <x:v>85.4125</x:v>
      </x:c>
      <x:c r="G655" s="7" t="n">
        <x:v>72.2342857142857</x:v>
      </x:c>
      <x:c r="H655" s="7" t="n">
        <x:f>IF(F655=0,"n.a.",100*(F655-G655)/F655)</x:f>
        <x:v>15.428905939662567</x:v>
      </x:c>
      <x:c r="I655" s="7" t="n">
        <x:f>F655-G655</x:f>
        <x:v>13.17821428571429</x:v>
      </x:c>
      <x:c r="J655" s="8" t="n">
        <x:v>0.338099593546189</x:v>
      </x:c>
      <x:c r="K655" s="8" t="n">
        <x:v>0.338099593546189</x:v>
      </x:c>
      <x:c r="L655" s="8" t="n">
        <x:v>0</x:v>
      </x:c>
      <x:c r="M655" s="7" t="n">
        <x:v>17.941300000529736</x:v>
      </x:c>
      <x:c r="N655" s="2" t="str">
        <x:v>repository_particle_dynamics_on_frozen_qubo</x:v>
      </x:c>
      <x:c r="O655" s="9" t="str">
        <x:v>01011010</x:v>
      </x:c>
    </x:row>
    <x:row r="656" ht="18" customHeight="1">
      <x:c r="A656" s="2" t="str">
        <x:v>legacy_n5_12</x:v>
      </x:c>
      <x:c r="B656" s="2" t="str">
        <x:v>QAOA</x:v>
      </x:c>
      <x:c r="C656" s="2" t="n">
        <x:v>42</x:v>
      </x:c>
      <x:c r="D656" s="2" t="str">
        <x:v>success</x:v>
      </x:c>
      <x:c r="E656" s="2" t="n">
        <x:v>8</x:v>
      </x:c>
      <x:c r="F656" s="7" t="n">
        <x:v>85.4125</x:v>
      </x:c>
      <x:c r="G656" s="7" t="n">
        <x:v>72.2342857142857</x:v>
      </x:c>
      <x:c r="H656" s="7" t="n">
        <x:f>IF(F656=0,"n.a.",100*(F656-G656)/F656)</x:f>
        <x:v>15.428905939662567</x:v>
      </x:c>
      <x:c r="I656" s="7" t="n">
        <x:f>F656-G656</x:f>
        <x:v>13.17821428571429</x:v>
      </x:c>
      <x:c r="J656" s="8" t="n">
        <x:v>0.338099593546189</x:v>
      </x:c>
      <x:c r="K656" s="8" t="n">
        <x:v>0.338099593546189</x:v>
      </x:c>
      <x:c r="L656" s="8" t="n">
        <x:v>0</x:v>
      </x:c>
      <x:c r="M656" s="7" t="n">
        <x:v>434.00360000669025</x:v>
      </x:c>
      <x:c r="N656" s="2" t="str">
        <x:v>qiskit.primitives.StatevectorSampler</x:v>
      </x:c>
      <x:c r="O656" s="9" t="str">
        <x:v>01010110</x:v>
      </x:c>
    </x:row>
    <x:row r="657" ht="18" customHeight="1">
      <x:c r="A657" s="2" t="str">
        <x:v>legacy_n5_12</x:v>
      </x:c>
      <x:c r="B657" s="2" t="str">
        <x:v>BPSO</x:v>
      </x:c>
      <x:c r="C657" s="2" t="n">
        <x:v>123</x:v>
      </x:c>
      <x:c r="D657" s="2" t="str">
        <x:v>success</x:v>
      </x:c>
      <x:c r="E657" s="2" t="n">
        <x:v>8</x:v>
      </x:c>
      <x:c r="F657" s="7" t="n">
        <x:v>85.4125</x:v>
      </x:c>
      <x:c r="G657" s="7" t="n">
        <x:v>72.2342857142857</x:v>
      </x:c>
      <x:c r="H657" s="7" t="n">
        <x:f>IF(F657=0,"n.a.",100*(F657-G657)/F657)</x:f>
        <x:v>15.428905939662567</x:v>
      </x:c>
      <x:c r="I657" s="7" t="n">
        <x:f>F657-G657</x:f>
        <x:v>13.17821428571429</x:v>
      </x:c>
      <x:c r="J657" s="8" t="n">
        <x:v>0.338099593546189</x:v>
      </x:c>
      <x:c r="K657" s="8" t="n">
        <x:v>0.338099593546189</x:v>
      </x:c>
      <x:c r="L657" s="8" t="n">
        <x:v>0</x:v>
      </x:c>
      <x:c r="M657" s="7" t="n">
        <x:v>18.200899998191744</x:v>
      </x:c>
      <x:c r="N657" s="2" t="str">
        <x:v>repository_particle_dynamics_on_frozen_qubo</x:v>
      </x:c>
      <x:c r="O657" s="9" t="str">
        <x:v>00110011</x:v>
      </x:c>
    </x:row>
    <x:row r="658" ht="18" customHeight="1">
      <x:c r="A658" s="2" t="str">
        <x:v>legacy_n5_12</x:v>
      </x:c>
      <x:c r="B658" s="2" t="str">
        <x:v>QAOA</x:v>
      </x:c>
      <x:c r="C658" s="2" t="n">
        <x:v>123</x:v>
      </x:c>
      <x:c r="D658" s="2" t="str">
        <x:v>success</x:v>
      </x:c>
      <x:c r="E658" s="2" t="n">
        <x:v>8</x:v>
      </x:c>
      <x:c r="F658" s="7" t="n">
        <x:v>85.4125</x:v>
      </x:c>
      <x:c r="G658" s="7" t="n">
        <x:v>72.2342857142857</x:v>
      </x:c>
      <x:c r="H658" s="7" t="n">
        <x:f>IF(F658=0,"n.a.",100*(F658-G658)/F658)</x:f>
        <x:v>15.428905939662567</x:v>
      </x:c>
      <x:c r="I658" s="7" t="n">
        <x:f>F658-G658</x:f>
        <x:v>13.17821428571429</x:v>
      </x:c>
      <x:c r="J658" s="8" t="n">
        <x:v>0.338099593546189</x:v>
      </x:c>
      <x:c r="K658" s="8" t="n">
        <x:v>0.338099593546189</x:v>
      </x:c>
      <x:c r="L658" s="8" t="n">
        <x:v>0</x:v>
      </x:c>
      <x:c r="M658" s="7" t="n">
        <x:v>524.260599995614</x:v>
      </x:c>
      <x:c r="N658" s="2" t="str">
        <x:v>qiskit.primitives.StatevectorSampler</x:v>
      </x:c>
      <x:c r="O658" s="9" t="str">
        <x:v>01011100</x:v>
      </x:c>
    </x:row>
    <x:row r="659" ht="18" customHeight="1">
      <x:c r="A659" s="2" t="str">
        <x:v>legacy_n5_12</x:v>
      </x:c>
      <x:c r="B659" s="2" t="str">
        <x:v>BPSO</x:v>
      </x:c>
      <x:c r="C659" s="2" t="n">
        <x:v>456</x:v>
      </x:c>
      <x:c r="D659" s="2" t="str">
        <x:v>success</x:v>
      </x:c>
      <x:c r="E659" s="2" t="n">
        <x:v>8</x:v>
      </x:c>
      <x:c r="F659" s="7" t="n">
        <x:v>85.4125</x:v>
      </x:c>
      <x:c r="G659" s="7" t="n">
        <x:v>72.2342857142857</x:v>
      </x:c>
      <x:c r="H659" s="7" t="n">
        <x:f>IF(F659=0,"n.a.",100*(F659-G659)/F659)</x:f>
        <x:v>15.428905939662567</x:v>
      </x:c>
      <x:c r="I659" s="7" t="n">
        <x:f>F659-G659</x:f>
        <x:v>13.17821428571429</x:v>
      </x:c>
      <x:c r="J659" s="8" t="n">
        <x:v>0.338099593546189</x:v>
      </x:c>
      <x:c r="K659" s="8" t="n">
        <x:v>0.338099593546189</x:v>
      </x:c>
      <x:c r="L659" s="8" t="n">
        <x:v>0</x:v>
      </x:c>
      <x:c r="M659" s="7" t="n">
        <x:v>17.9504999978235</x:v>
      </x:c>
      <x:c r="N659" s="2" t="str">
        <x:v>repository_particle_dynamics_on_frozen_qubo</x:v>
      </x:c>
      <x:c r="O659" s="9" t="str">
        <x:v>00111010</x:v>
      </x:c>
    </x:row>
    <x:row r="660" ht="18" customHeight="1">
      <x:c r="A660" s="2" t="str">
        <x:v>legacy_n5_12</x:v>
      </x:c>
      <x:c r="B660" s="2" t="str">
        <x:v>QAOA</x:v>
      </x:c>
      <x:c r="C660" s="2" t="n">
        <x:v>456</x:v>
      </x:c>
      <x:c r="D660" s="2" t="str">
        <x:v>success</x:v>
      </x:c>
      <x:c r="E660" s="2" t="n">
        <x:v>8</x:v>
      </x:c>
      <x:c r="F660" s="7" t="n">
        <x:v>85.4125</x:v>
      </x:c>
      <x:c r="G660" s="7" t="n">
        <x:v>72.2342857142857</x:v>
      </x:c>
      <x:c r="H660" s="7" t="n">
        <x:f>IF(F660=0,"n.a.",100*(F660-G660)/F660)</x:f>
        <x:v>15.428905939662567</x:v>
      </x:c>
      <x:c r="I660" s="7" t="n">
        <x:f>F660-G660</x:f>
        <x:v>13.17821428571429</x:v>
      </x:c>
      <x:c r="J660" s="8" t="n">
        <x:v>0.338099593546189</x:v>
      </x:c>
      <x:c r="K660" s="8" t="n">
        <x:v>0.338099593546189</x:v>
      </x:c>
      <x:c r="L660" s="8" t="n">
        <x:v>0</x:v>
      </x:c>
      <x:c r="M660" s="7" t="n">
        <x:v>403.76820000528824</x:v>
      </x:c>
      <x:c r="N660" s="2" t="str">
        <x:v>qiskit.primitives.StatevectorSampler</x:v>
      </x:c>
      <x:c r="O660" s="9" t="str">
        <x:v>00110110</x:v>
      </x:c>
    </x:row>
    <x:row r="661" ht="18" customHeight="1">
      <x:c r="A661" s="2" t="str">
        <x:v>legacy_n5_12</x:v>
      </x:c>
      <x:c r="B661" s="2" t="str">
        <x:v>BPSO</x:v>
      </x:c>
      <x:c r="C661" s="2" t="n">
        <x:v>789</x:v>
      </x:c>
      <x:c r="D661" s="2" t="str">
        <x:v>success</x:v>
      </x:c>
      <x:c r="E661" s="2" t="n">
        <x:v>8</x:v>
      </x:c>
      <x:c r="F661" s="7" t="n">
        <x:v>85.4125</x:v>
      </x:c>
      <x:c r="G661" s="7" t="n">
        <x:v>72.2342857142857</x:v>
      </x:c>
      <x:c r="H661" s="7" t="n">
        <x:f>IF(F661=0,"n.a.",100*(F661-G661)/F661)</x:f>
        <x:v>15.428905939662567</x:v>
      </x:c>
      <x:c r="I661" s="7" t="n">
        <x:f>F661-G661</x:f>
        <x:v>13.17821428571429</x:v>
      </x:c>
      <x:c r="J661" s="8" t="n">
        <x:v>0.338099593546189</x:v>
      </x:c>
      <x:c r="K661" s="8" t="n">
        <x:v>0.338099593546189</x:v>
      </x:c>
      <x:c r="L661" s="8" t="n">
        <x:v>0</x:v>
      </x:c>
      <x:c r="M661" s="7" t="n">
        <x:v>18.214600000646897</x:v>
      </x:c>
      <x:c r="N661" s="2" t="str">
        <x:v>repository_particle_dynamics_on_frozen_qubo</x:v>
      </x:c>
      <x:c r="O661" s="9" t="str">
        <x:v>10100110</x:v>
      </x:c>
    </x:row>
    <x:row r="662" ht="18" customHeight="1">
      <x:c r="A662" s="2" t="str">
        <x:v>legacy_n5_12</x:v>
      </x:c>
      <x:c r="B662" s="2" t="str">
        <x:v>QAOA</x:v>
      </x:c>
      <x:c r="C662" s="2" t="n">
        <x:v>789</x:v>
      </x:c>
      <x:c r="D662" s="2" t="str">
        <x:v>success</x:v>
      </x:c>
      <x:c r="E662" s="2" t="n">
        <x:v>8</x:v>
      </x:c>
      <x:c r="F662" s="7" t="n">
        <x:v>85.4125</x:v>
      </x:c>
      <x:c r="G662" s="7" t="n">
        <x:v>72.2342857142857</x:v>
      </x:c>
      <x:c r="H662" s="7" t="n">
        <x:f>IF(F662=0,"n.a.",100*(F662-G662)/F662)</x:f>
        <x:v>15.428905939662567</x:v>
      </x:c>
      <x:c r="I662" s="7" t="n">
        <x:f>F662-G662</x:f>
        <x:v>13.17821428571429</x:v>
      </x:c>
      <x:c r="J662" s="8" t="n">
        <x:v>0.338099593546189</x:v>
      </x:c>
      <x:c r="K662" s="8" t="n">
        <x:v>0.338099593546189</x:v>
      </x:c>
      <x:c r="L662" s="8" t="n">
        <x:v>0</x:v>
      </x:c>
      <x:c r="M662" s="7" t="n">
        <x:v>445.5287999880966</x:v>
      </x:c>
      <x:c r="N662" s="2" t="str">
        <x:v>qiskit.primitives.StatevectorSampler</x:v>
      </x:c>
      <x:c r="O662" s="9" t="str">
        <x:v>10011100</x:v>
      </x:c>
    </x:row>
    <x:row r="663" ht="18" customHeight="1">
      <x:c r="A663" s="2" t="str">
        <x:v>legacy_n5_12</x:v>
      </x:c>
      <x:c r="B663" s="2" t="str">
        <x:v>BPSO</x:v>
      </x:c>
      <x:c r="C663" s="2" t="n">
        <x:v>2026</x:v>
      </x:c>
      <x:c r="D663" s="2" t="str">
        <x:v>success</x:v>
      </x:c>
      <x:c r="E663" s="2" t="n">
        <x:v>8</x:v>
      </x:c>
      <x:c r="F663" s="7" t="n">
        <x:v>85.4125</x:v>
      </x:c>
      <x:c r="G663" s="7" t="n">
        <x:v>72.2342857142857</x:v>
      </x:c>
      <x:c r="H663" s="7" t="n">
        <x:f>IF(F663=0,"n.a.",100*(F663-G663)/F663)</x:f>
        <x:v>15.428905939662567</x:v>
      </x:c>
      <x:c r="I663" s="7" t="n">
        <x:f>F663-G663</x:f>
        <x:v>13.17821428571429</x:v>
      </x:c>
      <x:c r="J663" s="8" t="n">
        <x:v>0.338099593546189</x:v>
      </x:c>
      <x:c r="K663" s="8" t="n">
        <x:v>0.338099593546189</x:v>
      </x:c>
      <x:c r="L663" s="8" t="n">
        <x:v>0</x:v>
      </x:c>
      <x:c r="M663" s="7" t="n">
        <x:v>19.19880000059493</x:v>
      </x:c>
      <x:c r="N663" s="2" t="str">
        <x:v>repository_particle_dynamics_on_frozen_qubo</x:v>
      </x:c>
      <x:c r="O663" s="9" t="str">
        <x:v>11001010</x:v>
      </x:c>
    </x:row>
    <x:row r="664" ht="18" customHeight="1">
      <x:c r="A664" s="2" t="str">
        <x:v>legacy_n5_12</x:v>
      </x:c>
      <x:c r="B664" s="2" t="str">
        <x:v>QAOA</x:v>
      </x:c>
      <x:c r="C664" s="2" t="n">
        <x:v>2026</x:v>
      </x:c>
      <x:c r="D664" s="2" t="str">
        <x:v>success</x:v>
      </x:c>
      <x:c r="E664" s="2" t="n">
        <x:v>8</x:v>
      </x:c>
      <x:c r="F664" s="7" t="n">
        <x:v>85.4125</x:v>
      </x:c>
      <x:c r="G664" s="7" t="n">
        <x:v>72.2342857142857</x:v>
      </x:c>
      <x:c r="H664" s="7" t="n">
        <x:f>IF(F664=0,"n.a.",100*(F664-G664)/F664)</x:f>
        <x:v>15.428905939662567</x:v>
      </x:c>
      <x:c r="I664" s="7" t="n">
        <x:f>F664-G664</x:f>
        <x:v>13.17821428571429</x:v>
      </x:c>
      <x:c r="J664" s="8" t="n">
        <x:v>0.338099593546189</x:v>
      </x:c>
      <x:c r="K664" s="8" t="n">
        <x:v>0.338099593546189</x:v>
      </x:c>
      <x:c r="L664" s="8" t="n">
        <x:v>0</x:v>
      </x:c>
      <x:c r="M664" s="7" t="n">
        <x:v>530.1784999901429</x:v>
      </x:c>
      <x:c r="N664" s="2" t="str">
        <x:v>qiskit.primitives.StatevectorSampler</x:v>
      </x:c>
      <x:c r="O664" s="9" t="str">
        <x:v>01100101</x:v>
      </x:c>
    </x:row>
    <x:row r="665" ht="18" customHeight="1">
      <x:c r="A665" s="2" t="str">
        <x:v>legacy_n5_13</x:v>
      </x:c>
      <x:c r="B665" s="2" t="str">
        <x:v>Unmanaged</x:v>
      </x:c>
      <x:c r="C665" s="2"/>
      <x:c r="D665" s="2" t="str">
        <x:v>baseline</x:v>
      </x:c>
      <x:c r="E665" s="2" t="n">
        <x:v>3</x:v>
      </x:c>
      <x:c r="F665" s="7" t="n">
        <x:v>73.11764705882354</x:v>
      </x:c>
      <x:c r="G665" s="7" t="n">
        <x:v>73.11764705882354</x:v>
      </x:c>
      <x:c r="H665" s="7" t="n">
        <x:f>IF(F665=0,"n.a.",100*(F665-G665)/F665)</x:f>
        <x:v>0</x:v>
      </x:c>
      <x:c r="I665" s="7" t="n">
        <x:f>F665-G665</x:f>
        <x:v>0</x:v>
      </x:c>
      <x:c r="J665" s="8"/>
      <x:c r="K665" s="8" t="n">
        <x:v>0.2309290696080453</x:v>
      </x:c>
      <x:c r="L665" s="8"/>
      <x:c r="M665" s="7"/>
      <x:c r="N665" s="2" t="str">
        <x:v>unmanaged_input</x:v>
      </x:c>
      <x:c r="O665" s="9"/>
    </x:row>
    <x:row r="666" ht="18" customHeight="1">
      <x:c r="A666" s="2" t="str">
        <x:v>legacy_n5_13</x:v>
      </x:c>
      <x:c r="B666" s="2" t="str">
        <x:v>Exact J</x:v>
      </x:c>
      <x:c r="C666" s="2"/>
      <x:c r="D666" s="2" t="str">
        <x:v>success</x:v>
      </x:c>
      <x:c r="E666" s="2" t="n">
        <x:v>3</x:v>
      </x:c>
      <x:c r="F666" s="7" t="n">
        <x:v>73.11764705882354</x:v>
      </x:c>
      <x:c r="G666" s="7" t="n">
        <x:v>51.83913043478261</x:v>
      </x:c>
      <x:c r="H666" s="7" t="n">
        <x:f>IF(F666=0,"n.a.",100*(F666-G666)/F666)</x:f>
        <x:v>29.101752422260315</x:v>
      </x:c>
      <x:c r="I666" s="7" t="n">
        <x:f>F666-G666</x:f>
        <x:v>21.278516624040925</x:v>
      </x:c>
      <x:c r="J666" s="8" t="n">
        <x:v>0.2309290696080453</x:v>
      </x:c>
      <x:c r="K666" s="8" t="n">
        <x:v>0.2309290696080453</x:v>
      </x:c>
      <x:c r="L666" s="8" t="n">
        <x:v>0</x:v>
      </x:c>
      <x:c r="M666" s="7"/>
      <x:c r="N666" s="2" t="str">
        <x:v>exhaustive_enumeration</x:v>
      </x:c>
      <x:c r="O666" s="9" t="str">
        <x:v>001</x:v>
      </x:c>
    </x:row>
    <x:row r="667" ht="18" customHeight="1">
      <x:c r="A667" s="2" t="str">
        <x:v>legacy_n5_13</x:v>
      </x:c>
      <x:c r="B667" s="2" t="str">
        <x:v>Exact peak</x:v>
      </x:c>
      <x:c r="C667" s="2"/>
      <x:c r="D667" s="2" t="str">
        <x:v>success</x:v>
      </x:c>
      <x:c r="E667" s="2" t="n">
        <x:v>3</x:v>
      </x:c>
      <x:c r="F667" s="7" t="n">
        <x:v>73.11764705882354</x:v>
      </x:c>
      <x:c r="G667" s="7" t="n">
        <x:v>51.83913043478261</x:v>
      </x:c>
      <x:c r="H667" s="7" t="n">
        <x:f>IF(F667=0,"n.a.",100*(F667-G667)/F667)</x:f>
        <x:v>29.101752422260315</x:v>
      </x:c>
      <x:c r="I667" s="7" t="n">
        <x:f>F667-G667</x:f>
        <x:v>21.278516624040925</x:v>
      </x:c>
      <x:c r="J667" s="8" t="n">
        <x:v>0.2309290696080453</x:v>
      </x:c>
      <x:c r="K667" s="8" t="n">
        <x:v>0.2309290696080453</x:v>
      </x:c>
      <x:c r="L667" s="8" t="n">
        <x:v>0</x:v>
      </x:c>
      <x:c r="M667" s="7"/>
      <x:c r="N667" s="2" t="str">
        <x:v>exhaustive_enumeration</x:v>
      </x:c>
      <x:c r="O667" s="9" t="str">
        <x:v>001</x:v>
      </x:c>
    </x:row>
    <x:row r="668" ht="18" customHeight="1">
      <x:c r="A668" s="2" t="str">
        <x:v>legacy_n5_13</x:v>
      </x:c>
      <x:c r="B668" s="2" t="str">
        <x:v>BPSO</x:v>
      </x:c>
      <x:c r="C668" s="2" t="n">
        <x:v>42</x:v>
      </x:c>
      <x:c r="D668" s="2" t="str">
        <x:v>success</x:v>
      </x:c>
      <x:c r="E668" s="2" t="n">
        <x:v>3</x:v>
      </x:c>
      <x:c r="F668" s="7" t="n">
        <x:v>73.11764705882354</x:v>
      </x:c>
      <x:c r="G668" s="7" t="n">
        <x:v>51.83913043478261</x:v>
      </x:c>
      <x:c r="H668" s="7" t="n">
        <x:f>IF(F668=0,"n.a.",100*(F668-G668)/F668)</x:f>
        <x:v>29.101752422260315</x:v>
      </x:c>
      <x:c r="I668" s="7" t="n">
        <x:f>F668-G668</x:f>
        <x:v>21.278516624040925</x:v>
      </x:c>
      <x:c r="J668" s="8" t="n">
        <x:v>0.2309290696080453</x:v>
      </x:c>
      <x:c r="K668" s="8" t="n">
        <x:v>0.2309290696080453</x:v>
      </x:c>
      <x:c r="L668" s="8" t="n">
        <x:v>0</x:v>
      </x:c>
      <x:c r="M668" s="7" t="n">
        <x:v>13.543299995944835</x:v>
      </x:c>
      <x:c r="N668" s="2" t="str">
        <x:v>repository_particle_dynamics_on_frozen_qubo</x:v>
      </x:c>
      <x:c r="O668" s="9" t="str">
        <x:v>100</x:v>
      </x:c>
    </x:row>
    <x:row r="669" ht="18" customHeight="1">
      <x:c r="A669" s="2" t="str">
        <x:v>legacy_n5_13</x:v>
      </x:c>
      <x:c r="B669" s="2" t="str">
        <x:v>QAOA</x:v>
      </x:c>
      <x:c r="C669" s="2" t="n">
        <x:v>42</x:v>
      </x:c>
      <x:c r="D669" s="2" t="str">
        <x:v>success</x:v>
      </x:c>
      <x:c r="E669" s="2" t="n">
        <x:v>3</x:v>
      </x:c>
      <x:c r="F669" s="7" t="n">
        <x:v>73.11764705882354</x:v>
      </x:c>
      <x:c r="G669" s="7" t="n">
        <x:v>51.83913043478261</x:v>
      </x:c>
      <x:c r="H669" s="7" t="n">
        <x:f>IF(F669=0,"n.a.",100*(F669-G669)/F669)</x:f>
        <x:v>29.101752422260315</x:v>
      </x:c>
      <x:c r="I669" s="7" t="n">
        <x:f>F669-G669</x:f>
        <x:v>21.278516624040925</x:v>
      </x:c>
      <x:c r="J669" s="8" t="n">
        <x:v>0.2309290696080453</x:v>
      </x:c>
      <x:c r="K669" s="8" t="n">
        <x:v>0.2309290696080453</x:v>
      </x:c>
      <x:c r="L669" s="8" t="n">
        <x:v>0</x:v>
      </x:c>
      <x:c r="M669" s="7" t="n">
        <x:v>160.6406000064453</x:v>
      </x:c>
      <x:c r="N669" s="2" t="str">
        <x:v>qiskit.primitives.StatevectorSampler</x:v>
      </x:c>
      <x:c r="O669" s="9" t="str">
        <x:v>010</x:v>
      </x:c>
    </x:row>
    <x:row r="670" ht="18" customHeight="1">
      <x:c r="A670" s="2" t="str">
        <x:v>legacy_n5_13</x:v>
      </x:c>
      <x:c r="B670" s="2" t="str">
        <x:v>BPSO</x:v>
      </x:c>
      <x:c r="C670" s="2" t="n">
        <x:v>123</x:v>
      </x:c>
      <x:c r="D670" s="2" t="str">
        <x:v>success</x:v>
      </x:c>
      <x:c r="E670" s="2" t="n">
        <x:v>3</x:v>
      </x:c>
      <x:c r="F670" s="7" t="n">
        <x:v>73.11764705882354</x:v>
      </x:c>
      <x:c r="G670" s="7" t="n">
        <x:v>51.83913043478261</x:v>
      </x:c>
      <x:c r="H670" s="7" t="n">
        <x:f>IF(F670=0,"n.a.",100*(F670-G670)/F670)</x:f>
        <x:v>29.101752422260315</x:v>
      </x:c>
      <x:c r="I670" s="7" t="n">
        <x:f>F670-G670</x:f>
        <x:v>21.278516624040925</x:v>
      </x:c>
      <x:c r="J670" s="8" t="n">
        <x:v>0.2309290696080453</x:v>
      </x:c>
      <x:c r="K670" s="8" t="n">
        <x:v>0.2309290696080453</x:v>
      </x:c>
      <x:c r="L670" s="8" t="n">
        <x:v>0</x:v>
      </x:c>
      <x:c r="M670" s="7" t="n">
        <x:v>13.635699986480176</x:v>
      </x:c>
      <x:c r="N670" s="2" t="str">
        <x:v>repository_particle_dynamics_on_frozen_qubo</x:v>
      </x:c>
      <x:c r="O670" s="9" t="str">
        <x:v>100</x:v>
      </x:c>
    </x:row>
    <x:row r="671" ht="18" customHeight="1">
      <x:c r="A671" s="2" t="str">
        <x:v>legacy_n5_13</x:v>
      </x:c>
      <x:c r="B671" s="2" t="str">
        <x:v>QAOA</x:v>
      </x:c>
      <x:c r="C671" s="2" t="n">
        <x:v>123</x:v>
      </x:c>
      <x:c r="D671" s="2" t="str">
        <x:v>success</x:v>
      </x:c>
      <x:c r="E671" s="2" t="n">
        <x:v>3</x:v>
      </x:c>
      <x:c r="F671" s="7" t="n">
        <x:v>73.11764705882354</x:v>
      </x:c>
      <x:c r="G671" s="7" t="n">
        <x:v>51.83913043478261</x:v>
      </x:c>
      <x:c r="H671" s="7" t="n">
        <x:f>IF(F671=0,"n.a.",100*(F671-G671)/F671)</x:f>
        <x:v>29.101752422260315</x:v>
      </x:c>
      <x:c r="I671" s="7" t="n">
        <x:f>F671-G671</x:f>
        <x:v>21.278516624040925</x:v>
      </x:c>
      <x:c r="J671" s="8" t="n">
        <x:v>0.2309290696080453</x:v>
      </x:c>
      <x:c r="K671" s="8" t="n">
        <x:v>0.2309290696080453</x:v>
      </x:c>
      <x:c r="L671" s="8" t="n">
        <x:v>0</x:v>
      </x:c>
      <x:c r="M671" s="7" t="n">
        <x:v>217.7636000124039</x:v>
      </x:c>
      <x:c r="N671" s="2" t="str">
        <x:v>qiskit.primitives.StatevectorSampler</x:v>
      </x:c>
      <x:c r="O671" s="9" t="str">
        <x:v>001</x:v>
      </x:c>
    </x:row>
    <x:row r="672" ht="18" customHeight="1">
      <x:c r="A672" s="2" t="str">
        <x:v>legacy_n5_13</x:v>
      </x:c>
      <x:c r="B672" s="2" t="str">
        <x:v>BPSO</x:v>
      </x:c>
      <x:c r="C672" s="2" t="n">
        <x:v>456</x:v>
      </x:c>
      <x:c r="D672" s="2" t="str">
        <x:v>success</x:v>
      </x:c>
      <x:c r="E672" s="2" t="n">
        <x:v>3</x:v>
      </x:c>
      <x:c r="F672" s="7" t="n">
        <x:v>73.11764705882354</x:v>
      </x:c>
      <x:c r="G672" s="7" t="n">
        <x:v>51.83913043478261</x:v>
      </x:c>
      <x:c r="H672" s="7" t="n">
        <x:f>IF(F672=0,"n.a.",100*(F672-G672)/F672)</x:f>
        <x:v>29.101752422260315</x:v>
      </x:c>
      <x:c r="I672" s="7" t="n">
        <x:f>F672-G672</x:f>
        <x:v>21.278516624040925</x:v>
      </x:c>
      <x:c r="J672" s="8" t="n">
        <x:v>0.2309290696080453</x:v>
      </x:c>
      <x:c r="K672" s="8" t="n">
        <x:v>0.2309290696080453</x:v>
      </x:c>
      <x:c r="L672" s="8" t="n">
        <x:v>0</x:v>
      </x:c>
      <x:c r="M672" s="7" t="n">
        <x:v>13.893600000301376</x:v>
      </x:c>
      <x:c r="N672" s="2" t="str">
        <x:v>repository_particle_dynamics_on_frozen_qubo</x:v>
      </x:c>
      <x:c r="O672" s="9" t="str">
        <x:v>010</x:v>
      </x:c>
    </x:row>
    <x:row r="673" ht="18" customHeight="1">
      <x:c r="A673" s="2" t="str">
        <x:v>legacy_n5_13</x:v>
      </x:c>
      <x:c r="B673" s="2" t="str">
        <x:v>QAOA</x:v>
      </x:c>
      <x:c r="C673" s="2" t="n">
        <x:v>456</x:v>
      </x:c>
      <x:c r="D673" s="2" t="str">
        <x:v>success</x:v>
      </x:c>
      <x:c r="E673" s="2" t="n">
        <x:v>3</x:v>
      </x:c>
      <x:c r="F673" s="7" t="n">
        <x:v>73.11764705882354</x:v>
      </x:c>
      <x:c r="G673" s="7" t="n">
        <x:v>51.83913043478261</x:v>
      </x:c>
      <x:c r="H673" s="7" t="n">
        <x:f>IF(F673=0,"n.a.",100*(F673-G673)/F673)</x:f>
        <x:v>29.101752422260315</x:v>
      </x:c>
      <x:c r="I673" s="7" t="n">
        <x:f>F673-G673</x:f>
        <x:v>21.278516624040925</x:v>
      </x:c>
      <x:c r="J673" s="8" t="n">
        <x:v>0.2309290696080453</x:v>
      </x:c>
      <x:c r="K673" s="8" t="n">
        <x:v>0.2309290696080453</x:v>
      </x:c>
      <x:c r="L673" s="8" t="n">
        <x:v>0</x:v>
      </x:c>
      <x:c r="M673" s="7" t="n">
        <x:v>161.7125000047963</x:v>
      </x:c>
      <x:c r="N673" s="2" t="str">
        <x:v>qiskit.primitives.StatevectorSampler</x:v>
      </x:c>
      <x:c r="O673" s="9" t="str">
        <x:v>010</x:v>
      </x:c>
    </x:row>
    <x:row r="674" ht="18" customHeight="1">
      <x:c r="A674" s="2" t="str">
        <x:v>legacy_n5_13</x:v>
      </x:c>
      <x:c r="B674" s="2" t="str">
        <x:v>BPSO</x:v>
      </x:c>
      <x:c r="C674" s="2" t="n">
        <x:v>789</x:v>
      </x:c>
      <x:c r="D674" s="2" t="str">
        <x:v>success</x:v>
      </x:c>
      <x:c r="E674" s="2" t="n">
        <x:v>3</x:v>
      </x:c>
      <x:c r="F674" s="7" t="n">
        <x:v>73.11764705882354</x:v>
      </x:c>
      <x:c r="G674" s="7" t="n">
        <x:v>51.83913043478261</x:v>
      </x:c>
      <x:c r="H674" s="7" t="n">
        <x:f>IF(F674=0,"n.a.",100*(F674-G674)/F674)</x:f>
        <x:v>29.101752422260315</x:v>
      </x:c>
      <x:c r="I674" s="7" t="n">
        <x:f>F674-G674</x:f>
        <x:v>21.278516624040925</x:v>
      </x:c>
      <x:c r="J674" s="8" t="n">
        <x:v>0.2309290696080453</x:v>
      </x:c>
      <x:c r="K674" s="8" t="n">
        <x:v>0.2309290696080453</x:v>
      </x:c>
      <x:c r="L674" s="8" t="n">
        <x:v>0</x:v>
      </x:c>
      <x:c r="M674" s="7" t="n">
        <x:v>13.222800000221469</x:v>
      </x:c>
      <x:c r="N674" s="2" t="str">
        <x:v>repository_particle_dynamics_on_frozen_qubo</x:v>
      </x:c>
      <x:c r="O674" s="9" t="str">
        <x:v>001</x:v>
      </x:c>
    </x:row>
    <x:row r="675" ht="18" customHeight="1">
      <x:c r="A675" s="2" t="str">
        <x:v>legacy_n5_13</x:v>
      </x:c>
      <x:c r="B675" s="2" t="str">
        <x:v>QAOA</x:v>
      </x:c>
      <x:c r="C675" s="2" t="n">
        <x:v>789</x:v>
      </x:c>
      <x:c r="D675" s="2" t="str">
        <x:v>success</x:v>
      </x:c>
      <x:c r="E675" s="2" t="n">
        <x:v>3</x:v>
      </x:c>
      <x:c r="F675" s="7" t="n">
        <x:v>73.11764705882354</x:v>
      </x:c>
      <x:c r="G675" s="7" t="n">
        <x:v>51.83913043478261</x:v>
      </x:c>
      <x:c r="H675" s="7" t="n">
        <x:f>IF(F675=0,"n.a.",100*(F675-G675)/F675)</x:f>
        <x:v>29.101752422260315</x:v>
      </x:c>
      <x:c r="I675" s="7" t="n">
        <x:f>F675-G675</x:f>
        <x:v>21.278516624040925</x:v>
      </x:c>
      <x:c r="J675" s="8" t="n">
        <x:v>0.2309290696080453</x:v>
      </x:c>
      <x:c r="K675" s="8" t="n">
        <x:v>0.2309290696080453</x:v>
      </x:c>
      <x:c r="L675" s="8" t="n">
        <x:v>0</x:v>
      </x:c>
      <x:c r="M675" s="7" t="n">
        <x:v>140.88969999284018</x:v>
      </x:c>
      <x:c r="N675" s="2" t="str">
        <x:v>qiskit.primitives.StatevectorSampler</x:v>
      </x:c>
      <x:c r="O675" s="9" t="str">
        <x:v>100</x:v>
      </x:c>
    </x:row>
    <x:row r="676" ht="18" customHeight="1">
      <x:c r="A676" s="2" t="str">
        <x:v>legacy_n5_13</x:v>
      </x:c>
      <x:c r="B676" s="2" t="str">
        <x:v>BPSO</x:v>
      </x:c>
      <x:c r="C676" s="2" t="n">
        <x:v>2026</x:v>
      </x:c>
      <x:c r="D676" s="2" t="str">
        <x:v>success</x:v>
      </x:c>
      <x:c r="E676" s="2" t="n">
        <x:v>3</x:v>
      </x:c>
      <x:c r="F676" s="7" t="n">
        <x:v>73.11764705882354</x:v>
      </x:c>
      <x:c r="G676" s="7" t="n">
        <x:v>51.83913043478261</x:v>
      </x:c>
      <x:c r="H676" s="7" t="n">
        <x:f>IF(F676=0,"n.a.",100*(F676-G676)/F676)</x:f>
        <x:v>29.101752422260315</x:v>
      </x:c>
      <x:c r="I676" s="7" t="n">
        <x:f>F676-G676</x:f>
        <x:v>21.278516624040925</x:v>
      </x:c>
      <x:c r="J676" s="8" t="n">
        <x:v>0.2309290696080453</x:v>
      </x:c>
      <x:c r="K676" s="8" t="n">
        <x:v>0.2309290696080453</x:v>
      </x:c>
      <x:c r="L676" s="8" t="n">
        <x:v>0</x:v>
      </x:c>
      <x:c r="M676" s="7" t="n">
        <x:v>15.163600008236244</x:v>
      </x:c>
      <x:c r="N676" s="2" t="str">
        <x:v>repository_particle_dynamics_on_frozen_qubo</x:v>
      </x:c>
      <x:c r="O676" s="9" t="str">
        <x:v>010</x:v>
      </x:c>
    </x:row>
    <x:row r="677" ht="18" customHeight="1">
      <x:c r="A677" s="2" t="str">
        <x:v>legacy_n5_13</x:v>
      </x:c>
      <x:c r="B677" s="2" t="str">
        <x:v>QAOA</x:v>
      </x:c>
      <x:c r="C677" s="2" t="n">
        <x:v>2026</x:v>
      </x:c>
      <x:c r="D677" s="2" t="str">
        <x:v>success</x:v>
      </x:c>
      <x:c r="E677" s="2" t="n">
        <x:v>3</x:v>
      </x:c>
      <x:c r="F677" s="7" t="n">
        <x:v>73.11764705882354</x:v>
      </x:c>
      <x:c r="G677" s="7" t="n">
        <x:v>51.83913043478261</x:v>
      </x:c>
      <x:c r="H677" s="7" t="n">
        <x:f>IF(F677=0,"n.a.",100*(F677-G677)/F677)</x:f>
        <x:v>29.101752422260315</x:v>
      </x:c>
      <x:c r="I677" s="7" t="n">
        <x:f>F677-G677</x:f>
        <x:v>21.278516624040925</x:v>
      </x:c>
      <x:c r="J677" s="8" t="n">
        <x:v>0.2309290696080453</x:v>
      </x:c>
      <x:c r="K677" s="8" t="n">
        <x:v>0.2309290696080453</x:v>
      </x:c>
      <x:c r="L677" s="8" t="n">
        <x:v>0</x:v>
      </x:c>
      <x:c r="M677" s="7" t="n">
        <x:v>164.86980000627227</x:v>
      </x:c>
      <x:c r="N677" s="2" t="str">
        <x:v>qiskit.primitives.StatevectorSampler</x:v>
      </x:c>
      <x:c r="O677" s="9" t="str">
        <x:v>100</x:v>
      </x:c>
    </x:row>
    <x:row r="678" ht="18" customHeight="1">
      <x:c r="A678" s="2" t="str">
        <x:v>legacy_n5_14</x:v>
      </x:c>
      <x:c r="B678" s="2" t="str">
        <x:v>Unmanaged</x:v>
      </x:c>
      <x:c r="C678" s="2"/>
      <x:c r="D678" s="2" t="str">
        <x:v>baseline</x:v>
      </x:c>
      <x:c r="E678" s="2" t="n">
        <x:v>10</x:v>
      </x:c>
      <x:c r="F678" s="7" t="n">
        <x:v>82.78333333333333</x:v>
      </x:c>
      <x:c r="G678" s="7" t="n">
        <x:v>82.78333333333333</x:v>
      </x:c>
      <x:c r="H678" s="7" t="n">
        <x:f>IF(F678=0,"n.a.",100*(F678-G678)/F678)</x:f>
        <x:v>0</x:v>
      </x:c>
      <x:c r="I678" s="7" t="n">
        <x:f>F678-G678</x:f>
        <x:v>0</x:v>
      </x:c>
      <x:c r="J678" s="8"/>
      <x:c r="K678" s="8" t="n">
        <x:v>0.5893108816500049</x:v>
      </x:c>
      <x:c r="L678" s="8"/>
      <x:c r="M678" s="7"/>
      <x:c r="N678" s="2" t="str">
        <x:v>unmanaged_input</x:v>
      </x:c>
      <x:c r="O678" s="9"/>
    </x:row>
    <x:row r="679" ht="18" customHeight="1">
      <x:c r="A679" s="2" t="str">
        <x:v>legacy_n5_14</x:v>
      </x:c>
      <x:c r="B679" s="2" t="str">
        <x:v>Exact J</x:v>
      </x:c>
      <x:c r="C679" s="2"/>
      <x:c r="D679" s="2" t="str">
        <x:v>success</x:v>
      </x:c>
      <x:c r="E679" s="2" t="n">
        <x:v>10</x:v>
      </x:c>
      <x:c r="F679" s="7" t="n">
        <x:v>82.78333333333333</x:v>
      </x:c>
      <x:c r="G679" s="7" t="n">
        <x:v>74.93181818181817</x:v>
      </x:c>
      <x:c r="H679" s="7" t="n">
        <x:f>IF(F679=0,"n.a.",100*(F679-G679)/F679)</x:f>
        <x:v>9.484415322949658</x:v>
      </x:c>
      <x:c r="I679" s="7" t="n">
        <x:f>F679-G679</x:f>
        <x:v>7.851515151515159</x:v>
      </x:c>
      <x:c r="J679" s="8" t="n">
        <x:v>0.5893108816500049</x:v>
      </x:c>
      <x:c r="K679" s="8" t="n">
        <x:v>0.5893108816500049</x:v>
      </x:c>
      <x:c r="L679" s="8" t="n">
        <x:v>0</x:v>
      </x:c>
      <x:c r="M679" s="7"/>
      <x:c r="N679" s="2" t="str">
        <x:v>exhaustive_enumeration</x:v>
      </x:c>
      <x:c r="O679" s="9" t="str">
        <x:v>0001001101</x:v>
      </x:c>
    </x:row>
    <x:row r="680" ht="18" customHeight="1">
      <x:c r="A680" s="2" t="str">
        <x:v>legacy_n5_14</x:v>
      </x:c>
      <x:c r="B680" s="2" t="str">
        <x:v>Exact peak</x:v>
      </x:c>
      <x:c r="C680" s="2"/>
      <x:c r="D680" s="2" t="str">
        <x:v>success</x:v>
      </x:c>
      <x:c r="E680" s="2" t="n">
        <x:v>10</x:v>
      </x:c>
      <x:c r="F680" s="7" t="n">
        <x:v>82.78333333333333</x:v>
      </x:c>
      <x:c r="G680" s="7" t="n">
        <x:v>74.93181818181817</x:v>
      </x:c>
      <x:c r="H680" s="7" t="n">
        <x:f>IF(F680=0,"n.a.",100*(F680-G680)/F680)</x:f>
        <x:v>9.484415322949658</x:v>
      </x:c>
      <x:c r="I680" s="7" t="n">
        <x:f>F680-G680</x:f>
        <x:v>7.851515151515159</x:v>
      </x:c>
      <x:c r="J680" s="8" t="n">
        <x:v>0.5893108816500049</x:v>
      </x:c>
      <x:c r="K680" s="8" t="n">
        <x:v>0.5893108816500049</x:v>
      </x:c>
      <x:c r="L680" s="8" t="n">
        <x:v>0</x:v>
      </x:c>
      <x:c r="M680" s="7"/>
      <x:c r="N680" s="2" t="str">
        <x:v>exhaustive_enumeration</x:v>
      </x:c>
      <x:c r="O680" s="9" t="str">
        <x:v>0001001101</x:v>
      </x:c>
    </x:row>
    <x:row r="681" ht="18" customHeight="1">
      <x:c r="A681" s="2" t="str">
        <x:v>legacy_n5_14</x:v>
      </x:c>
      <x:c r="B681" s="2" t="str">
        <x:v>BPSO</x:v>
      </x:c>
      <x:c r="C681" s="2" t="n">
        <x:v>42</x:v>
      </x:c>
      <x:c r="D681" s="2" t="str">
        <x:v>success</x:v>
      </x:c>
      <x:c r="E681" s="2" t="n">
        <x:v>10</x:v>
      </x:c>
      <x:c r="F681" s="7" t="n">
        <x:v>82.78333333333333</x:v>
      </x:c>
      <x:c r="G681" s="7" t="n">
        <x:v>74.93181818181817</x:v>
      </x:c>
      <x:c r="H681" s="7" t="n">
        <x:f>IF(F681=0,"n.a.",100*(F681-G681)/F681)</x:f>
        <x:v>9.484415322949658</x:v>
      </x:c>
      <x:c r="I681" s="7" t="n">
        <x:f>F681-G681</x:f>
        <x:v>7.851515151515159</x:v>
      </x:c>
      <x:c r="J681" s="8" t="n">
        <x:v>0.5893108816500049</x:v>
      </x:c>
      <x:c r="K681" s="8" t="n">
        <x:v>0.5893108816500049</x:v>
      </x:c>
      <x:c r="L681" s="8" t="n">
        <x:v>0</x:v>
      </x:c>
      <x:c r="M681" s="7" t="n">
        <x:v>20.588100000168197</x:v>
      </x:c>
      <x:c r="N681" s="2" t="str">
        <x:v>repository_particle_dynamics_on_frozen_qubo</x:v>
      </x:c>
      <x:c r="O681" s="9" t="str">
        <x:v>0100110010</x:v>
      </x:c>
    </x:row>
    <x:row r="682" ht="18" customHeight="1">
      <x:c r="A682" s="2" t="str">
        <x:v>legacy_n5_14</x:v>
      </x:c>
      <x:c r="B682" s="2" t="str">
        <x:v>QAOA</x:v>
      </x:c>
      <x:c r="C682" s="2" t="n">
        <x:v>42</x:v>
      </x:c>
      <x:c r="D682" s="2" t="str">
        <x:v>success</x:v>
      </x:c>
      <x:c r="E682" s="2" t="n">
        <x:v>10</x:v>
      </x:c>
      <x:c r="F682" s="7" t="n">
        <x:v>82.78333333333333</x:v>
      </x:c>
      <x:c r="G682" s="7" t="n">
        <x:v>74.93181818181817</x:v>
      </x:c>
      <x:c r="H682" s="7" t="n">
        <x:f>IF(F682=0,"n.a.",100*(F682-G682)/F682)</x:f>
        <x:v>9.484415322949658</x:v>
      </x:c>
      <x:c r="I682" s="7" t="n">
        <x:f>F682-G682</x:f>
        <x:v>7.851515151515159</x:v>
      </x:c>
      <x:c r="J682" s="8" t="n">
        <x:v>0.5893108816500049</x:v>
      </x:c>
      <x:c r="K682" s="8" t="n">
        <x:v>0.5893108816500049</x:v>
      </x:c>
      <x:c r="L682" s="8" t="n">
        <x:v>0</x:v>
      </x:c>
      <x:c r="M682" s="7" t="n">
        <x:v>760.4855999961728</x:v>
      </x:c>
      <x:c r="N682" s="2" t="str">
        <x:v>qiskit.primitives.StatevectorSampler</x:v>
      </x:c>
      <x:c r="O682" s="9" t="str">
        <x:v>0100001101</x:v>
      </x:c>
    </x:row>
    <x:row r="683" ht="18" customHeight="1">
      <x:c r="A683" s="2" t="str">
        <x:v>legacy_n5_14</x:v>
      </x:c>
      <x:c r="B683" s="2" t="str">
        <x:v>BPSO</x:v>
      </x:c>
      <x:c r="C683" s="2" t="n">
        <x:v>123</x:v>
      </x:c>
      <x:c r="D683" s="2" t="str">
        <x:v>success</x:v>
      </x:c>
      <x:c r="E683" s="2" t="n">
        <x:v>10</x:v>
      </x:c>
      <x:c r="F683" s="7" t="n">
        <x:v>82.78333333333333</x:v>
      </x:c>
      <x:c r="G683" s="7" t="n">
        <x:v>74.93181818181817</x:v>
      </x:c>
      <x:c r="H683" s="7" t="n">
        <x:f>IF(F683=0,"n.a.",100*(F683-G683)/F683)</x:f>
        <x:v>9.484415322949658</x:v>
      </x:c>
      <x:c r="I683" s="7" t="n">
        <x:f>F683-G683</x:f>
        <x:v>7.851515151515159</x:v>
      </x:c>
      <x:c r="J683" s="8" t="n">
        <x:v>0.5893108816500049</x:v>
      </x:c>
      <x:c r="K683" s="8" t="n">
        <x:v>0.5893108816500049</x:v>
      </x:c>
      <x:c r="L683" s="8" t="n">
        <x:v>0</x:v>
      </x:c>
      <x:c r="M683" s="7" t="n">
        <x:v>20.663699993747286</x:v>
      </x:c>
      <x:c r="N683" s="2" t="str">
        <x:v>repository_particle_dynamics_on_frozen_qubo</x:v>
      </x:c>
      <x:c r="O683" s="9" t="str">
        <x:v>0100011010</x:v>
      </x:c>
    </x:row>
    <x:row r="684" ht="18" customHeight="1">
      <x:c r="A684" s="2" t="str">
        <x:v>legacy_n5_14</x:v>
      </x:c>
      <x:c r="B684" s="2" t="str">
        <x:v>QAOA</x:v>
      </x:c>
      <x:c r="C684" s="2" t="n">
        <x:v>123</x:v>
      </x:c>
      <x:c r="D684" s="2" t="str">
        <x:v>success</x:v>
      </x:c>
      <x:c r="E684" s="2" t="n">
        <x:v>10</x:v>
      </x:c>
      <x:c r="F684" s="7" t="n">
        <x:v>82.78333333333333</x:v>
      </x:c>
      <x:c r="G684" s="7" t="n">
        <x:v>74.93181818181817</x:v>
      </x:c>
      <x:c r="H684" s="7" t="n">
        <x:f>IF(F684=0,"n.a.",100*(F684-G684)/F684)</x:f>
        <x:v>9.484415322949658</x:v>
      </x:c>
      <x:c r="I684" s="7" t="n">
        <x:f>F684-G684</x:f>
        <x:v>7.851515151515159</x:v>
      </x:c>
      <x:c r="J684" s="8" t="n">
        <x:v>0.5893108816500049</x:v>
      </x:c>
      <x:c r="K684" s="8" t="n">
        <x:v>0.5893108816500049</x:v>
      </x:c>
      <x:c r="L684" s="8" t="n">
        <x:v>0</x:v>
      </x:c>
      <x:c r="M684" s="7" t="n">
        <x:v>741.7265999974916</x:v>
      </x:c>
      <x:c r="N684" s="2" t="str">
        <x:v>qiskit.primitives.StatevectorSampler</x:v>
      </x:c>
      <x:c r="O684" s="9" t="str">
        <x:v>0001101010</x:v>
      </x:c>
    </x:row>
    <x:row r="685" ht="18" customHeight="1">
      <x:c r="A685" s="2" t="str">
        <x:v>legacy_n5_14</x:v>
      </x:c>
      <x:c r="B685" s="2" t="str">
        <x:v>BPSO</x:v>
      </x:c>
      <x:c r="C685" s="2" t="n">
        <x:v>456</x:v>
      </x:c>
      <x:c r="D685" s="2" t="str">
        <x:v>success</x:v>
      </x:c>
      <x:c r="E685" s="2" t="n">
        <x:v>10</x:v>
      </x:c>
      <x:c r="F685" s="7" t="n">
        <x:v>82.78333333333333</x:v>
      </x:c>
      <x:c r="G685" s="7" t="n">
        <x:v>74.93181818181817</x:v>
      </x:c>
      <x:c r="H685" s="7" t="n">
        <x:f>IF(F685=0,"n.a.",100*(F685-G685)/F685)</x:f>
        <x:v>9.484415322949658</x:v>
      </x:c>
      <x:c r="I685" s="7" t="n">
        <x:f>F685-G685</x:f>
        <x:v>7.851515151515159</x:v>
      </x:c>
      <x:c r="J685" s="8" t="n">
        <x:v>0.5893108816500049</x:v>
      </x:c>
      <x:c r="K685" s="8" t="n">
        <x:v>0.5893108816500049</x:v>
      </x:c>
      <x:c r="L685" s="8" t="n">
        <x:v>0</x:v>
      </x:c>
      <x:c r="M685" s="7" t="n">
        <x:v>20.555499999318272</x:v>
      </x:c>
      <x:c r="N685" s="2" t="str">
        <x:v>repository_particle_dynamics_on_frozen_qubo</x:v>
      </x:c>
      <x:c r="O685" s="9" t="str">
        <x:v>0001100101</x:v>
      </x:c>
    </x:row>
    <x:row r="686" ht="18" customHeight="1">
      <x:c r="A686" s="2" t="str">
        <x:v>legacy_n5_14</x:v>
      </x:c>
      <x:c r="B686" s="2" t="str">
        <x:v>QAOA</x:v>
      </x:c>
      <x:c r="C686" s="2" t="n">
        <x:v>456</x:v>
      </x:c>
      <x:c r="D686" s="2" t="str">
        <x:v>success</x:v>
      </x:c>
      <x:c r="E686" s="2" t="n">
        <x:v>10</x:v>
      </x:c>
      <x:c r="F686" s="7" t="n">
        <x:v>82.78333333333333</x:v>
      </x:c>
      <x:c r="G686" s="7" t="n">
        <x:v>74.93181818181817</x:v>
      </x:c>
      <x:c r="H686" s="7" t="n">
        <x:f>IF(F686=0,"n.a.",100*(F686-G686)/F686)</x:f>
        <x:v>9.484415322949658</x:v>
      </x:c>
      <x:c r="I686" s="7" t="n">
        <x:f>F686-G686</x:f>
        <x:v>7.851515151515159</x:v>
      </x:c>
      <x:c r="J686" s="8" t="n">
        <x:v>0.5893108816500049</x:v>
      </x:c>
      <x:c r="K686" s="8" t="n">
        <x:v>0.5893108816500049</x:v>
      </x:c>
      <x:c r="L686" s="8" t="n">
        <x:v>0</x:v>
      </x:c>
      <x:c r="M686" s="7" t="n">
        <x:v>704.0969999943627</x:v>
      </x:c>
      <x:c r="N686" s="2" t="str">
        <x:v>qiskit.primitives.StatevectorSampler</x:v>
      </x:c>
      <x:c r="O686" s="9" t="str">
        <x:v>0001110010</x:v>
      </x:c>
    </x:row>
    <x:row r="687" ht="18" customHeight="1">
      <x:c r="A687" s="2" t="str">
        <x:v>legacy_n5_14</x:v>
      </x:c>
      <x:c r="B687" s="2" t="str">
        <x:v>BPSO</x:v>
      </x:c>
      <x:c r="C687" s="2" t="n">
        <x:v>789</x:v>
      </x:c>
      <x:c r="D687" s="2" t="str">
        <x:v>success</x:v>
      </x:c>
      <x:c r="E687" s="2" t="n">
        <x:v>10</x:v>
      </x:c>
      <x:c r="F687" s="7" t="n">
        <x:v>82.78333333333333</x:v>
      </x:c>
      <x:c r="G687" s="7" t="n">
        <x:v>74.93181818181817</x:v>
      </x:c>
      <x:c r="H687" s="7" t="n">
        <x:f>IF(F687=0,"n.a.",100*(F687-G687)/F687)</x:f>
        <x:v>9.484415322949658</x:v>
      </x:c>
      <x:c r="I687" s="7" t="n">
        <x:f>F687-G687</x:f>
        <x:v>7.851515151515159</x:v>
      </x:c>
      <x:c r="J687" s="8" t="n">
        <x:v>0.5893108816500049</x:v>
      </x:c>
      <x:c r="K687" s="8" t="n">
        <x:v>0.5893108816500049</x:v>
      </x:c>
      <x:c r="L687" s="8" t="n">
        <x:v>0</x:v>
      </x:c>
      <x:c r="M687" s="7" t="n">
        <x:v>20.695200000773184</x:v>
      </x:c>
      <x:c r="N687" s="2" t="str">
        <x:v>repository_particle_dynamics_on_frozen_qubo</x:v>
      </x:c>
      <x:c r="O687" s="9" t="str">
        <x:v>1000011010</x:v>
      </x:c>
    </x:row>
    <x:row r="688" ht="18" customHeight="1">
      <x:c r="A688" s="2" t="str">
        <x:v>legacy_n5_14</x:v>
      </x:c>
      <x:c r="B688" s="2" t="str">
        <x:v>QAOA</x:v>
      </x:c>
      <x:c r="C688" s="2" t="n">
        <x:v>789</x:v>
      </x:c>
      <x:c r="D688" s="2" t="str">
        <x:v>success</x:v>
      </x:c>
      <x:c r="E688" s="2" t="n">
        <x:v>10</x:v>
      </x:c>
      <x:c r="F688" s="7" t="n">
        <x:v>82.78333333333333</x:v>
      </x:c>
      <x:c r="G688" s="7" t="n">
        <x:v>74.93181818181817</x:v>
      </x:c>
      <x:c r="H688" s="7" t="n">
        <x:f>IF(F688=0,"n.a.",100*(F688-G688)/F688)</x:f>
        <x:v>9.484415322949658</x:v>
      </x:c>
      <x:c r="I688" s="7" t="n">
        <x:f>F688-G688</x:f>
        <x:v>7.851515151515159</x:v>
      </x:c>
      <x:c r="J688" s="8" t="n">
        <x:v>0.5893108816500049</x:v>
      </x:c>
      <x:c r="K688" s="8" t="n">
        <x:v>0.5893108816500049</x:v>
      </x:c>
      <x:c r="L688" s="8" t="n">
        <x:v>0</x:v>
      </x:c>
      <x:c r="M688" s="7" t="n">
        <x:v>791.1698000098113</x:v>
      </x:c>
      <x:c r="N688" s="2" t="str">
        <x:v>qiskit.primitives.StatevectorSampler</x:v>
      </x:c>
      <x:c r="O688" s="9" t="str">
        <x:v>0001100110</x:v>
      </x:c>
    </x:row>
    <x:row r="689" ht="18" customHeight="1">
      <x:c r="A689" s="2" t="str">
        <x:v>legacy_n5_14</x:v>
      </x:c>
      <x:c r="B689" s="2" t="str">
        <x:v>BPSO</x:v>
      </x:c>
      <x:c r="C689" s="2" t="n">
        <x:v>2026</x:v>
      </x:c>
      <x:c r="D689" s="2" t="str">
        <x:v>success</x:v>
      </x:c>
      <x:c r="E689" s="2" t="n">
        <x:v>10</x:v>
      </x:c>
      <x:c r="F689" s="7" t="n">
        <x:v>82.78333333333333</x:v>
      </x:c>
      <x:c r="G689" s="7" t="n">
        <x:v>74.93181818181817</x:v>
      </x:c>
      <x:c r="H689" s="7" t="n">
        <x:f>IF(F689=0,"n.a.",100*(F689-G689)/F689)</x:f>
        <x:v>9.484415322949658</x:v>
      </x:c>
      <x:c r="I689" s="7" t="n">
        <x:f>F689-G689</x:f>
        <x:v>7.851515151515159</x:v>
      </x:c>
      <x:c r="J689" s="8" t="n">
        <x:v>0.5893108816500049</x:v>
      </x:c>
      <x:c r="K689" s="8" t="n">
        <x:v>0.5893108816500049</x:v>
      </x:c>
      <x:c r="L689" s="8" t="n">
        <x:v>0</x:v>
      </x:c>
      <x:c r="M689" s="7" t="n">
        <x:v>21.43649999925401</x:v>
      </x:c>
      <x:c r="N689" s="2" t="str">
        <x:v>repository_particle_dynamics_on_frozen_qubo</x:v>
      </x:c>
      <x:c r="O689" s="9" t="str">
        <x:v>0100011010</x:v>
      </x:c>
    </x:row>
    <x:row r="690" ht="18" customHeight="1">
      <x:c r="A690" s="2" t="str">
        <x:v>legacy_n5_14</x:v>
      </x:c>
      <x:c r="B690" s="2" t="str">
        <x:v>QAOA</x:v>
      </x:c>
      <x:c r="C690" s="2" t="n">
        <x:v>2026</x:v>
      </x:c>
      <x:c r="D690" s="2" t="str">
        <x:v>success</x:v>
      </x:c>
      <x:c r="E690" s="2" t="n">
        <x:v>10</x:v>
      </x:c>
      <x:c r="F690" s="7" t="n">
        <x:v>82.78333333333333</x:v>
      </x:c>
      <x:c r="G690" s="7" t="n">
        <x:v>74.93181818181817</x:v>
      </x:c>
      <x:c r="H690" s="7" t="n">
        <x:f>IF(F690=0,"n.a.",100*(F690-G690)/F690)</x:f>
        <x:v>9.484415322949658</x:v>
      </x:c>
      <x:c r="I690" s="7" t="n">
        <x:f>F690-G690</x:f>
        <x:v>7.851515151515159</x:v>
      </x:c>
      <x:c r="J690" s="8" t="n">
        <x:v>0.5893108816500049</x:v>
      </x:c>
      <x:c r="K690" s="8" t="n">
        <x:v>0.5893108816500049</x:v>
      </x:c>
      <x:c r="L690" s="8" t="n">
        <x:v>0</x:v>
      </x:c>
      <x:c r="M690" s="7" t="n">
        <x:v>779.993199990713</x:v>
      </x:c>
      <x:c r="N690" s="2" t="str">
        <x:v>qiskit.primitives.StatevectorSampler</x:v>
      </x:c>
      <x:c r="O690" s="9" t="str">
        <x:v>1000101001</x:v>
      </x:c>
    </x:row>
    <x:row r="691" ht="18" customHeight="1">
      <x:c r="A691" s="2" t="str">
        <x:v>legacy_n5_15</x:v>
      </x:c>
      <x:c r="B691" s="2" t="str">
        <x:v>Unmanaged</x:v>
      </x:c>
      <x:c r="C691" s="2"/>
      <x:c r="D691" s="2" t="str">
        <x:v>baseline</x:v>
      </x:c>
      <x:c r="E691" s="2" t="n">
        <x:v>4</x:v>
      </x:c>
      <x:c r="F691" s="7" t="n">
        <x:v>74.48636363636363</x:v>
      </x:c>
      <x:c r="G691" s="7" t="n">
        <x:v>74.48636363636363</x:v>
      </x:c>
      <x:c r="H691" s="7" t="n">
        <x:f>IF(F691=0,"n.a.",100*(F691-G691)/F691)</x:f>
        <x:v>0</x:v>
      </x:c>
      <x:c r="I691" s="7" t="n">
        <x:f>F691-G691</x:f>
        <x:v>0</x:v>
      </x:c>
      <x:c r="J691" s="8"/>
      <x:c r="K691" s="8" t="n">
        <x:v>0.21057127257620004</x:v>
      </x:c>
      <x:c r="L691" s="8"/>
      <x:c r="M691" s="7"/>
      <x:c r="N691" s="2" t="str">
        <x:v>unmanaged_input</x:v>
      </x:c>
      <x:c r="O691" s="9"/>
    </x:row>
    <x:row r="692" ht="18" customHeight="1">
      <x:c r="A692" s="2" t="str">
        <x:v>legacy_n5_15</x:v>
      </x:c>
      <x:c r="B692" s="2" t="str">
        <x:v>Exact J</x:v>
      </x:c>
      <x:c r="C692" s="2"/>
      <x:c r="D692" s="2" t="str">
        <x:v>success</x:v>
      </x:c>
      <x:c r="E692" s="2" t="n">
        <x:v>4</x:v>
      </x:c>
      <x:c r="F692" s="7" t="n">
        <x:v>74.48636363636363</x:v>
      </x:c>
      <x:c r="G692" s="7" t="n">
        <x:v>53.56666666666668</x:v>
      </x:c>
      <x:c r="H692" s="7" t="n">
        <x:f>IF(F692=0,"n.a.",100*(F692-G692)/F692)</x:f>
        <x:v>28.085270844775312</x:v>
      </x:c>
      <x:c r="I692" s="7" t="n">
        <x:f>F692-G692</x:f>
        <x:v>20.919696969696957</x:v>
      </x:c>
      <x:c r="J692" s="8" t="n">
        <x:v>0.21057127257620004</x:v>
      </x:c>
      <x:c r="K692" s="8" t="n">
        <x:v>0.21057127257620004</x:v>
      </x:c>
      <x:c r="L692" s="8" t="n">
        <x:v>0</x:v>
      </x:c>
      <x:c r="M692" s="7"/>
      <x:c r="N692" s="2" t="str">
        <x:v>exhaustive_enumeration</x:v>
      </x:c>
      <x:c r="O692" s="9" t="str">
        <x:v>0011</x:v>
      </x:c>
    </x:row>
    <x:row r="693" ht="18" customHeight="1">
      <x:c r="A693" s="2" t="str">
        <x:v>legacy_n5_15</x:v>
      </x:c>
      <x:c r="B693" s="2" t="str">
        <x:v>Exact peak</x:v>
      </x:c>
      <x:c r="C693" s="2"/>
      <x:c r="D693" s="2" t="str">
        <x:v>success</x:v>
      </x:c>
      <x:c r="E693" s="2" t="n">
        <x:v>4</x:v>
      </x:c>
      <x:c r="F693" s="7" t="n">
        <x:v>74.48636363636363</x:v>
      </x:c>
      <x:c r="G693" s="7" t="n">
        <x:v>53.56666666666668</x:v>
      </x:c>
      <x:c r="H693" s="7" t="n">
        <x:f>IF(F693=0,"n.a.",100*(F693-G693)/F693)</x:f>
        <x:v>28.085270844775312</x:v>
      </x:c>
      <x:c r="I693" s="7" t="n">
        <x:f>F693-G693</x:f>
        <x:v>20.919696969696957</x:v>
      </x:c>
      <x:c r="J693" s="8" t="n">
        <x:v>0.21057127257620004</x:v>
      </x:c>
      <x:c r="K693" s="8" t="n">
        <x:v>0.21057127257620004</x:v>
      </x:c>
      <x:c r="L693" s="8" t="n">
        <x:v>0</x:v>
      </x:c>
      <x:c r="M693" s="7"/>
      <x:c r="N693" s="2" t="str">
        <x:v>exhaustive_enumeration</x:v>
      </x:c>
      <x:c r="O693" s="9" t="str">
        <x:v>0011</x:v>
      </x:c>
    </x:row>
    <x:row r="694" ht="18" customHeight="1">
      <x:c r="A694" s="2" t="str">
        <x:v>legacy_n5_15</x:v>
      </x:c>
      <x:c r="B694" s="2" t="str">
        <x:v>BPSO</x:v>
      </x:c>
      <x:c r="C694" s="2" t="n">
        <x:v>42</x:v>
      </x:c>
      <x:c r="D694" s="2" t="str">
        <x:v>success</x:v>
      </x:c>
      <x:c r="E694" s="2" t="n">
        <x:v>4</x:v>
      </x:c>
      <x:c r="F694" s="7" t="n">
        <x:v>74.48636363636363</x:v>
      </x:c>
      <x:c r="G694" s="7" t="n">
        <x:v>53.56666666666668</x:v>
      </x:c>
      <x:c r="H694" s="7" t="n">
        <x:f>IF(F694=0,"n.a.",100*(F694-G694)/F694)</x:f>
        <x:v>28.085270844775312</x:v>
      </x:c>
      <x:c r="I694" s="7" t="n">
        <x:f>F694-G694</x:f>
        <x:v>20.919696969696957</x:v>
      </x:c>
      <x:c r="J694" s="8" t="n">
        <x:v>0.21057127257620004</x:v>
      </x:c>
      <x:c r="K694" s="8" t="n">
        <x:v>0.21057127257620004</x:v>
      </x:c>
      <x:c r="L694" s="8" t="n">
        <x:v>0</x:v>
      </x:c>
      <x:c r="M694" s="7" t="n">
        <x:v>14.779799996176735</x:v>
      </x:c>
      <x:c r="N694" s="2" t="str">
        <x:v>repository_particle_dynamics_on_frozen_qubo</x:v>
      </x:c>
      <x:c r="O694" s="9" t="str">
        <x:v>0110</x:v>
      </x:c>
    </x:row>
    <x:row r="695" ht="18" customHeight="1">
      <x:c r="A695" s="2" t="str">
        <x:v>legacy_n5_15</x:v>
      </x:c>
      <x:c r="B695" s="2" t="str">
        <x:v>QAOA</x:v>
      </x:c>
      <x:c r="C695" s="2" t="n">
        <x:v>42</x:v>
      </x:c>
      <x:c r="D695" s="2" t="str">
        <x:v>success</x:v>
      </x:c>
      <x:c r="E695" s="2" t="n">
        <x:v>4</x:v>
      </x:c>
      <x:c r="F695" s="7" t="n">
        <x:v>74.48636363636363</x:v>
      </x:c>
      <x:c r="G695" s="7" t="n">
        <x:v>53.56666666666668</x:v>
      </x:c>
      <x:c r="H695" s="7" t="n">
        <x:f>IF(F695=0,"n.a.",100*(F695-G695)/F695)</x:f>
        <x:v>28.085270844775312</x:v>
      </x:c>
      <x:c r="I695" s="7" t="n">
        <x:f>F695-G695</x:f>
        <x:v>20.919696969696957</x:v>
      </x:c>
      <x:c r="J695" s="8" t="n">
        <x:v>0.21057127257620004</x:v>
      </x:c>
      <x:c r="K695" s="8" t="n">
        <x:v>0.21057127257620004</x:v>
      </x:c>
      <x:c r="L695" s="8" t="n">
        <x:v>0</x:v>
      </x:c>
      <x:c r="M695" s="7" t="n">
        <x:v>193.9892999944277</x:v>
      </x:c>
      <x:c r="N695" s="2" t="str">
        <x:v>qiskit.primitives.StatevectorSampler</x:v>
      </x:c>
      <x:c r="O695" s="9" t="str">
        <x:v>0011</x:v>
      </x:c>
    </x:row>
    <x:row r="696" ht="18" customHeight="1">
      <x:c r="A696" s="2" t="str">
        <x:v>legacy_n5_15</x:v>
      </x:c>
      <x:c r="B696" s="2" t="str">
        <x:v>BPSO</x:v>
      </x:c>
      <x:c r="C696" s="2" t="n">
        <x:v>123</x:v>
      </x:c>
      <x:c r="D696" s="2" t="str">
        <x:v>success</x:v>
      </x:c>
      <x:c r="E696" s="2" t="n">
        <x:v>4</x:v>
      </x:c>
      <x:c r="F696" s="7" t="n">
        <x:v>74.48636363636363</x:v>
      </x:c>
      <x:c r="G696" s="7" t="n">
        <x:v>53.56666666666668</x:v>
      </x:c>
      <x:c r="H696" s="7" t="n">
        <x:f>IF(F696=0,"n.a.",100*(F696-G696)/F696)</x:f>
        <x:v>28.085270844775312</x:v>
      </x:c>
      <x:c r="I696" s="7" t="n">
        <x:f>F696-G696</x:f>
        <x:v>20.919696969696957</x:v>
      </x:c>
      <x:c r="J696" s="8" t="n">
        <x:v>0.21057127257620004</x:v>
      </x:c>
      <x:c r="K696" s="8" t="n">
        <x:v>0.21057127257620004</x:v>
      </x:c>
      <x:c r="L696" s="8" t="n">
        <x:v>0</x:v>
      </x:c>
      <x:c r="M696" s="7" t="n">
        <x:v>14.630499994382262</x:v>
      </x:c>
      <x:c r="N696" s="2" t="str">
        <x:v>repository_particle_dynamics_on_frozen_qubo</x:v>
      </x:c>
      <x:c r="O696" s="9" t="str">
        <x:v>0110</x:v>
      </x:c>
    </x:row>
    <x:row r="697" ht="18" customHeight="1">
      <x:c r="A697" s="2" t="str">
        <x:v>legacy_n5_15</x:v>
      </x:c>
      <x:c r="B697" s="2" t="str">
        <x:v>QAOA</x:v>
      </x:c>
      <x:c r="C697" s="2" t="n">
        <x:v>123</x:v>
      </x:c>
      <x:c r="D697" s="2" t="str">
        <x:v>success</x:v>
      </x:c>
      <x:c r="E697" s="2" t="n">
        <x:v>4</x:v>
      </x:c>
      <x:c r="F697" s="7" t="n">
        <x:v>74.48636363636363</x:v>
      </x:c>
      <x:c r="G697" s="7" t="n">
        <x:v>53.56666666666668</x:v>
      </x:c>
      <x:c r="H697" s="7" t="n">
        <x:f>IF(F697=0,"n.a.",100*(F697-G697)/F697)</x:f>
        <x:v>28.085270844775312</x:v>
      </x:c>
      <x:c r="I697" s="7" t="n">
        <x:f>F697-G697</x:f>
        <x:v>20.919696969696957</x:v>
      </x:c>
      <x:c r="J697" s="8" t="n">
        <x:v>0.21057127257620004</x:v>
      </x:c>
      <x:c r="K697" s="8" t="n">
        <x:v>0.21057127257620004</x:v>
      </x:c>
      <x:c r="L697" s="8" t="n">
        <x:v>0</x:v>
      </x:c>
      <x:c r="M697" s="7" t="n">
        <x:v>235.27850001119077</x:v>
      </x:c>
      <x:c r="N697" s="2" t="str">
        <x:v>qiskit.primitives.StatevectorSampler</x:v>
      </x:c>
      <x:c r="O697" s="9" t="str">
        <x:v>0101</x:v>
      </x:c>
    </x:row>
    <x:row r="698" ht="18" customHeight="1">
      <x:c r="A698" s="2" t="str">
        <x:v>legacy_n5_15</x:v>
      </x:c>
      <x:c r="B698" s="2" t="str">
        <x:v>BPSO</x:v>
      </x:c>
      <x:c r="C698" s="2" t="n">
        <x:v>456</x:v>
      </x:c>
      <x:c r="D698" s="2" t="str">
        <x:v>success</x:v>
      </x:c>
      <x:c r="E698" s="2" t="n">
        <x:v>4</x:v>
      </x:c>
      <x:c r="F698" s="7" t="n">
        <x:v>74.48636363636363</x:v>
      </x:c>
      <x:c r="G698" s="7" t="n">
        <x:v>53.56666666666668</x:v>
      </x:c>
      <x:c r="H698" s="7" t="n">
        <x:f>IF(F698=0,"n.a.",100*(F698-G698)/F698)</x:f>
        <x:v>28.085270844775312</x:v>
      </x:c>
      <x:c r="I698" s="7" t="n">
        <x:f>F698-G698</x:f>
        <x:v>20.919696969696957</x:v>
      </x:c>
      <x:c r="J698" s="8" t="n">
        <x:v>0.21057127257620004</x:v>
      </x:c>
      <x:c r="K698" s="8" t="n">
        <x:v>0.21057127257620004</x:v>
      </x:c>
      <x:c r="L698" s="8" t="n">
        <x:v>0</x:v>
      </x:c>
      <x:c r="M698" s="7" t="n">
        <x:v>14.49150001280941</x:v>
      </x:c>
      <x:c r="N698" s="2" t="str">
        <x:v>repository_particle_dynamics_on_frozen_qubo</x:v>
      </x:c>
      <x:c r="O698" s="9" t="str">
        <x:v>0101</x:v>
      </x:c>
    </x:row>
    <x:row r="699" ht="18" customHeight="1">
      <x:c r="A699" s="2" t="str">
        <x:v>legacy_n5_15</x:v>
      </x:c>
      <x:c r="B699" s="2" t="str">
        <x:v>QAOA</x:v>
      </x:c>
      <x:c r="C699" s="2" t="n">
        <x:v>456</x:v>
      </x:c>
      <x:c r="D699" s="2" t="str">
        <x:v>success</x:v>
      </x:c>
      <x:c r="E699" s="2" t="n">
        <x:v>4</x:v>
      </x:c>
      <x:c r="F699" s="7" t="n">
        <x:v>74.48636363636363</x:v>
      </x:c>
      <x:c r="G699" s="7" t="n">
        <x:v>53.56666666666668</x:v>
      </x:c>
      <x:c r="H699" s="7" t="n">
        <x:f>IF(F699=0,"n.a.",100*(F699-G699)/F699)</x:f>
        <x:v>28.085270844775312</x:v>
      </x:c>
      <x:c r="I699" s="7" t="n">
        <x:f>F699-G699</x:f>
        <x:v>20.919696969696957</x:v>
      </x:c>
      <x:c r="J699" s="8" t="n">
        <x:v>0.21057127257620004</x:v>
      </x:c>
      <x:c r="K699" s="8" t="n">
        <x:v>0.21057127257620004</x:v>
      </x:c>
      <x:c r="L699" s="8" t="n">
        <x:v>0</x:v>
      </x:c>
      <x:c r="M699" s="7" t="n">
        <x:v>174.64480000489857</x:v>
      </x:c>
      <x:c r="N699" s="2" t="str">
        <x:v>qiskit.primitives.StatevectorSampler</x:v>
      </x:c>
      <x:c r="O699" s="9" t="str">
        <x:v>1100</x:v>
      </x:c>
    </x:row>
    <x:row r="700" ht="18" customHeight="1">
      <x:c r="A700" s="2" t="str">
        <x:v>legacy_n5_15</x:v>
      </x:c>
      <x:c r="B700" s="2" t="str">
        <x:v>BPSO</x:v>
      </x:c>
      <x:c r="C700" s="2" t="n">
        <x:v>789</x:v>
      </x:c>
      <x:c r="D700" s="2" t="str">
        <x:v>success</x:v>
      </x:c>
      <x:c r="E700" s="2" t="n">
        <x:v>4</x:v>
      </x:c>
      <x:c r="F700" s="7" t="n">
        <x:v>74.48636363636363</x:v>
      </x:c>
      <x:c r="G700" s="7" t="n">
        <x:v>53.56666666666668</x:v>
      </x:c>
      <x:c r="H700" s="7" t="n">
        <x:f>IF(F700=0,"n.a.",100*(F700-G700)/F700)</x:f>
        <x:v>28.085270844775312</x:v>
      </x:c>
      <x:c r="I700" s="7" t="n">
        <x:f>F700-G700</x:f>
        <x:v>20.919696969696957</x:v>
      </x:c>
      <x:c r="J700" s="8" t="n">
        <x:v>0.21057127257620004</x:v>
      </x:c>
      <x:c r="K700" s="8" t="n">
        <x:v>0.21057127257620004</x:v>
      </x:c>
      <x:c r="L700" s="8" t="n">
        <x:v>0</x:v>
      </x:c>
      <x:c r="M700" s="7" t="n">
        <x:v>14.42930000484921</x:v>
      </x:c>
      <x:c r="N700" s="2" t="str">
        <x:v>repository_particle_dynamics_on_frozen_qubo</x:v>
      </x:c>
      <x:c r="O700" s="9" t="str">
        <x:v>0110</x:v>
      </x:c>
    </x:row>
    <x:row r="701" ht="18" customHeight="1">
      <x:c r="A701" s="2" t="str">
        <x:v>legacy_n5_15</x:v>
      </x:c>
      <x:c r="B701" s="2" t="str">
        <x:v>QAOA</x:v>
      </x:c>
      <x:c r="C701" s="2" t="n">
        <x:v>789</x:v>
      </x:c>
      <x:c r="D701" s="2" t="str">
        <x:v>success</x:v>
      </x:c>
      <x:c r="E701" s="2" t="n">
        <x:v>4</x:v>
      </x:c>
      <x:c r="F701" s="7" t="n">
        <x:v>74.48636363636363</x:v>
      </x:c>
      <x:c r="G701" s="7" t="n">
        <x:v>53.56666666666668</x:v>
      </x:c>
      <x:c r="H701" s="7" t="n">
        <x:f>IF(F701=0,"n.a.",100*(F701-G701)/F701)</x:f>
        <x:v>28.085270844775312</x:v>
      </x:c>
      <x:c r="I701" s="7" t="n">
        <x:f>F701-G701</x:f>
        <x:v>20.919696969696957</x:v>
      </x:c>
      <x:c r="J701" s="8" t="n">
        <x:v>0.21057127257620004</x:v>
      </x:c>
      <x:c r="K701" s="8" t="n">
        <x:v>0.21057127257620004</x:v>
      </x:c>
      <x:c r="L701" s="8" t="n">
        <x:v>0</x:v>
      </x:c>
      <x:c r="M701" s="7" t="n">
        <x:v>187.97800000174902</x:v>
      </x:c>
      <x:c r="N701" s="2" t="str">
        <x:v>qiskit.primitives.StatevectorSampler</x:v>
      </x:c>
      <x:c r="O701" s="9" t="str">
        <x:v>0101</x:v>
      </x:c>
    </x:row>
    <x:row r="702" ht="18" customHeight="1">
      <x:c r="A702" s="2" t="str">
        <x:v>legacy_n5_15</x:v>
      </x:c>
      <x:c r="B702" s="2" t="str">
        <x:v>BPSO</x:v>
      </x:c>
      <x:c r="C702" s="2" t="n">
        <x:v>2026</x:v>
      </x:c>
      <x:c r="D702" s="2" t="str">
        <x:v>success</x:v>
      </x:c>
      <x:c r="E702" s="2" t="n">
        <x:v>4</x:v>
      </x:c>
      <x:c r="F702" s="7" t="n">
        <x:v>74.48636363636363</x:v>
      </x:c>
      <x:c r="G702" s="7" t="n">
        <x:v>53.56666666666668</x:v>
      </x:c>
      <x:c r="H702" s="7" t="n">
        <x:f>IF(F702=0,"n.a.",100*(F702-G702)/F702)</x:f>
        <x:v>28.085270844775312</x:v>
      </x:c>
      <x:c r="I702" s="7" t="n">
        <x:f>F702-G702</x:f>
        <x:v>20.919696969696957</x:v>
      </x:c>
      <x:c r="J702" s="8" t="n">
        <x:v>0.21057127257620004</x:v>
      </x:c>
      <x:c r="K702" s="8" t="n">
        <x:v>0.21057127257620004</x:v>
      </x:c>
      <x:c r="L702" s="8" t="n">
        <x:v>0</x:v>
      </x:c>
      <x:c r="M702" s="7" t="n">
        <x:v>14.386599999852479</x:v>
      </x:c>
      <x:c r="N702" s="2" t="str">
        <x:v>repository_particle_dynamics_on_frozen_qubo</x:v>
      </x:c>
      <x:c r="O702" s="9" t="str">
        <x:v>1001</x:v>
      </x:c>
    </x:row>
    <x:row r="703" ht="18" customHeight="1">
      <x:c r="A703" s="2" t="str">
        <x:v>legacy_n5_15</x:v>
      </x:c>
      <x:c r="B703" s="2" t="str">
        <x:v>QAOA</x:v>
      </x:c>
      <x:c r="C703" s="2" t="n">
        <x:v>2026</x:v>
      </x:c>
      <x:c r="D703" s="2" t="str">
        <x:v>success</x:v>
      </x:c>
      <x:c r="E703" s="2" t="n">
        <x:v>4</x:v>
      </x:c>
      <x:c r="F703" s="7" t="n">
        <x:v>74.48636363636363</x:v>
      </x:c>
      <x:c r="G703" s="7" t="n">
        <x:v>53.56666666666668</x:v>
      </x:c>
      <x:c r="H703" s="7" t="n">
        <x:f>IF(F703=0,"n.a.",100*(F703-G703)/F703)</x:f>
        <x:v>28.085270844775312</x:v>
      </x:c>
      <x:c r="I703" s="7" t="n">
        <x:f>F703-G703</x:f>
        <x:v>20.919696969696957</x:v>
      </x:c>
      <x:c r="J703" s="8" t="n">
        <x:v>0.21057127257620004</x:v>
      </x:c>
      <x:c r="K703" s="8" t="n">
        <x:v>0.21057127257620004</x:v>
      </x:c>
      <x:c r="L703" s="8" t="n">
        <x:v>0</x:v>
      </x:c>
      <x:c r="M703" s="7" t="n">
        <x:v>193.39500000933185</x:v>
      </x:c>
      <x:c r="N703" s="2" t="str">
        <x:v>qiskit.primitives.StatevectorSampler</x:v>
      </x:c>
      <x:c r="O703" s="9" t="str">
        <x:v>1100</x:v>
      </x:c>
    </x:row>
    <x:row r="704" ht="18" customHeight="1">
      <x:c r="A704" s="2" t="str">
        <x:v>controlled_n5_off_peak_1</x:v>
      </x:c>
      <x:c r="B704" s="2" t="str">
        <x:v>Unmanaged</x:v>
      </x:c>
      <x:c r="C704" s="2"/>
      <x:c r="D704" s="2" t="str">
        <x:v>baseline</x:v>
      </x:c>
      <x:c r="E704" s="2" t="n">
        <x:v>0</x:v>
      </x:c>
      <x:c r="F704" s="7" t="n">
        <x:v>20</x:v>
      </x:c>
      <x:c r="G704" s="7" t="n">
        <x:v>20</x:v>
      </x:c>
      <x:c r="H704" s="7" t="n">
        <x:f>IF(F704=0,"n.a.",100*(F704-G704)/F704)</x:f>
        <x:v>0</x:v>
      </x:c>
      <x:c r="I704" s="7" t="n">
        <x:f>F704-G704</x:f>
        <x:v>0</x:v>
      </x:c>
      <x:c r="J704" s="8"/>
      <x:c r="K704" s="8" t="n">
        <x:v>2.18</x:v>
      </x:c>
      <x:c r="L704" s="8"/>
      <x:c r="M704" s="7"/>
      <x:c r="N704" s="2" t="str">
        <x:v>unmanaged_input</x:v>
      </x:c>
      <x:c r="O704" s="9"/>
    </x:row>
    <x:row r="705" ht="18" customHeight="1">
      <x:c r="A705" s="2" t="str">
        <x:v>controlled_n5_off_peak_1</x:v>
      </x:c>
      <x:c r="B705" s="2" t="str">
        <x:v>Exact J</x:v>
      </x:c>
      <x:c r="C705" s="2"/>
      <x:c r="D705" s="2" t="str">
        <x:v>no_congestion</x:v>
      </x:c>
      <x:c r="E705" s="2" t="n">
        <x:v>0</x:v>
      </x:c>
      <x:c r="F705" s="7" t="n">
        <x:v>20</x:v>
      </x:c>
      <x:c r="G705" s="7" t="n">
        <x:v>20</x:v>
      </x:c>
      <x:c r="H705" s="7" t="n">
        <x:f>IF(F705=0,"n.a.",100*(F705-G705)/F705)</x:f>
        <x:v>0</x:v>
      </x:c>
      <x:c r="I705" s="7" t="n">
        <x:f>F705-G705</x:f>
        <x:v>0</x:v>
      </x:c>
      <x:c r="J705" s="8" t="n">
        <x:v>2.18</x:v>
      </x:c>
      <x:c r="K705" s="8" t="n">
        <x:v>2.18</x:v>
      </x:c>
      <x:c r="L705" s="8" t="n">
        <x:v>0</x:v>
      </x:c>
      <x:c r="M705" s="7" t="n">
        <x:v>0</x:v>
      </x:c>
      <x:c r="N705" s="2" t="str">
        <x:v>not_invoked</x:v>
      </x:c>
      <x:c r="O705" s="9" t="str"/>
    </x:row>
    <x:row r="706" ht="18" customHeight="1">
      <x:c r="A706" s="2" t="str">
        <x:v>controlled_n5_off_peak_1</x:v>
      </x:c>
      <x:c r="B706" s="2" t="str">
        <x:v>Exact peak</x:v>
      </x:c>
      <x:c r="C706" s="2"/>
      <x:c r="D706" s="2" t="str">
        <x:v>no_congestion</x:v>
      </x:c>
      <x:c r="E706" s="2" t="n">
        <x:v>0</x:v>
      </x:c>
      <x:c r="F706" s="7" t="n">
        <x:v>20</x:v>
      </x:c>
      <x:c r="G706" s="7" t="n">
        <x:v>20</x:v>
      </x:c>
      <x:c r="H706" s="7" t="n">
        <x:f>IF(F706=0,"n.a.",100*(F706-G706)/F706)</x:f>
        <x:v>0</x:v>
      </x:c>
      <x:c r="I706" s="7" t="n">
        <x:f>F706-G706</x:f>
        <x:v>0</x:v>
      </x:c>
      <x:c r="J706" s="8" t="n">
        <x:v>2.18</x:v>
      </x:c>
      <x:c r="K706" s="8" t="n">
        <x:v>2.18</x:v>
      </x:c>
      <x:c r="L706" s="8" t="n">
        <x:v>0</x:v>
      </x:c>
      <x:c r="M706" s="7" t="n">
        <x:v>0</x:v>
      </x:c>
      <x:c r="N706" s="2" t="str">
        <x:v>not_invoked</x:v>
      </x:c>
      <x:c r="O706" s="9" t="str"/>
    </x:row>
    <x:row r="707" ht="18" customHeight="1">
      <x:c r="A707" s="2" t="str">
        <x:v>controlled_n5_off_peak_1</x:v>
      </x:c>
      <x:c r="B707" s="2" t="str">
        <x:v>BPSO</x:v>
      </x:c>
      <x:c r="C707" s="2" t="n">
        <x:v>42</x:v>
      </x:c>
      <x:c r="D707" s="2" t="str">
        <x:v>no_congestion</x:v>
      </x:c>
      <x:c r="E707" s="2" t="n">
        <x:v>0</x:v>
      </x:c>
      <x:c r="F707" s="7" t="n">
        <x:v>20</x:v>
      </x:c>
      <x:c r="G707" s="7" t="n">
        <x:v>20</x:v>
      </x:c>
      <x:c r="H707" s="7" t="n">
        <x:f>IF(F707=0,"n.a.",100*(F707-G707)/F707)</x:f>
        <x:v>0</x:v>
      </x:c>
      <x:c r="I707" s="7" t="n">
        <x:f>F707-G707</x:f>
        <x:v>0</x:v>
      </x:c>
      <x:c r="J707" s="8" t="n">
        <x:v>2.18</x:v>
      </x:c>
      <x:c r="K707" s="8" t="n">
        <x:v>2.18</x:v>
      </x:c>
      <x:c r="L707" s="8" t="n">
        <x:v>0</x:v>
      </x:c>
      <x:c r="M707" s="7" t="n">
        <x:v>0</x:v>
      </x:c>
      <x:c r="N707" s="2" t="str">
        <x:v>not_invoked</x:v>
      </x:c>
      <x:c r="O707" s="9" t="str"/>
    </x:row>
    <x:row r="708" ht="18" customHeight="1">
      <x:c r="A708" s="2" t="str">
        <x:v>controlled_n5_off_peak_1</x:v>
      </x:c>
      <x:c r="B708" s="2" t="str">
        <x:v>QAOA</x:v>
      </x:c>
      <x:c r="C708" s="2" t="n">
        <x:v>42</x:v>
      </x:c>
      <x:c r="D708" s="2" t="str">
        <x:v>no_congestion</x:v>
      </x:c>
      <x:c r="E708" s="2" t="n">
        <x:v>0</x:v>
      </x:c>
      <x:c r="F708" s="7" t="n">
        <x:v>20</x:v>
      </x:c>
      <x:c r="G708" s="7" t="n">
        <x:v>20</x:v>
      </x:c>
      <x:c r="H708" s="7" t="n">
        <x:f>IF(F708=0,"n.a.",100*(F708-G708)/F708)</x:f>
        <x:v>0</x:v>
      </x:c>
      <x:c r="I708" s="7" t="n">
        <x:f>F708-G708</x:f>
        <x:v>0</x:v>
      </x:c>
      <x:c r="J708" s="8" t="n">
        <x:v>2.18</x:v>
      </x:c>
      <x:c r="K708" s="8" t="n">
        <x:v>2.18</x:v>
      </x:c>
      <x:c r="L708" s="8" t="n">
        <x:v>0</x:v>
      </x:c>
      <x:c r="M708" s="7" t="n">
        <x:v>0</x:v>
      </x:c>
      <x:c r="N708" s="2" t="str">
        <x:v>not_invoked</x:v>
      </x:c>
      <x:c r="O708" s="9" t="str"/>
    </x:row>
    <x:row r="709" ht="18" customHeight="1">
      <x:c r="A709" s="2" t="str">
        <x:v>controlled_n5_off_peak_1</x:v>
      </x:c>
      <x:c r="B709" s="2" t="str">
        <x:v>BPSO</x:v>
      </x:c>
      <x:c r="C709" s="2" t="n">
        <x:v>123</x:v>
      </x:c>
      <x:c r="D709" s="2" t="str">
        <x:v>no_congestion</x:v>
      </x:c>
      <x:c r="E709" s="2" t="n">
        <x:v>0</x:v>
      </x:c>
      <x:c r="F709" s="7" t="n">
        <x:v>20</x:v>
      </x:c>
      <x:c r="G709" s="7" t="n">
        <x:v>20</x:v>
      </x:c>
      <x:c r="H709" s="7" t="n">
        <x:f>IF(F709=0,"n.a.",100*(F709-G709)/F709)</x:f>
        <x:v>0</x:v>
      </x:c>
      <x:c r="I709" s="7" t="n">
        <x:f>F709-G709</x:f>
        <x:v>0</x:v>
      </x:c>
      <x:c r="J709" s="8" t="n">
        <x:v>2.18</x:v>
      </x:c>
      <x:c r="K709" s="8" t="n">
        <x:v>2.18</x:v>
      </x:c>
      <x:c r="L709" s="8" t="n">
        <x:v>0</x:v>
      </x:c>
      <x:c r="M709" s="7" t="n">
        <x:v>0</x:v>
      </x:c>
      <x:c r="N709" s="2" t="str">
        <x:v>not_invoked</x:v>
      </x:c>
      <x:c r="O709" s="9" t="str"/>
    </x:row>
    <x:row r="710" ht="18" customHeight="1">
      <x:c r="A710" s="2" t="str">
        <x:v>controlled_n5_off_peak_1</x:v>
      </x:c>
      <x:c r="B710" s="2" t="str">
        <x:v>QAOA</x:v>
      </x:c>
      <x:c r="C710" s="2" t="n">
        <x:v>123</x:v>
      </x:c>
      <x:c r="D710" s="2" t="str">
        <x:v>no_congestion</x:v>
      </x:c>
      <x:c r="E710" s="2" t="n">
        <x:v>0</x:v>
      </x:c>
      <x:c r="F710" s="7" t="n">
        <x:v>20</x:v>
      </x:c>
      <x:c r="G710" s="7" t="n">
        <x:v>20</x:v>
      </x:c>
      <x:c r="H710" s="7" t="n">
        <x:f>IF(F710=0,"n.a.",100*(F710-G710)/F710)</x:f>
        <x:v>0</x:v>
      </x:c>
      <x:c r="I710" s="7" t="n">
        <x:f>F710-G710</x:f>
        <x:v>0</x:v>
      </x:c>
      <x:c r="J710" s="8" t="n">
        <x:v>2.18</x:v>
      </x:c>
      <x:c r="K710" s="8" t="n">
        <x:v>2.18</x:v>
      </x:c>
      <x:c r="L710" s="8" t="n">
        <x:v>0</x:v>
      </x:c>
      <x:c r="M710" s="7" t="n">
        <x:v>0</x:v>
      </x:c>
      <x:c r="N710" s="2" t="str">
        <x:v>not_invoked</x:v>
      </x:c>
      <x:c r="O710" s="9" t="str"/>
    </x:row>
    <x:row r="711" ht="18" customHeight="1">
      <x:c r="A711" s="2" t="str">
        <x:v>controlled_n5_off_peak_1</x:v>
      </x:c>
      <x:c r="B711" s="2" t="str">
        <x:v>BPSO</x:v>
      </x:c>
      <x:c r="C711" s="2" t="n">
        <x:v>456</x:v>
      </x:c>
      <x:c r="D711" s="2" t="str">
        <x:v>no_congestion</x:v>
      </x:c>
      <x:c r="E711" s="2" t="n">
        <x:v>0</x:v>
      </x:c>
      <x:c r="F711" s="7" t="n">
        <x:v>20</x:v>
      </x:c>
      <x:c r="G711" s="7" t="n">
        <x:v>20</x:v>
      </x:c>
      <x:c r="H711" s="7" t="n">
        <x:f>IF(F711=0,"n.a.",100*(F711-G711)/F711)</x:f>
        <x:v>0</x:v>
      </x:c>
      <x:c r="I711" s="7" t="n">
        <x:f>F711-G711</x:f>
        <x:v>0</x:v>
      </x:c>
      <x:c r="J711" s="8" t="n">
        <x:v>2.18</x:v>
      </x:c>
      <x:c r="K711" s="8" t="n">
        <x:v>2.18</x:v>
      </x:c>
      <x:c r="L711" s="8" t="n">
        <x:v>0</x:v>
      </x:c>
      <x:c r="M711" s="7" t="n">
        <x:v>0</x:v>
      </x:c>
      <x:c r="N711" s="2" t="str">
        <x:v>not_invoked</x:v>
      </x:c>
      <x:c r="O711" s="9" t="str"/>
    </x:row>
    <x:row r="712" ht="18" customHeight="1">
      <x:c r="A712" s="2" t="str">
        <x:v>controlled_n5_off_peak_1</x:v>
      </x:c>
      <x:c r="B712" s="2" t="str">
        <x:v>QAOA</x:v>
      </x:c>
      <x:c r="C712" s="2" t="n">
        <x:v>456</x:v>
      </x:c>
      <x:c r="D712" s="2" t="str">
        <x:v>no_congestion</x:v>
      </x:c>
      <x:c r="E712" s="2" t="n">
        <x:v>0</x:v>
      </x:c>
      <x:c r="F712" s="7" t="n">
        <x:v>20</x:v>
      </x:c>
      <x:c r="G712" s="7" t="n">
        <x:v>20</x:v>
      </x:c>
      <x:c r="H712" s="7" t="n">
        <x:f>IF(F712=0,"n.a.",100*(F712-G712)/F712)</x:f>
        <x:v>0</x:v>
      </x:c>
      <x:c r="I712" s="7" t="n">
        <x:f>F712-G712</x:f>
        <x:v>0</x:v>
      </x:c>
      <x:c r="J712" s="8" t="n">
        <x:v>2.18</x:v>
      </x:c>
      <x:c r="K712" s="8" t="n">
        <x:v>2.18</x:v>
      </x:c>
      <x:c r="L712" s="8" t="n">
        <x:v>0</x:v>
      </x:c>
      <x:c r="M712" s="7" t="n">
        <x:v>0</x:v>
      </x:c>
      <x:c r="N712" s="2" t="str">
        <x:v>not_invoked</x:v>
      </x:c>
      <x:c r="O712" s="9" t="str"/>
    </x:row>
    <x:row r="713" ht="18" customHeight="1">
      <x:c r="A713" s="2" t="str">
        <x:v>controlled_n5_off_peak_1</x:v>
      </x:c>
      <x:c r="B713" s="2" t="str">
        <x:v>BPSO</x:v>
      </x:c>
      <x:c r="C713" s="2" t="n">
        <x:v>789</x:v>
      </x:c>
      <x:c r="D713" s="2" t="str">
        <x:v>no_congestion</x:v>
      </x:c>
      <x:c r="E713" s="2" t="n">
        <x:v>0</x:v>
      </x:c>
      <x:c r="F713" s="7" t="n">
        <x:v>20</x:v>
      </x:c>
      <x:c r="G713" s="7" t="n">
        <x:v>20</x:v>
      </x:c>
      <x:c r="H713" s="7" t="n">
        <x:f>IF(F713=0,"n.a.",100*(F713-G713)/F713)</x:f>
        <x:v>0</x:v>
      </x:c>
      <x:c r="I713" s="7" t="n">
        <x:f>F713-G713</x:f>
        <x:v>0</x:v>
      </x:c>
      <x:c r="J713" s="8" t="n">
        <x:v>2.18</x:v>
      </x:c>
      <x:c r="K713" s="8" t="n">
        <x:v>2.18</x:v>
      </x:c>
      <x:c r="L713" s="8" t="n">
        <x:v>0</x:v>
      </x:c>
      <x:c r="M713" s="7" t="n">
        <x:v>0</x:v>
      </x:c>
      <x:c r="N713" s="2" t="str">
        <x:v>not_invoked</x:v>
      </x:c>
      <x:c r="O713" s="9" t="str"/>
    </x:row>
    <x:row r="714" ht="18" customHeight="1">
      <x:c r="A714" s="2" t="str">
        <x:v>controlled_n5_off_peak_1</x:v>
      </x:c>
      <x:c r="B714" s="2" t="str">
        <x:v>QAOA</x:v>
      </x:c>
      <x:c r="C714" s="2" t="n">
        <x:v>789</x:v>
      </x:c>
      <x:c r="D714" s="2" t="str">
        <x:v>no_congestion</x:v>
      </x:c>
      <x:c r="E714" s="2" t="n">
        <x:v>0</x:v>
      </x:c>
      <x:c r="F714" s="7" t="n">
        <x:v>20</x:v>
      </x:c>
      <x:c r="G714" s="7" t="n">
        <x:v>20</x:v>
      </x:c>
      <x:c r="H714" s="7" t="n">
        <x:f>IF(F714=0,"n.a.",100*(F714-G714)/F714)</x:f>
        <x:v>0</x:v>
      </x:c>
      <x:c r="I714" s="7" t="n">
        <x:f>F714-G714</x:f>
        <x:v>0</x:v>
      </x:c>
      <x:c r="J714" s="8" t="n">
        <x:v>2.18</x:v>
      </x:c>
      <x:c r="K714" s="8" t="n">
        <x:v>2.18</x:v>
      </x:c>
      <x:c r="L714" s="8" t="n">
        <x:v>0</x:v>
      </x:c>
      <x:c r="M714" s="7" t="n">
        <x:v>0</x:v>
      </x:c>
      <x:c r="N714" s="2" t="str">
        <x:v>not_invoked</x:v>
      </x:c>
      <x:c r="O714" s="9" t="str"/>
    </x:row>
    <x:row r="715" ht="18" customHeight="1">
      <x:c r="A715" s="2" t="str">
        <x:v>controlled_n5_off_peak_1</x:v>
      </x:c>
      <x:c r="B715" s="2" t="str">
        <x:v>BPSO</x:v>
      </x:c>
      <x:c r="C715" s="2" t="n">
        <x:v>2026</x:v>
      </x:c>
      <x:c r="D715" s="2" t="str">
        <x:v>no_congestion</x:v>
      </x:c>
      <x:c r="E715" s="2" t="n">
        <x:v>0</x:v>
      </x:c>
      <x:c r="F715" s="7" t="n">
        <x:v>20</x:v>
      </x:c>
      <x:c r="G715" s="7" t="n">
        <x:v>20</x:v>
      </x:c>
      <x:c r="H715" s="7" t="n">
        <x:f>IF(F715=0,"n.a.",100*(F715-G715)/F715)</x:f>
        <x:v>0</x:v>
      </x:c>
      <x:c r="I715" s="7" t="n">
        <x:f>F715-G715</x:f>
        <x:v>0</x:v>
      </x:c>
      <x:c r="J715" s="8" t="n">
        <x:v>2.18</x:v>
      </x:c>
      <x:c r="K715" s="8" t="n">
        <x:v>2.18</x:v>
      </x:c>
      <x:c r="L715" s="8" t="n">
        <x:v>0</x:v>
      </x:c>
      <x:c r="M715" s="7" t="n">
        <x:v>0</x:v>
      </x:c>
      <x:c r="N715" s="2" t="str">
        <x:v>not_invoked</x:v>
      </x:c>
      <x:c r="O715" s="9" t="str"/>
    </x:row>
    <x:row r="716" ht="18" customHeight="1">
      <x:c r="A716" s="2" t="str">
        <x:v>controlled_n5_off_peak_1</x:v>
      </x:c>
      <x:c r="B716" s="2" t="str">
        <x:v>QAOA</x:v>
      </x:c>
      <x:c r="C716" s="2" t="n">
        <x:v>2026</x:v>
      </x:c>
      <x:c r="D716" s="2" t="str">
        <x:v>no_congestion</x:v>
      </x:c>
      <x:c r="E716" s="2" t="n">
        <x:v>0</x:v>
      </x:c>
      <x:c r="F716" s="7" t="n">
        <x:v>20</x:v>
      </x:c>
      <x:c r="G716" s="7" t="n">
        <x:v>20</x:v>
      </x:c>
      <x:c r="H716" s="7" t="n">
        <x:f>IF(F716=0,"n.a.",100*(F716-G716)/F716)</x:f>
        <x:v>0</x:v>
      </x:c>
      <x:c r="I716" s="7" t="n">
        <x:f>F716-G716</x:f>
        <x:v>0</x:v>
      </x:c>
      <x:c r="J716" s="8" t="n">
        <x:v>2.18</x:v>
      </x:c>
      <x:c r="K716" s="8" t="n">
        <x:v>2.18</x:v>
      </x:c>
      <x:c r="L716" s="8" t="n">
        <x:v>0</x:v>
      </x:c>
      <x:c r="M716" s="7" t="n">
        <x:v>0</x:v>
      </x:c>
      <x:c r="N716" s="2" t="str">
        <x:v>not_invoked</x:v>
      </x:c>
      <x:c r="O716" s="9" t="str"/>
    </x:row>
    <x:row r="717" ht="18" customHeight="1">
      <x:c r="A717" s="2" t="str">
        <x:v>controlled_n5_off_peak_2</x:v>
      </x:c>
      <x:c r="B717" s="2" t="str">
        <x:v>Unmanaged</x:v>
      </x:c>
      <x:c r="C717" s="2"/>
      <x:c r="D717" s="2" t="str">
        <x:v>baseline</x:v>
      </x:c>
      <x:c r="E717" s="2" t="n">
        <x:v>0</x:v>
      </x:c>
      <x:c r="F717" s="7" t="n">
        <x:v>30</x:v>
      </x:c>
      <x:c r="G717" s="7" t="n">
        <x:v>30</x:v>
      </x:c>
      <x:c r="H717" s="7" t="n">
        <x:f>IF(F717=0,"n.a.",100*(F717-G717)/F717)</x:f>
        <x:v>0</x:v>
      </x:c>
      <x:c r="I717" s="7" t="n">
        <x:f>F717-G717</x:f>
        <x:v>0</x:v>
      </x:c>
      <x:c r="J717" s="8"/>
      <x:c r="K717" s="8" t="n">
        <x:v>1.048888888888889</x:v>
      </x:c>
      <x:c r="L717" s="8"/>
      <x:c r="M717" s="7"/>
      <x:c r="N717" s="2" t="str">
        <x:v>unmanaged_input</x:v>
      </x:c>
      <x:c r="O717" s="9"/>
    </x:row>
    <x:row r="718" ht="18" customHeight="1">
      <x:c r="A718" s="2" t="str">
        <x:v>controlled_n5_off_peak_2</x:v>
      </x:c>
      <x:c r="B718" s="2" t="str">
        <x:v>Exact J</x:v>
      </x:c>
      <x:c r="C718" s="2"/>
      <x:c r="D718" s="2" t="str">
        <x:v>no_congestion</x:v>
      </x:c>
      <x:c r="E718" s="2" t="n">
        <x:v>0</x:v>
      </x:c>
      <x:c r="F718" s="7" t="n">
        <x:v>30</x:v>
      </x:c>
      <x:c r="G718" s="7" t="n">
        <x:v>30</x:v>
      </x:c>
      <x:c r="H718" s="7" t="n">
        <x:f>IF(F718=0,"n.a.",100*(F718-G718)/F718)</x:f>
        <x:v>0</x:v>
      </x:c>
      <x:c r="I718" s="7" t="n">
        <x:f>F718-G718</x:f>
        <x:v>0</x:v>
      </x:c>
      <x:c r="J718" s="8" t="n">
        <x:v>1.048888888888889</x:v>
      </x:c>
      <x:c r="K718" s="8" t="n">
        <x:v>1.048888888888889</x:v>
      </x:c>
      <x:c r="L718" s="8" t="n">
        <x:v>0</x:v>
      </x:c>
      <x:c r="M718" s="7" t="n">
        <x:v>0</x:v>
      </x:c>
      <x:c r="N718" s="2" t="str">
        <x:v>not_invoked</x:v>
      </x:c>
      <x:c r="O718" s="9" t="str"/>
    </x:row>
    <x:row r="719" ht="18" customHeight="1">
      <x:c r="A719" s="2" t="str">
        <x:v>controlled_n5_off_peak_2</x:v>
      </x:c>
      <x:c r="B719" s="2" t="str">
        <x:v>Exact peak</x:v>
      </x:c>
      <x:c r="C719" s="2"/>
      <x:c r="D719" s="2" t="str">
        <x:v>no_congestion</x:v>
      </x:c>
      <x:c r="E719" s="2" t="n">
        <x:v>0</x:v>
      </x:c>
      <x:c r="F719" s="7" t="n">
        <x:v>30</x:v>
      </x:c>
      <x:c r="G719" s="7" t="n">
        <x:v>30</x:v>
      </x:c>
      <x:c r="H719" s="7" t="n">
        <x:f>IF(F719=0,"n.a.",100*(F719-G719)/F719)</x:f>
        <x:v>0</x:v>
      </x:c>
      <x:c r="I719" s="7" t="n">
        <x:f>F719-G719</x:f>
        <x:v>0</x:v>
      </x:c>
      <x:c r="J719" s="8" t="n">
        <x:v>1.048888888888889</x:v>
      </x:c>
      <x:c r="K719" s="8" t="n">
        <x:v>1.048888888888889</x:v>
      </x:c>
      <x:c r="L719" s="8" t="n">
        <x:v>0</x:v>
      </x:c>
      <x:c r="M719" s="7" t="n">
        <x:v>0</x:v>
      </x:c>
      <x:c r="N719" s="2" t="str">
        <x:v>not_invoked</x:v>
      </x:c>
      <x:c r="O719" s="9" t="str"/>
    </x:row>
    <x:row r="720" ht="18" customHeight="1">
      <x:c r="A720" s="2" t="str">
        <x:v>controlled_n5_off_peak_2</x:v>
      </x:c>
      <x:c r="B720" s="2" t="str">
        <x:v>BPSO</x:v>
      </x:c>
      <x:c r="C720" s="2" t="n">
        <x:v>42</x:v>
      </x:c>
      <x:c r="D720" s="2" t="str">
        <x:v>no_congestion</x:v>
      </x:c>
      <x:c r="E720" s="2" t="n">
        <x:v>0</x:v>
      </x:c>
      <x:c r="F720" s="7" t="n">
        <x:v>30</x:v>
      </x:c>
      <x:c r="G720" s="7" t="n">
        <x:v>30</x:v>
      </x:c>
      <x:c r="H720" s="7" t="n">
        <x:f>IF(F720=0,"n.a.",100*(F720-G720)/F720)</x:f>
        <x:v>0</x:v>
      </x:c>
      <x:c r="I720" s="7" t="n">
        <x:f>F720-G720</x:f>
        <x:v>0</x:v>
      </x:c>
      <x:c r="J720" s="8" t="n">
        <x:v>1.048888888888889</x:v>
      </x:c>
      <x:c r="K720" s="8" t="n">
        <x:v>1.048888888888889</x:v>
      </x:c>
      <x:c r="L720" s="8" t="n">
        <x:v>0</x:v>
      </x:c>
      <x:c r="M720" s="7" t="n">
        <x:v>0</x:v>
      </x:c>
      <x:c r="N720" s="2" t="str">
        <x:v>not_invoked</x:v>
      </x:c>
      <x:c r="O720" s="9" t="str"/>
    </x:row>
    <x:row r="721" ht="18" customHeight="1">
      <x:c r="A721" s="2" t="str">
        <x:v>controlled_n5_off_peak_2</x:v>
      </x:c>
      <x:c r="B721" s="2" t="str">
        <x:v>QAOA</x:v>
      </x:c>
      <x:c r="C721" s="2" t="n">
        <x:v>42</x:v>
      </x:c>
      <x:c r="D721" s="2" t="str">
        <x:v>no_congestion</x:v>
      </x:c>
      <x:c r="E721" s="2" t="n">
        <x:v>0</x:v>
      </x:c>
      <x:c r="F721" s="7" t="n">
        <x:v>30</x:v>
      </x:c>
      <x:c r="G721" s="7" t="n">
        <x:v>30</x:v>
      </x:c>
      <x:c r="H721" s="7" t="n">
        <x:f>IF(F721=0,"n.a.",100*(F721-G721)/F721)</x:f>
        <x:v>0</x:v>
      </x:c>
      <x:c r="I721" s="7" t="n">
        <x:f>F721-G721</x:f>
        <x:v>0</x:v>
      </x:c>
      <x:c r="J721" s="8" t="n">
        <x:v>1.048888888888889</x:v>
      </x:c>
      <x:c r="K721" s="8" t="n">
        <x:v>1.048888888888889</x:v>
      </x:c>
      <x:c r="L721" s="8" t="n">
        <x:v>0</x:v>
      </x:c>
      <x:c r="M721" s="7" t="n">
        <x:v>0</x:v>
      </x:c>
      <x:c r="N721" s="2" t="str">
        <x:v>not_invoked</x:v>
      </x:c>
      <x:c r="O721" s="9" t="str"/>
    </x:row>
    <x:row r="722" ht="18" customHeight="1">
      <x:c r="A722" s="2" t="str">
        <x:v>controlled_n5_off_peak_2</x:v>
      </x:c>
      <x:c r="B722" s="2" t="str">
        <x:v>BPSO</x:v>
      </x:c>
      <x:c r="C722" s="2" t="n">
        <x:v>123</x:v>
      </x:c>
      <x:c r="D722" s="2" t="str">
        <x:v>no_congestion</x:v>
      </x:c>
      <x:c r="E722" s="2" t="n">
        <x:v>0</x:v>
      </x:c>
      <x:c r="F722" s="7" t="n">
        <x:v>30</x:v>
      </x:c>
      <x:c r="G722" s="7" t="n">
        <x:v>30</x:v>
      </x:c>
      <x:c r="H722" s="7" t="n">
        <x:f>IF(F722=0,"n.a.",100*(F722-G722)/F722)</x:f>
        <x:v>0</x:v>
      </x:c>
      <x:c r="I722" s="7" t="n">
        <x:f>F722-G722</x:f>
        <x:v>0</x:v>
      </x:c>
      <x:c r="J722" s="8" t="n">
        <x:v>1.048888888888889</x:v>
      </x:c>
      <x:c r="K722" s="8" t="n">
        <x:v>1.048888888888889</x:v>
      </x:c>
      <x:c r="L722" s="8" t="n">
        <x:v>0</x:v>
      </x:c>
      <x:c r="M722" s="7" t="n">
        <x:v>0</x:v>
      </x:c>
      <x:c r="N722" s="2" t="str">
        <x:v>not_invoked</x:v>
      </x:c>
      <x:c r="O722" s="9" t="str"/>
    </x:row>
    <x:row r="723" ht="18" customHeight="1">
      <x:c r="A723" s="2" t="str">
        <x:v>controlled_n5_off_peak_2</x:v>
      </x:c>
      <x:c r="B723" s="2" t="str">
        <x:v>QAOA</x:v>
      </x:c>
      <x:c r="C723" s="2" t="n">
        <x:v>123</x:v>
      </x:c>
      <x:c r="D723" s="2" t="str">
        <x:v>no_congestion</x:v>
      </x:c>
      <x:c r="E723" s="2" t="n">
        <x:v>0</x:v>
      </x:c>
      <x:c r="F723" s="7" t="n">
        <x:v>30</x:v>
      </x:c>
      <x:c r="G723" s="7" t="n">
        <x:v>30</x:v>
      </x:c>
      <x:c r="H723" s="7" t="n">
        <x:f>IF(F723=0,"n.a.",100*(F723-G723)/F723)</x:f>
        <x:v>0</x:v>
      </x:c>
      <x:c r="I723" s="7" t="n">
        <x:f>F723-G723</x:f>
        <x:v>0</x:v>
      </x:c>
      <x:c r="J723" s="8" t="n">
        <x:v>1.048888888888889</x:v>
      </x:c>
      <x:c r="K723" s="8" t="n">
        <x:v>1.048888888888889</x:v>
      </x:c>
      <x:c r="L723" s="8" t="n">
        <x:v>0</x:v>
      </x:c>
      <x:c r="M723" s="7" t="n">
        <x:v>0</x:v>
      </x:c>
      <x:c r="N723" s="2" t="str">
        <x:v>not_invoked</x:v>
      </x:c>
      <x:c r="O723" s="9" t="str"/>
    </x:row>
    <x:row r="724" ht="18" customHeight="1">
      <x:c r="A724" s="2" t="str">
        <x:v>controlled_n5_off_peak_2</x:v>
      </x:c>
      <x:c r="B724" s="2" t="str">
        <x:v>BPSO</x:v>
      </x:c>
      <x:c r="C724" s="2" t="n">
        <x:v>456</x:v>
      </x:c>
      <x:c r="D724" s="2" t="str">
        <x:v>no_congestion</x:v>
      </x:c>
      <x:c r="E724" s="2" t="n">
        <x:v>0</x:v>
      </x:c>
      <x:c r="F724" s="7" t="n">
        <x:v>30</x:v>
      </x:c>
      <x:c r="G724" s="7" t="n">
        <x:v>30</x:v>
      </x:c>
      <x:c r="H724" s="7" t="n">
        <x:f>IF(F724=0,"n.a.",100*(F724-G724)/F724)</x:f>
        <x:v>0</x:v>
      </x:c>
      <x:c r="I724" s="7" t="n">
        <x:f>F724-G724</x:f>
        <x:v>0</x:v>
      </x:c>
      <x:c r="J724" s="8" t="n">
        <x:v>1.048888888888889</x:v>
      </x:c>
      <x:c r="K724" s="8" t="n">
        <x:v>1.048888888888889</x:v>
      </x:c>
      <x:c r="L724" s="8" t="n">
        <x:v>0</x:v>
      </x:c>
      <x:c r="M724" s="7" t="n">
        <x:v>0</x:v>
      </x:c>
      <x:c r="N724" s="2" t="str">
        <x:v>not_invoked</x:v>
      </x:c>
      <x:c r="O724" s="9" t="str"/>
    </x:row>
    <x:row r="725" ht="18" customHeight="1">
      <x:c r="A725" s="2" t="str">
        <x:v>controlled_n5_off_peak_2</x:v>
      </x:c>
      <x:c r="B725" s="2" t="str">
        <x:v>QAOA</x:v>
      </x:c>
      <x:c r="C725" s="2" t="n">
        <x:v>456</x:v>
      </x:c>
      <x:c r="D725" s="2" t="str">
        <x:v>no_congestion</x:v>
      </x:c>
      <x:c r="E725" s="2" t="n">
        <x:v>0</x:v>
      </x:c>
      <x:c r="F725" s="7" t="n">
        <x:v>30</x:v>
      </x:c>
      <x:c r="G725" s="7" t="n">
        <x:v>30</x:v>
      </x:c>
      <x:c r="H725" s="7" t="n">
        <x:f>IF(F725=0,"n.a.",100*(F725-G725)/F725)</x:f>
        <x:v>0</x:v>
      </x:c>
      <x:c r="I725" s="7" t="n">
        <x:f>F725-G725</x:f>
        <x:v>0</x:v>
      </x:c>
      <x:c r="J725" s="8" t="n">
        <x:v>1.048888888888889</x:v>
      </x:c>
      <x:c r="K725" s="8" t="n">
        <x:v>1.048888888888889</x:v>
      </x:c>
      <x:c r="L725" s="8" t="n">
        <x:v>0</x:v>
      </x:c>
      <x:c r="M725" s="7" t="n">
        <x:v>0</x:v>
      </x:c>
      <x:c r="N725" s="2" t="str">
        <x:v>not_invoked</x:v>
      </x:c>
      <x:c r="O725" s="9" t="str"/>
    </x:row>
    <x:row r="726" ht="18" customHeight="1">
      <x:c r="A726" s="2" t="str">
        <x:v>controlled_n5_off_peak_2</x:v>
      </x:c>
      <x:c r="B726" s="2" t="str">
        <x:v>BPSO</x:v>
      </x:c>
      <x:c r="C726" s="2" t="n">
        <x:v>789</x:v>
      </x:c>
      <x:c r="D726" s="2" t="str">
        <x:v>no_congestion</x:v>
      </x:c>
      <x:c r="E726" s="2" t="n">
        <x:v>0</x:v>
      </x:c>
      <x:c r="F726" s="7" t="n">
        <x:v>30</x:v>
      </x:c>
      <x:c r="G726" s="7" t="n">
        <x:v>30</x:v>
      </x:c>
      <x:c r="H726" s="7" t="n">
        <x:f>IF(F726=0,"n.a.",100*(F726-G726)/F726)</x:f>
        <x:v>0</x:v>
      </x:c>
      <x:c r="I726" s="7" t="n">
        <x:f>F726-G726</x:f>
        <x:v>0</x:v>
      </x:c>
      <x:c r="J726" s="8" t="n">
        <x:v>1.048888888888889</x:v>
      </x:c>
      <x:c r="K726" s="8" t="n">
        <x:v>1.048888888888889</x:v>
      </x:c>
      <x:c r="L726" s="8" t="n">
        <x:v>0</x:v>
      </x:c>
      <x:c r="M726" s="7" t="n">
        <x:v>0</x:v>
      </x:c>
      <x:c r="N726" s="2" t="str">
        <x:v>not_invoked</x:v>
      </x:c>
      <x:c r="O726" s="9" t="str"/>
    </x:row>
    <x:row r="727" ht="18" customHeight="1">
      <x:c r="A727" s="2" t="str">
        <x:v>controlled_n5_off_peak_2</x:v>
      </x:c>
      <x:c r="B727" s="2" t="str">
        <x:v>QAOA</x:v>
      </x:c>
      <x:c r="C727" s="2" t="n">
        <x:v>789</x:v>
      </x:c>
      <x:c r="D727" s="2" t="str">
        <x:v>no_congestion</x:v>
      </x:c>
      <x:c r="E727" s="2" t="n">
        <x:v>0</x:v>
      </x:c>
      <x:c r="F727" s="7" t="n">
        <x:v>30</x:v>
      </x:c>
      <x:c r="G727" s="7" t="n">
        <x:v>30</x:v>
      </x:c>
      <x:c r="H727" s="7" t="n">
        <x:f>IF(F727=0,"n.a.",100*(F727-G727)/F727)</x:f>
        <x:v>0</x:v>
      </x:c>
      <x:c r="I727" s="7" t="n">
        <x:f>F727-G727</x:f>
        <x:v>0</x:v>
      </x:c>
      <x:c r="J727" s="8" t="n">
        <x:v>1.048888888888889</x:v>
      </x:c>
      <x:c r="K727" s="8" t="n">
        <x:v>1.048888888888889</x:v>
      </x:c>
      <x:c r="L727" s="8" t="n">
        <x:v>0</x:v>
      </x:c>
      <x:c r="M727" s="7" t="n">
        <x:v>0</x:v>
      </x:c>
      <x:c r="N727" s="2" t="str">
        <x:v>not_invoked</x:v>
      </x:c>
      <x:c r="O727" s="9" t="str"/>
    </x:row>
    <x:row r="728" ht="18" customHeight="1">
      <x:c r="A728" s="2" t="str">
        <x:v>controlled_n5_off_peak_2</x:v>
      </x:c>
      <x:c r="B728" s="2" t="str">
        <x:v>BPSO</x:v>
      </x:c>
      <x:c r="C728" s="2" t="n">
        <x:v>2026</x:v>
      </x:c>
      <x:c r="D728" s="2" t="str">
        <x:v>no_congestion</x:v>
      </x:c>
      <x:c r="E728" s="2" t="n">
        <x:v>0</x:v>
      </x:c>
      <x:c r="F728" s="7" t="n">
        <x:v>30</x:v>
      </x:c>
      <x:c r="G728" s="7" t="n">
        <x:v>30</x:v>
      </x:c>
      <x:c r="H728" s="7" t="n">
        <x:f>IF(F728=0,"n.a.",100*(F728-G728)/F728)</x:f>
        <x:v>0</x:v>
      </x:c>
      <x:c r="I728" s="7" t="n">
        <x:f>F728-G728</x:f>
        <x:v>0</x:v>
      </x:c>
      <x:c r="J728" s="8" t="n">
        <x:v>1.048888888888889</x:v>
      </x:c>
      <x:c r="K728" s="8" t="n">
        <x:v>1.048888888888889</x:v>
      </x:c>
      <x:c r="L728" s="8" t="n">
        <x:v>0</x:v>
      </x:c>
      <x:c r="M728" s="7" t="n">
        <x:v>0</x:v>
      </x:c>
      <x:c r="N728" s="2" t="str">
        <x:v>not_invoked</x:v>
      </x:c>
      <x:c r="O728" s="9" t="str"/>
    </x:row>
    <x:row r="729" ht="18" customHeight="1">
      <x:c r="A729" s="2" t="str">
        <x:v>controlled_n5_off_peak_2</x:v>
      </x:c>
      <x:c r="B729" s="2" t="str">
        <x:v>QAOA</x:v>
      </x:c>
      <x:c r="C729" s="2" t="n">
        <x:v>2026</x:v>
      </x:c>
      <x:c r="D729" s="2" t="str">
        <x:v>no_congestion</x:v>
      </x:c>
      <x:c r="E729" s="2" t="n">
        <x:v>0</x:v>
      </x:c>
      <x:c r="F729" s="7" t="n">
        <x:v>30</x:v>
      </x:c>
      <x:c r="G729" s="7" t="n">
        <x:v>30</x:v>
      </x:c>
      <x:c r="H729" s="7" t="n">
        <x:f>IF(F729=0,"n.a.",100*(F729-G729)/F729)</x:f>
        <x:v>0</x:v>
      </x:c>
      <x:c r="I729" s="7" t="n">
        <x:f>F729-G729</x:f>
        <x:v>0</x:v>
      </x:c>
      <x:c r="J729" s="8" t="n">
        <x:v>1.048888888888889</x:v>
      </x:c>
      <x:c r="K729" s="8" t="n">
        <x:v>1.048888888888889</x:v>
      </x:c>
      <x:c r="L729" s="8" t="n">
        <x:v>0</x:v>
      </x:c>
      <x:c r="M729" s="7" t="n">
        <x:v>0</x:v>
      </x:c>
      <x:c r="N729" s="2" t="str">
        <x:v>not_invoked</x:v>
      </x:c>
      <x:c r="O729" s="9" t="str"/>
    </x:row>
    <x:row r="730" ht="18" customHeight="1">
      <x:c r="A730" s="2" t="str">
        <x:v>controlled_n5_off_peak_3</x:v>
      </x:c>
      <x:c r="B730" s="2" t="str">
        <x:v>Unmanaged</x:v>
      </x:c>
      <x:c r="C730" s="2"/>
      <x:c r="D730" s="2" t="str">
        <x:v>baseline</x:v>
      </x:c>
      <x:c r="E730" s="2" t="n">
        <x:v>0</x:v>
      </x:c>
      <x:c r="F730" s="7" t="n">
        <x:v>40</x:v>
      </x:c>
      <x:c r="G730" s="7" t="n">
        <x:v>40</x:v>
      </x:c>
      <x:c r="H730" s="7" t="n">
        <x:f>IF(F730=0,"n.a.",100*(F730-G730)/F730)</x:f>
        <x:v>0</x:v>
      </x:c>
      <x:c r="I730" s="7" t="n">
        <x:f>F730-G730</x:f>
        <x:v>0</x:v>
      </x:c>
      <x:c r="J730" s="8"/>
      <x:c r="K730" s="8" t="n">
        <x:v>0.28222222222222204</x:v>
      </x:c>
      <x:c r="L730" s="8"/>
      <x:c r="M730" s="7"/>
      <x:c r="N730" s="2" t="str">
        <x:v>unmanaged_input</x:v>
      </x:c>
      <x:c r="O730" s="9"/>
    </x:row>
    <x:row r="731" ht="18" customHeight="1">
      <x:c r="A731" s="2" t="str">
        <x:v>controlled_n5_off_peak_3</x:v>
      </x:c>
      <x:c r="B731" s="2" t="str">
        <x:v>Exact J</x:v>
      </x:c>
      <x:c r="C731" s="2"/>
      <x:c r="D731" s="2" t="str">
        <x:v>no_congestion</x:v>
      </x:c>
      <x:c r="E731" s="2" t="n">
        <x:v>0</x:v>
      </x:c>
      <x:c r="F731" s="7" t="n">
        <x:v>40</x:v>
      </x:c>
      <x:c r="G731" s="7" t="n">
        <x:v>40</x:v>
      </x:c>
      <x:c r="H731" s="7" t="n">
        <x:f>IF(F731=0,"n.a.",100*(F731-G731)/F731)</x:f>
        <x:v>0</x:v>
      </x:c>
      <x:c r="I731" s="7" t="n">
        <x:f>F731-G731</x:f>
        <x:v>0</x:v>
      </x:c>
      <x:c r="J731" s="8" t="n">
        <x:v>0.28222222222222204</x:v>
      </x:c>
      <x:c r="K731" s="8" t="n">
        <x:v>0.28222222222222204</x:v>
      </x:c>
      <x:c r="L731" s="8" t="n">
        <x:v>0</x:v>
      </x:c>
      <x:c r="M731" s="7" t="n">
        <x:v>0</x:v>
      </x:c>
      <x:c r="N731" s="2" t="str">
        <x:v>not_invoked</x:v>
      </x:c>
      <x:c r="O731" s="9" t="str"/>
    </x:row>
    <x:row r="732" ht="18" customHeight="1">
      <x:c r="A732" s="2" t="str">
        <x:v>controlled_n5_off_peak_3</x:v>
      </x:c>
      <x:c r="B732" s="2" t="str">
        <x:v>Exact peak</x:v>
      </x:c>
      <x:c r="C732" s="2"/>
      <x:c r="D732" s="2" t="str">
        <x:v>no_congestion</x:v>
      </x:c>
      <x:c r="E732" s="2" t="n">
        <x:v>0</x:v>
      </x:c>
      <x:c r="F732" s="7" t="n">
        <x:v>40</x:v>
      </x:c>
      <x:c r="G732" s="7" t="n">
        <x:v>40</x:v>
      </x:c>
      <x:c r="H732" s="7" t="n">
        <x:f>IF(F732=0,"n.a.",100*(F732-G732)/F732)</x:f>
        <x:v>0</x:v>
      </x:c>
      <x:c r="I732" s="7" t="n">
        <x:f>F732-G732</x:f>
        <x:v>0</x:v>
      </x:c>
      <x:c r="J732" s="8" t="n">
        <x:v>0.28222222222222204</x:v>
      </x:c>
      <x:c r="K732" s="8" t="n">
        <x:v>0.28222222222222204</x:v>
      </x:c>
      <x:c r="L732" s="8" t="n">
        <x:v>0</x:v>
      </x:c>
      <x:c r="M732" s="7" t="n">
        <x:v>0</x:v>
      </x:c>
      <x:c r="N732" s="2" t="str">
        <x:v>not_invoked</x:v>
      </x:c>
      <x:c r="O732" s="9" t="str"/>
    </x:row>
    <x:row r="733" ht="18" customHeight="1">
      <x:c r="A733" s="2" t="str">
        <x:v>controlled_n5_off_peak_3</x:v>
      </x:c>
      <x:c r="B733" s="2" t="str">
        <x:v>BPSO</x:v>
      </x:c>
      <x:c r="C733" s="2" t="n">
        <x:v>42</x:v>
      </x:c>
      <x:c r="D733" s="2" t="str">
        <x:v>no_congestion</x:v>
      </x:c>
      <x:c r="E733" s="2" t="n">
        <x:v>0</x:v>
      </x:c>
      <x:c r="F733" s="7" t="n">
        <x:v>40</x:v>
      </x:c>
      <x:c r="G733" s="7" t="n">
        <x:v>40</x:v>
      </x:c>
      <x:c r="H733" s="7" t="n">
        <x:f>IF(F733=0,"n.a.",100*(F733-G733)/F733)</x:f>
        <x:v>0</x:v>
      </x:c>
      <x:c r="I733" s="7" t="n">
        <x:f>F733-G733</x:f>
        <x:v>0</x:v>
      </x:c>
      <x:c r="J733" s="8" t="n">
        <x:v>0.28222222222222204</x:v>
      </x:c>
      <x:c r="K733" s="8" t="n">
        <x:v>0.28222222222222204</x:v>
      </x:c>
      <x:c r="L733" s="8" t="n">
        <x:v>0</x:v>
      </x:c>
      <x:c r="M733" s="7" t="n">
        <x:v>0</x:v>
      </x:c>
      <x:c r="N733" s="2" t="str">
        <x:v>not_invoked</x:v>
      </x:c>
      <x:c r="O733" s="9" t="str"/>
    </x:row>
    <x:row r="734" ht="18" customHeight="1">
      <x:c r="A734" s="2" t="str">
        <x:v>controlled_n5_off_peak_3</x:v>
      </x:c>
      <x:c r="B734" s="2" t="str">
        <x:v>QAOA</x:v>
      </x:c>
      <x:c r="C734" s="2" t="n">
        <x:v>42</x:v>
      </x:c>
      <x:c r="D734" s="2" t="str">
        <x:v>no_congestion</x:v>
      </x:c>
      <x:c r="E734" s="2" t="n">
        <x:v>0</x:v>
      </x:c>
      <x:c r="F734" s="7" t="n">
        <x:v>40</x:v>
      </x:c>
      <x:c r="G734" s="7" t="n">
        <x:v>40</x:v>
      </x:c>
      <x:c r="H734" s="7" t="n">
        <x:f>IF(F734=0,"n.a.",100*(F734-G734)/F734)</x:f>
        <x:v>0</x:v>
      </x:c>
      <x:c r="I734" s="7" t="n">
        <x:f>F734-G734</x:f>
        <x:v>0</x:v>
      </x:c>
      <x:c r="J734" s="8" t="n">
        <x:v>0.28222222222222204</x:v>
      </x:c>
      <x:c r="K734" s="8" t="n">
        <x:v>0.28222222222222204</x:v>
      </x:c>
      <x:c r="L734" s="8" t="n">
        <x:v>0</x:v>
      </x:c>
      <x:c r="M734" s="7" t="n">
        <x:v>0</x:v>
      </x:c>
      <x:c r="N734" s="2" t="str">
        <x:v>not_invoked</x:v>
      </x:c>
      <x:c r="O734" s="9" t="str"/>
    </x:row>
    <x:row r="735" ht="18" customHeight="1">
      <x:c r="A735" s="2" t="str">
        <x:v>controlled_n5_off_peak_3</x:v>
      </x:c>
      <x:c r="B735" s="2" t="str">
        <x:v>BPSO</x:v>
      </x:c>
      <x:c r="C735" s="2" t="n">
        <x:v>123</x:v>
      </x:c>
      <x:c r="D735" s="2" t="str">
        <x:v>no_congestion</x:v>
      </x:c>
      <x:c r="E735" s="2" t="n">
        <x:v>0</x:v>
      </x:c>
      <x:c r="F735" s="7" t="n">
        <x:v>40</x:v>
      </x:c>
      <x:c r="G735" s="7" t="n">
        <x:v>40</x:v>
      </x:c>
      <x:c r="H735" s="7" t="n">
        <x:f>IF(F735=0,"n.a.",100*(F735-G735)/F735)</x:f>
        <x:v>0</x:v>
      </x:c>
      <x:c r="I735" s="7" t="n">
        <x:f>F735-G735</x:f>
        <x:v>0</x:v>
      </x:c>
      <x:c r="J735" s="8" t="n">
        <x:v>0.28222222222222204</x:v>
      </x:c>
      <x:c r="K735" s="8" t="n">
        <x:v>0.28222222222222204</x:v>
      </x:c>
      <x:c r="L735" s="8" t="n">
        <x:v>0</x:v>
      </x:c>
      <x:c r="M735" s="7" t="n">
        <x:v>0</x:v>
      </x:c>
      <x:c r="N735" s="2" t="str">
        <x:v>not_invoked</x:v>
      </x:c>
      <x:c r="O735" s="9" t="str"/>
    </x:row>
    <x:row r="736" ht="18" customHeight="1">
      <x:c r="A736" s="2" t="str">
        <x:v>controlled_n5_off_peak_3</x:v>
      </x:c>
      <x:c r="B736" s="2" t="str">
        <x:v>QAOA</x:v>
      </x:c>
      <x:c r="C736" s="2" t="n">
        <x:v>123</x:v>
      </x:c>
      <x:c r="D736" s="2" t="str">
        <x:v>no_congestion</x:v>
      </x:c>
      <x:c r="E736" s="2" t="n">
        <x:v>0</x:v>
      </x:c>
      <x:c r="F736" s="7" t="n">
        <x:v>40</x:v>
      </x:c>
      <x:c r="G736" s="7" t="n">
        <x:v>40</x:v>
      </x:c>
      <x:c r="H736" s="7" t="n">
        <x:f>IF(F736=0,"n.a.",100*(F736-G736)/F736)</x:f>
        <x:v>0</x:v>
      </x:c>
      <x:c r="I736" s="7" t="n">
        <x:f>F736-G736</x:f>
        <x:v>0</x:v>
      </x:c>
      <x:c r="J736" s="8" t="n">
        <x:v>0.28222222222222204</x:v>
      </x:c>
      <x:c r="K736" s="8" t="n">
        <x:v>0.28222222222222204</x:v>
      </x:c>
      <x:c r="L736" s="8" t="n">
        <x:v>0</x:v>
      </x:c>
      <x:c r="M736" s="7" t="n">
        <x:v>0</x:v>
      </x:c>
      <x:c r="N736" s="2" t="str">
        <x:v>not_invoked</x:v>
      </x:c>
      <x:c r="O736" s="9" t="str"/>
    </x:row>
    <x:row r="737" ht="18" customHeight="1">
      <x:c r="A737" s="2" t="str">
        <x:v>controlled_n5_off_peak_3</x:v>
      </x:c>
      <x:c r="B737" s="2" t="str">
        <x:v>BPSO</x:v>
      </x:c>
      <x:c r="C737" s="2" t="n">
        <x:v>456</x:v>
      </x:c>
      <x:c r="D737" s="2" t="str">
        <x:v>no_congestion</x:v>
      </x:c>
      <x:c r="E737" s="2" t="n">
        <x:v>0</x:v>
      </x:c>
      <x:c r="F737" s="7" t="n">
        <x:v>40</x:v>
      </x:c>
      <x:c r="G737" s="7" t="n">
        <x:v>40</x:v>
      </x:c>
      <x:c r="H737" s="7" t="n">
        <x:f>IF(F737=0,"n.a.",100*(F737-G737)/F737)</x:f>
        <x:v>0</x:v>
      </x:c>
      <x:c r="I737" s="7" t="n">
        <x:f>F737-G737</x:f>
        <x:v>0</x:v>
      </x:c>
      <x:c r="J737" s="8" t="n">
        <x:v>0.28222222222222204</x:v>
      </x:c>
      <x:c r="K737" s="8" t="n">
        <x:v>0.28222222222222204</x:v>
      </x:c>
      <x:c r="L737" s="8" t="n">
        <x:v>0</x:v>
      </x:c>
      <x:c r="M737" s="7" t="n">
        <x:v>0</x:v>
      </x:c>
      <x:c r="N737" s="2" t="str">
        <x:v>not_invoked</x:v>
      </x:c>
      <x:c r="O737" s="9" t="str"/>
    </x:row>
    <x:row r="738" ht="18" customHeight="1">
      <x:c r="A738" s="2" t="str">
        <x:v>controlled_n5_off_peak_3</x:v>
      </x:c>
      <x:c r="B738" s="2" t="str">
        <x:v>QAOA</x:v>
      </x:c>
      <x:c r="C738" s="2" t="n">
        <x:v>456</x:v>
      </x:c>
      <x:c r="D738" s="2" t="str">
        <x:v>no_congestion</x:v>
      </x:c>
      <x:c r="E738" s="2" t="n">
        <x:v>0</x:v>
      </x:c>
      <x:c r="F738" s="7" t="n">
        <x:v>40</x:v>
      </x:c>
      <x:c r="G738" s="7" t="n">
        <x:v>40</x:v>
      </x:c>
      <x:c r="H738" s="7" t="n">
        <x:f>IF(F738=0,"n.a.",100*(F738-G738)/F738)</x:f>
        <x:v>0</x:v>
      </x:c>
      <x:c r="I738" s="7" t="n">
        <x:f>F738-G738</x:f>
        <x:v>0</x:v>
      </x:c>
      <x:c r="J738" s="8" t="n">
        <x:v>0.28222222222222204</x:v>
      </x:c>
      <x:c r="K738" s="8" t="n">
        <x:v>0.28222222222222204</x:v>
      </x:c>
      <x:c r="L738" s="8" t="n">
        <x:v>0</x:v>
      </x:c>
      <x:c r="M738" s="7" t="n">
        <x:v>0</x:v>
      </x:c>
      <x:c r="N738" s="2" t="str">
        <x:v>not_invoked</x:v>
      </x:c>
      <x:c r="O738" s="9" t="str"/>
    </x:row>
    <x:row r="739" ht="18" customHeight="1">
      <x:c r="A739" s="2" t="str">
        <x:v>controlled_n5_off_peak_3</x:v>
      </x:c>
      <x:c r="B739" s="2" t="str">
        <x:v>BPSO</x:v>
      </x:c>
      <x:c r="C739" s="2" t="n">
        <x:v>789</x:v>
      </x:c>
      <x:c r="D739" s="2" t="str">
        <x:v>no_congestion</x:v>
      </x:c>
      <x:c r="E739" s="2" t="n">
        <x:v>0</x:v>
      </x:c>
      <x:c r="F739" s="7" t="n">
        <x:v>40</x:v>
      </x:c>
      <x:c r="G739" s="7" t="n">
        <x:v>40</x:v>
      </x:c>
      <x:c r="H739" s="7" t="n">
        <x:f>IF(F739=0,"n.a.",100*(F739-G739)/F739)</x:f>
        <x:v>0</x:v>
      </x:c>
      <x:c r="I739" s="7" t="n">
        <x:f>F739-G739</x:f>
        <x:v>0</x:v>
      </x:c>
      <x:c r="J739" s="8" t="n">
        <x:v>0.28222222222222204</x:v>
      </x:c>
      <x:c r="K739" s="8" t="n">
        <x:v>0.28222222222222204</x:v>
      </x:c>
      <x:c r="L739" s="8" t="n">
        <x:v>0</x:v>
      </x:c>
      <x:c r="M739" s="7" t="n">
        <x:v>0</x:v>
      </x:c>
      <x:c r="N739" s="2" t="str">
        <x:v>not_invoked</x:v>
      </x:c>
      <x:c r="O739" s="9" t="str"/>
    </x:row>
    <x:row r="740" ht="18" customHeight="1">
      <x:c r="A740" s="2" t="str">
        <x:v>controlled_n5_off_peak_3</x:v>
      </x:c>
      <x:c r="B740" s="2" t="str">
        <x:v>QAOA</x:v>
      </x:c>
      <x:c r="C740" s="2" t="n">
        <x:v>789</x:v>
      </x:c>
      <x:c r="D740" s="2" t="str">
        <x:v>no_congestion</x:v>
      </x:c>
      <x:c r="E740" s="2" t="n">
        <x:v>0</x:v>
      </x:c>
      <x:c r="F740" s="7" t="n">
        <x:v>40</x:v>
      </x:c>
      <x:c r="G740" s="7" t="n">
        <x:v>40</x:v>
      </x:c>
      <x:c r="H740" s="7" t="n">
        <x:f>IF(F740=0,"n.a.",100*(F740-G740)/F740)</x:f>
        <x:v>0</x:v>
      </x:c>
      <x:c r="I740" s="7" t="n">
        <x:f>F740-G740</x:f>
        <x:v>0</x:v>
      </x:c>
      <x:c r="J740" s="8" t="n">
        <x:v>0.28222222222222204</x:v>
      </x:c>
      <x:c r="K740" s="8" t="n">
        <x:v>0.28222222222222204</x:v>
      </x:c>
      <x:c r="L740" s="8" t="n">
        <x:v>0</x:v>
      </x:c>
      <x:c r="M740" s="7" t="n">
        <x:v>0</x:v>
      </x:c>
      <x:c r="N740" s="2" t="str">
        <x:v>not_invoked</x:v>
      </x:c>
      <x:c r="O740" s="9" t="str"/>
    </x:row>
    <x:row r="741" ht="18" customHeight="1">
      <x:c r="A741" s="2" t="str">
        <x:v>controlled_n5_off_peak_3</x:v>
      </x:c>
      <x:c r="B741" s="2" t="str">
        <x:v>BPSO</x:v>
      </x:c>
      <x:c r="C741" s="2" t="n">
        <x:v>2026</x:v>
      </x:c>
      <x:c r="D741" s="2" t="str">
        <x:v>no_congestion</x:v>
      </x:c>
      <x:c r="E741" s="2" t="n">
        <x:v>0</x:v>
      </x:c>
      <x:c r="F741" s="7" t="n">
        <x:v>40</x:v>
      </x:c>
      <x:c r="G741" s="7" t="n">
        <x:v>40</x:v>
      </x:c>
      <x:c r="H741" s="7" t="n">
        <x:f>IF(F741=0,"n.a.",100*(F741-G741)/F741)</x:f>
        <x:v>0</x:v>
      </x:c>
      <x:c r="I741" s="7" t="n">
        <x:f>F741-G741</x:f>
        <x:v>0</x:v>
      </x:c>
      <x:c r="J741" s="8" t="n">
        <x:v>0.28222222222222204</x:v>
      </x:c>
      <x:c r="K741" s="8" t="n">
        <x:v>0.28222222222222204</x:v>
      </x:c>
      <x:c r="L741" s="8" t="n">
        <x:v>0</x:v>
      </x:c>
      <x:c r="M741" s="7" t="n">
        <x:v>0</x:v>
      </x:c>
      <x:c r="N741" s="2" t="str">
        <x:v>not_invoked</x:v>
      </x:c>
      <x:c r="O741" s="9" t="str"/>
    </x:row>
    <x:row r="742" ht="18" customHeight="1">
      <x:c r="A742" s="2" t="str">
        <x:v>controlled_n5_off_peak_3</x:v>
      </x:c>
      <x:c r="B742" s="2" t="str">
        <x:v>QAOA</x:v>
      </x:c>
      <x:c r="C742" s="2" t="n">
        <x:v>2026</x:v>
      </x:c>
      <x:c r="D742" s="2" t="str">
        <x:v>no_congestion</x:v>
      </x:c>
      <x:c r="E742" s="2" t="n">
        <x:v>0</x:v>
      </x:c>
      <x:c r="F742" s="7" t="n">
        <x:v>40</x:v>
      </x:c>
      <x:c r="G742" s="7" t="n">
        <x:v>40</x:v>
      </x:c>
      <x:c r="H742" s="7" t="n">
        <x:f>IF(F742=0,"n.a.",100*(F742-G742)/F742)</x:f>
        <x:v>0</x:v>
      </x:c>
      <x:c r="I742" s="7" t="n">
        <x:f>F742-G742</x:f>
        <x:v>0</x:v>
      </x:c>
      <x:c r="J742" s="8" t="n">
        <x:v>0.28222222222222204</x:v>
      </x:c>
      <x:c r="K742" s="8" t="n">
        <x:v>0.28222222222222204</x:v>
      </x:c>
      <x:c r="L742" s="8" t="n">
        <x:v>0</x:v>
      </x:c>
      <x:c r="M742" s="7" t="n">
        <x:v>0</x:v>
      </x:c>
      <x:c r="N742" s="2" t="str">
        <x:v>not_invoked</x:v>
      </x:c>
      <x:c r="O742" s="9" t="str"/>
    </x:row>
    <x:row r="743" ht="18" customHeight="1">
      <x:c r="A743" s="2" t="str">
        <x:v>controlled_n5_threshold_1</x:v>
      </x:c>
      <x:c r="B743" s="2" t="str">
        <x:v>Unmanaged</x:v>
      </x:c>
      <x:c r="C743" s="2"/>
      <x:c r="D743" s="2" t="str">
        <x:v>baseline</x:v>
      </x:c>
      <x:c r="E743" s="2" t="n">
        <x:v>0</x:v>
      </x:c>
      <x:c r="F743" s="7" t="n">
        <x:v>59</x:v>
      </x:c>
      <x:c r="G743" s="7" t="n">
        <x:v>59</x:v>
      </x:c>
      <x:c r="H743" s="7" t="n">
        <x:f>IF(F743=0,"n.a.",100*(F743-G743)/F743)</x:f>
        <x:v>0</x:v>
      </x:c>
      <x:c r="I743" s="7" t="n">
        <x:f>F743-G743</x:f>
        <x:v>0</x:v>
      </x:c>
      <x:c r="J743" s="8"/>
      <x:c r="K743" s="8" t="n">
        <x:v>0.9759635555555557</x:v>
      </x:c>
      <x:c r="L743" s="8"/>
      <x:c r="M743" s="7"/>
      <x:c r="N743" s="2" t="str">
        <x:v>unmanaged_input</x:v>
      </x:c>
      <x:c r="O743" s="9"/>
    </x:row>
    <x:row r="744" ht="18" customHeight="1">
      <x:c r="A744" s="2" t="str">
        <x:v>controlled_n5_threshold_1</x:v>
      </x:c>
      <x:c r="B744" s="2" t="str">
        <x:v>Exact J</x:v>
      </x:c>
      <x:c r="C744" s="2"/>
      <x:c r="D744" s="2" t="str">
        <x:v>no_congestion</x:v>
      </x:c>
      <x:c r="E744" s="2" t="n">
        <x:v>0</x:v>
      </x:c>
      <x:c r="F744" s="7" t="n">
        <x:v>59</x:v>
      </x:c>
      <x:c r="G744" s="7" t="n">
        <x:v>59</x:v>
      </x:c>
      <x:c r="H744" s="7" t="n">
        <x:f>IF(F744=0,"n.a.",100*(F744-G744)/F744)</x:f>
        <x:v>0</x:v>
      </x:c>
      <x:c r="I744" s="7" t="n">
        <x:f>F744-G744</x:f>
        <x:v>0</x:v>
      </x:c>
      <x:c r="J744" s="8" t="n">
        <x:v>0.9759635555555557</x:v>
      </x:c>
      <x:c r="K744" s="8" t="n">
        <x:v>0.9759635555555557</x:v>
      </x:c>
      <x:c r="L744" s="8" t="n">
        <x:v>0</x:v>
      </x:c>
      <x:c r="M744" s="7" t="n">
        <x:v>0</x:v>
      </x:c>
      <x:c r="N744" s="2" t="str">
        <x:v>not_invoked</x:v>
      </x:c>
      <x:c r="O744" s="9" t="str"/>
    </x:row>
    <x:row r="745" ht="18" customHeight="1">
      <x:c r="A745" s="2" t="str">
        <x:v>controlled_n5_threshold_1</x:v>
      </x:c>
      <x:c r="B745" s="2" t="str">
        <x:v>Exact peak</x:v>
      </x:c>
      <x:c r="C745" s="2"/>
      <x:c r="D745" s="2" t="str">
        <x:v>no_congestion</x:v>
      </x:c>
      <x:c r="E745" s="2" t="n">
        <x:v>0</x:v>
      </x:c>
      <x:c r="F745" s="7" t="n">
        <x:v>59</x:v>
      </x:c>
      <x:c r="G745" s="7" t="n">
        <x:v>59</x:v>
      </x:c>
      <x:c r="H745" s="7" t="n">
        <x:f>IF(F745=0,"n.a.",100*(F745-G745)/F745)</x:f>
        <x:v>0</x:v>
      </x:c>
      <x:c r="I745" s="7" t="n">
        <x:f>F745-G745</x:f>
        <x:v>0</x:v>
      </x:c>
      <x:c r="J745" s="8" t="n">
        <x:v>0.9759635555555557</x:v>
      </x:c>
      <x:c r="K745" s="8" t="n">
        <x:v>0.9759635555555557</x:v>
      </x:c>
      <x:c r="L745" s="8" t="n">
        <x:v>0</x:v>
      </x:c>
      <x:c r="M745" s="7" t="n">
        <x:v>0</x:v>
      </x:c>
      <x:c r="N745" s="2" t="str">
        <x:v>not_invoked</x:v>
      </x:c>
      <x:c r="O745" s="9" t="str"/>
    </x:row>
    <x:row r="746" ht="18" customHeight="1">
      <x:c r="A746" s="2" t="str">
        <x:v>controlled_n5_threshold_1</x:v>
      </x:c>
      <x:c r="B746" s="2" t="str">
        <x:v>BPSO</x:v>
      </x:c>
      <x:c r="C746" s="2" t="n">
        <x:v>42</x:v>
      </x:c>
      <x:c r="D746" s="2" t="str">
        <x:v>no_congestion</x:v>
      </x:c>
      <x:c r="E746" s="2" t="n">
        <x:v>0</x:v>
      </x:c>
      <x:c r="F746" s="7" t="n">
        <x:v>59</x:v>
      </x:c>
      <x:c r="G746" s="7" t="n">
        <x:v>59</x:v>
      </x:c>
      <x:c r="H746" s="7" t="n">
        <x:f>IF(F746=0,"n.a.",100*(F746-G746)/F746)</x:f>
        <x:v>0</x:v>
      </x:c>
      <x:c r="I746" s="7" t="n">
        <x:f>F746-G746</x:f>
        <x:v>0</x:v>
      </x:c>
      <x:c r="J746" s="8" t="n">
        <x:v>0.9759635555555557</x:v>
      </x:c>
      <x:c r="K746" s="8" t="n">
        <x:v>0.9759635555555557</x:v>
      </x:c>
      <x:c r="L746" s="8" t="n">
        <x:v>0</x:v>
      </x:c>
      <x:c r="M746" s="7" t="n">
        <x:v>0</x:v>
      </x:c>
      <x:c r="N746" s="2" t="str">
        <x:v>not_invoked</x:v>
      </x:c>
      <x:c r="O746" s="9" t="str"/>
    </x:row>
    <x:row r="747" ht="18" customHeight="1">
      <x:c r="A747" s="2" t="str">
        <x:v>controlled_n5_threshold_1</x:v>
      </x:c>
      <x:c r="B747" s="2" t="str">
        <x:v>QAOA</x:v>
      </x:c>
      <x:c r="C747" s="2" t="n">
        <x:v>42</x:v>
      </x:c>
      <x:c r="D747" s="2" t="str">
        <x:v>no_congestion</x:v>
      </x:c>
      <x:c r="E747" s="2" t="n">
        <x:v>0</x:v>
      </x:c>
      <x:c r="F747" s="7" t="n">
        <x:v>59</x:v>
      </x:c>
      <x:c r="G747" s="7" t="n">
        <x:v>59</x:v>
      </x:c>
      <x:c r="H747" s="7" t="n">
        <x:f>IF(F747=0,"n.a.",100*(F747-G747)/F747)</x:f>
        <x:v>0</x:v>
      </x:c>
      <x:c r="I747" s="7" t="n">
        <x:f>F747-G747</x:f>
        <x:v>0</x:v>
      </x:c>
      <x:c r="J747" s="8" t="n">
        <x:v>0.9759635555555557</x:v>
      </x:c>
      <x:c r="K747" s="8" t="n">
        <x:v>0.9759635555555557</x:v>
      </x:c>
      <x:c r="L747" s="8" t="n">
        <x:v>0</x:v>
      </x:c>
      <x:c r="M747" s="7" t="n">
        <x:v>0</x:v>
      </x:c>
      <x:c r="N747" s="2" t="str">
        <x:v>not_invoked</x:v>
      </x:c>
      <x:c r="O747" s="9" t="str"/>
    </x:row>
    <x:row r="748" ht="18" customHeight="1">
      <x:c r="A748" s="2" t="str">
        <x:v>controlled_n5_threshold_1</x:v>
      </x:c>
      <x:c r="B748" s="2" t="str">
        <x:v>BPSO</x:v>
      </x:c>
      <x:c r="C748" s="2" t="n">
        <x:v>123</x:v>
      </x:c>
      <x:c r="D748" s="2" t="str">
        <x:v>no_congestion</x:v>
      </x:c>
      <x:c r="E748" s="2" t="n">
        <x:v>0</x:v>
      </x:c>
      <x:c r="F748" s="7" t="n">
        <x:v>59</x:v>
      </x:c>
      <x:c r="G748" s="7" t="n">
        <x:v>59</x:v>
      </x:c>
      <x:c r="H748" s="7" t="n">
        <x:f>IF(F748=0,"n.a.",100*(F748-G748)/F748)</x:f>
        <x:v>0</x:v>
      </x:c>
      <x:c r="I748" s="7" t="n">
        <x:f>F748-G748</x:f>
        <x:v>0</x:v>
      </x:c>
      <x:c r="J748" s="8" t="n">
        <x:v>0.9759635555555557</x:v>
      </x:c>
      <x:c r="K748" s="8" t="n">
        <x:v>0.9759635555555557</x:v>
      </x:c>
      <x:c r="L748" s="8" t="n">
        <x:v>0</x:v>
      </x:c>
      <x:c r="M748" s="7" t="n">
        <x:v>0</x:v>
      </x:c>
      <x:c r="N748" s="2" t="str">
        <x:v>not_invoked</x:v>
      </x:c>
      <x:c r="O748" s="9" t="str"/>
    </x:row>
    <x:row r="749" ht="18" customHeight="1">
      <x:c r="A749" s="2" t="str">
        <x:v>controlled_n5_threshold_1</x:v>
      </x:c>
      <x:c r="B749" s="2" t="str">
        <x:v>QAOA</x:v>
      </x:c>
      <x:c r="C749" s="2" t="n">
        <x:v>123</x:v>
      </x:c>
      <x:c r="D749" s="2" t="str">
        <x:v>no_congestion</x:v>
      </x:c>
      <x:c r="E749" s="2" t="n">
        <x:v>0</x:v>
      </x:c>
      <x:c r="F749" s="7" t="n">
        <x:v>59</x:v>
      </x:c>
      <x:c r="G749" s="7" t="n">
        <x:v>59</x:v>
      </x:c>
      <x:c r="H749" s="7" t="n">
        <x:f>IF(F749=0,"n.a.",100*(F749-G749)/F749)</x:f>
        <x:v>0</x:v>
      </x:c>
      <x:c r="I749" s="7" t="n">
        <x:f>F749-G749</x:f>
        <x:v>0</x:v>
      </x:c>
      <x:c r="J749" s="8" t="n">
        <x:v>0.9759635555555557</x:v>
      </x:c>
      <x:c r="K749" s="8" t="n">
        <x:v>0.9759635555555557</x:v>
      </x:c>
      <x:c r="L749" s="8" t="n">
        <x:v>0</x:v>
      </x:c>
      <x:c r="M749" s="7" t="n">
        <x:v>0</x:v>
      </x:c>
      <x:c r="N749" s="2" t="str">
        <x:v>not_invoked</x:v>
      </x:c>
      <x:c r="O749" s="9" t="str"/>
    </x:row>
    <x:row r="750" ht="18" customHeight="1">
      <x:c r="A750" s="2" t="str">
        <x:v>controlled_n5_threshold_1</x:v>
      </x:c>
      <x:c r="B750" s="2" t="str">
        <x:v>BPSO</x:v>
      </x:c>
      <x:c r="C750" s="2" t="n">
        <x:v>456</x:v>
      </x:c>
      <x:c r="D750" s="2" t="str">
        <x:v>no_congestion</x:v>
      </x:c>
      <x:c r="E750" s="2" t="n">
        <x:v>0</x:v>
      </x:c>
      <x:c r="F750" s="7" t="n">
        <x:v>59</x:v>
      </x:c>
      <x:c r="G750" s="7" t="n">
        <x:v>59</x:v>
      </x:c>
      <x:c r="H750" s="7" t="n">
        <x:f>IF(F750=0,"n.a.",100*(F750-G750)/F750)</x:f>
        <x:v>0</x:v>
      </x:c>
      <x:c r="I750" s="7" t="n">
        <x:f>F750-G750</x:f>
        <x:v>0</x:v>
      </x:c>
      <x:c r="J750" s="8" t="n">
        <x:v>0.9759635555555557</x:v>
      </x:c>
      <x:c r="K750" s="8" t="n">
        <x:v>0.9759635555555557</x:v>
      </x:c>
      <x:c r="L750" s="8" t="n">
        <x:v>0</x:v>
      </x:c>
      <x:c r="M750" s="7" t="n">
        <x:v>0</x:v>
      </x:c>
      <x:c r="N750" s="2" t="str">
        <x:v>not_invoked</x:v>
      </x:c>
      <x:c r="O750" s="9" t="str"/>
    </x:row>
    <x:row r="751" ht="18" customHeight="1">
      <x:c r="A751" s="2" t="str">
        <x:v>controlled_n5_threshold_1</x:v>
      </x:c>
      <x:c r="B751" s="2" t="str">
        <x:v>QAOA</x:v>
      </x:c>
      <x:c r="C751" s="2" t="n">
        <x:v>456</x:v>
      </x:c>
      <x:c r="D751" s="2" t="str">
        <x:v>no_congestion</x:v>
      </x:c>
      <x:c r="E751" s="2" t="n">
        <x:v>0</x:v>
      </x:c>
      <x:c r="F751" s="7" t="n">
        <x:v>59</x:v>
      </x:c>
      <x:c r="G751" s="7" t="n">
        <x:v>59</x:v>
      </x:c>
      <x:c r="H751" s="7" t="n">
        <x:f>IF(F751=0,"n.a.",100*(F751-G751)/F751)</x:f>
        <x:v>0</x:v>
      </x:c>
      <x:c r="I751" s="7" t="n">
        <x:f>F751-G751</x:f>
        <x:v>0</x:v>
      </x:c>
      <x:c r="J751" s="8" t="n">
        <x:v>0.9759635555555557</x:v>
      </x:c>
      <x:c r="K751" s="8" t="n">
        <x:v>0.9759635555555557</x:v>
      </x:c>
      <x:c r="L751" s="8" t="n">
        <x:v>0</x:v>
      </x:c>
      <x:c r="M751" s="7" t="n">
        <x:v>0</x:v>
      </x:c>
      <x:c r="N751" s="2" t="str">
        <x:v>not_invoked</x:v>
      </x:c>
      <x:c r="O751" s="9" t="str"/>
    </x:row>
    <x:row r="752" ht="18" customHeight="1">
      <x:c r="A752" s="2" t="str">
        <x:v>controlled_n5_threshold_1</x:v>
      </x:c>
      <x:c r="B752" s="2" t="str">
        <x:v>BPSO</x:v>
      </x:c>
      <x:c r="C752" s="2" t="n">
        <x:v>789</x:v>
      </x:c>
      <x:c r="D752" s="2" t="str">
        <x:v>no_congestion</x:v>
      </x:c>
      <x:c r="E752" s="2" t="n">
        <x:v>0</x:v>
      </x:c>
      <x:c r="F752" s="7" t="n">
        <x:v>59</x:v>
      </x:c>
      <x:c r="G752" s="7" t="n">
        <x:v>59</x:v>
      </x:c>
      <x:c r="H752" s="7" t="n">
        <x:f>IF(F752=0,"n.a.",100*(F752-G752)/F752)</x:f>
        <x:v>0</x:v>
      </x:c>
      <x:c r="I752" s="7" t="n">
        <x:f>F752-G752</x:f>
        <x:v>0</x:v>
      </x:c>
      <x:c r="J752" s="8" t="n">
        <x:v>0.9759635555555557</x:v>
      </x:c>
      <x:c r="K752" s="8" t="n">
        <x:v>0.9759635555555557</x:v>
      </x:c>
      <x:c r="L752" s="8" t="n">
        <x:v>0</x:v>
      </x:c>
      <x:c r="M752" s="7" t="n">
        <x:v>0</x:v>
      </x:c>
      <x:c r="N752" s="2" t="str">
        <x:v>not_invoked</x:v>
      </x:c>
      <x:c r="O752" s="9" t="str"/>
    </x:row>
    <x:row r="753" ht="18" customHeight="1">
      <x:c r="A753" s="2" t="str">
        <x:v>controlled_n5_threshold_1</x:v>
      </x:c>
      <x:c r="B753" s="2" t="str">
        <x:v>QAOA</x:v>
      </x:c>
      <x:c r="C753" s="2" t="n">
        <x:v>789</x:v>
      </x:c>
      <x:c r="D753" s="2" t="str">
        <x:v>no_congestion</x:v>
      </x:c>
      <x:c r="E753" s="2" t="n">
        <x:v>0</x:v>
      </x:c>
      <x:c r="F753" s="7" t="n">
        <x:v>59</x:v>
      </x:c>
      <x:c r="G753" s="7" t="n">
        <x:v>59</x:v>
      </x:c>
      <x:c r="H753" s="7" t="n">
        <x:f>IF(F753=0,"n.a.",100*(F753-G753)/F753)</x:f>
        <x:v>0</x:v>
      </x:c>
      <x:c r="I753" s="7" t="n">
        <x:f>F753-G753</x:f>
        <x:v>0</x:v>
      </x:c>
      <x:c r="J753" s="8" t="n">
        <x:v>0.9759635555555557</x:v>
      </x:c>
      <x:c r="K753" s="8" t="n">
        <x:v>0.9759635555555557</x:v>
      </x:c>
      <x:c r="L753" s="8" t="n">
        <x:v>0</x:v>
      </x:c>
      <x:c r="M753" s="7" t="n">
        <x:v>0</x:v>
      </x:c>
      <x:c r="N753" s="2" t="str">
        <x:v>not_invoked</x:v>
      </x:c>
      <x:c r="O753" s="9" t="str"/>
    </x:row>
    <x:row r="754" ht="18" customHeight="1">
      <x:c r="A754" s="2" t="str">
        <x:v>controlled_n5_threshold_1</x:v>
      </x:c>
      <x:c r="B754" s="2" t="str">
        <x:v>BPSO</x:v>
      </x:c>
      <x:c r="C754" s="2" t="n">
        <x:v>2026</x:v>
      </x:c>
      <x:c r="D754" s="2" t="str">
        <x:v>no_congestion</x:v>
      </x:c>
      <x:c r="E754" s="2" t="n">
        <x:v>0</x:v>
      </x:c>
      <x:c r="F754" s="7" t="n">
        <x:v>59</x:v>
      </x:c>
      <x:c r="G754" s="7" t="n">
        <x:v>59</x:v>
      </x:c>
      <x:c r="H754" s="7" t="n">
        <x:f>IF(F754=0,"n.a.",100*(F754-G754)/F754)</x:f>
        <x:v>0</x:v>
      </x:c>
      <x:c r="I754" s="7" t="n">
        <x:f>F754-G754</x:f>
        <x:v>0</x:v>
      </x:c>
      <x:c r="J754" s="8" t="n">
        <x:v>0.9759635555555557</x:v>
      </x:c>
      <x:c r="K754" s="8" t="n">
        <x:v>0.9759635555555557</x:v>
      </x:c>
      <x:c r="L754" s="8" t="n">
        <x:v>0</x:v>
      </x:c>
      <x:c r="M754" s="7" t="n">
        <x:v>0</x:v>
      </x:c>
      <x:c r="N754" s="2" t="str">
        <x:v>not_invoked</x:v>
      </x:c>
      <x:c r="O754" s="9" t="str"/>
    </x:row>
    <x:row r="755" ht="18" customHeight="1">
      <x:c r="A755" s="2" t="str">
        <x:v>controlled_n5_threshold_1</x:v>
      </x:c>
      <x:c r="B755" s="2" t="str">
        <x:v>QAOA</x:v>
      </x:c>
      <x:c r="C755" s="2" t="n">
        <x:v>2026</x:v>
      </x:c>
      <x:c r="D755" s="2" t="str">
        <x:v>no_congestion</x:v>
      </x:c>
      <x:c r="E755" s="2" t="n">
        <x:v>0</x:v>
      </x:c>
      <x:c r="F755" s="7" t="n">
        <x:v>59</x:v>
      </x:c>
      <x:c r="G755" s="7" t="n">
        <x:v>59</x:v>
      </x:c>
      <x:c r="H755" s="7" t="n">
        <x:f>IF(F755=0,"n.a.",100*(F755-G755)/F755)</x:f>
        <x:v>0</x:v>
      </x:c>
      <x:c r="I755" s="7" t="n">
        <x:f>F755-G755</x:f>
        <x:v>0</x:v>
      </x:c>
      <x:c r="J755" s="8" t="n">
        <x:v>0.9759635555555557</x:v>
      </x:c>
      <x:c r="K755" s="8" t="n">
        <x:v>0.9759635555555557</x:v>
      </x:c>
      <x:c r="L755" s="8" t="n">
        <x:v>0</x:v>
      </x:c>
      <x:c r="M755" s="7" t="n">
        <x:v>0</x:v>
      </x:c>
      <x:c r="N755" s="2" t="str">
        <x:v>not_invoked</x:v>
      </x:c>
      <x:c r="O755" s="9" t="str"/>
    </x:row>
    <x:row r="756" ht="18" customHeight="1">
      <x:c r="A756" s="2" t="str">
        <x:v>controlled_n5_threshold_2</x:v>
      </x:c>
      <x:c r="B756" s="2" t="str">
        <x:v>Unmanaged</x:v>
      </x:c>
      <x:c r="C756" s="2"/>
      <x:c r="D756" s="2" t="str">
        <x:v>baseline</x:v>
      </x:c>
      <x:c r="E756" s="2" t="n">
        <x:v>0</x:v>
      </x:c>
      <x:c r="F756" s="7" t="n">
        <x:v>60</x:v>
      </x:c>
      <x:c r="G756" s="7" t="n">
        <x:v>60</x:v>
      </x:c>
      <x:c r="H756" s="7" t="n">
        <x:f>IF(F756=0,"n.a.",100*(F756-G756)/F756)</x:f>
        <x:v>0</x:v>
      </x:c>
      <x:c r="I756" s="7" t="n">
        <x:f>F756-G756</x:f>
        <x:v>0</x:v>
      </x:c>
      <x:c r="J756" s="8"/>
      <x:c r="K756" s="8" t="n">
        <x:v>0.981888888888889</x:v>
      </x:c>
      <x:c r="L756" s="8"/>
      <x:c r="M756" s="7"/>
      <x:c r="N756" s="2" t="str">
        <x:v>unmanaged_input</x:v>
      </x:c>
      <x:c r="O756" s="9"/>
    </x:row>
    <x:row r="757" ht="18" customHeight="1">
      <x:c r="A757" s="2" t="str">
        <x:v>controlled_n5_threshold_2</x:v>
      </x:c>
      <x:c r="B757" s="2" t="str">
        <x:v>Exact J</x:v>
      </x:c>
      <x:c r="C757" s="2"/>
      <x:c r="D757" s="2" t="str">
        <x:v>no_congestion</x:v>
      </x:c>
      <x:c r="E757" s="2" t="n">
        <x:v>0</x:v>
      </x:c>
      <x:c r="F757" s="7" t="n">
        <x:v>60</x:v>
      </x:c>
      <x:c r="G757" s="7" t="n">
        <x:v>60</x:v>
      </x:c>
      <x:c r="H757" s="7" t="n">
        <x:f>IF(F757=0,"n.a.",100*(F757-G757)/F757)</x:f>
        <x:v>0</x:v>
      </x:c>
      <x:c r="I757" s="7" t="n">
        <x:f>F757-G757</x:f>
        <x:v>0</x:v>
      </x:c>
      <x:c r="J757" s="8" t="n">
        <x:v>0.981888888888889</x:v>
      </x:c>
      <x:c r="K757" s="8" t="n">
        <x:v>0.981888888888889</x:v>
      </x:c>
      <x:c r="L757" s="8" t="n">
        <x:v>0</x:v>
      </x:c>
      <x:c r="M757" s="7" t="n">
        <x:v>0</x:v>
      </x:c>
      <x:c r="N757" s="2" t="str">
        <x:v>not_invoked</x:v>
      </x:c>
      <x:c r="O757" s="9" t="str"/>
    </x:row>
    <x:row r="758" ht="18" customHeight="1">
      <x:c r="A758" s="2" t="str">
        <x:v>controlled_n5_threshold_2</x:v>
      </x:c>
      <x:c r="B758" s="2" t="str">
        <x:v>Exact peak</x:v>
      </x:c>
      <x:c r="C758" s="2"/>
      <x:c r="D758" s="2" t="str">
        <x:v>no_congestion</x:v>
      </x:c>
      <x:c r="E758" s="2" t="n">
        <x:v>0</x:v>
      </x:c>
      <x:c r="F758" s="7" t="n">
        <x:v>60</x:v>
      </x:c>
      <x:c r="G758" s="7" t="n">
        <x:v>60</x:v>
      </x:c>
      <x:c r="H758" s="7" t="n">
        <x:f>IF(F758=0,"n.a.",100*(F758-G758)/F758)</x:f>
        <x:v>0</x:v>
      </x:c>
      <x:c r="I758" s="7" t="n">
        <x:f>F758-G758</x:f>
        <x:v>0</x:v>
      </x:c>
      <x:c r="J758" s="8" t="n">
        <x:v>0.981888888888889</x:v>
      </x:c>
      <x:c r="K758" s="8" t="n">
        <x:v>0.981888888888889</x:v>
      </x:c>
      <x:c r="L758" s="8" t="n">
        <x:v>0</x:v>
      </x:c>
      <x:c r="M758" s="7" t="n">
        <x:v>0</x:v>
      </x:c>
      <x:c r="N758" s="2" t="str">
        <x:v>not_invoked</x:v>
      </x:c>
      <x:c r="O758" s="9" t="str"/>
    </x:row>
    <x:row r="759" ht="18" customHeight="1">
      <x:c r="A759" s="2" t="str">
        <x:v>controlled_n5_threshold_2</x:v>
      </x:c>
      <x:c r="B759" s="2" t="str">
        <x:v>BPSO</x:v>
      </x:c>
      <x:c r="C759" s="2" t="n">
        <x:v>42</x:v>
      </x:c>
      <x:c r="D759" s="2" t="str">
        <x:v>no_congestion</x:v>
      </x:c>
      <x:c r="E759" s="2" t="n">
        <x:v>0</x:v>
      </x:c>
      <x:c r="F759" s="7" t="n">
        <x:v>60</x:v>
      </x:c>
      <x:c r="G759" s="7" t="n">
        <x:v>60</x:v>
      </x:c>
      <x:c r="H759" s="7" t="n">
        <x:f>IF(F759=0,"n.a.",100*(F759-G759)/F759)</x:f>
        <x:v>0</x:v>
      </x:c>
      <x:c r="I759" s="7" t="n">
        <x:f>F759-G759</x:f>
        <x:v>0</x:v>
      </x:c>
      <x:c r="J759" s="8" t="n">
        <x:v>0.981888888888889</x:v>
      </x:c>
      <x:c r="K759" s="8" t="n">
        <x:v>0.981888888888889</x:v>
      </x:c>
      <x:c r="L759" s="8" t="n">
        <x:v>0</x:v>
      </x:c>
      <x:c r="M759" s="7" t="n">
        <x:v>0</x:v>
      </x:c>
      <x:c r="N759" s="2" t="str">
        <x:v>not_invoked</x:v>
      </x:c>
      <x:c r="O759" s="9" t="str"/>
    </x:row>
    <x:row r="760" ht="18" customHeight="1">
      <x:c r="A760" s="2" t="str">
        <x:v>controlled_n5_threshold_2</x:v>
      </x:c>
      <x:c r="B760" s="2" t="str">
        <x:v>QAOA</x:v>
      </x:c>
      <x:c r="C760" s="2" t="n">
        <x:v>42</x:v>
      </x:c>
      <x:c r="D760" s="2" t="str">
        <x:v>no_congestion</x:v>
      </x:c>
      <x:c r="E760" s="2" t="n">
        <x:v>0</x:v>
      </x:c>
      <x:c r="F760" s="7" t="n">
        <x:v>60</x:v>
      </x:c>
      <x:c r="G760" s="7" t="n">
        <x:v>60</x:v>
      </x:c>
      <x:c r="H760" s="7" t="n">
        <x:f>IF(F760=0,"n.a.",100*(F760-G760)/F760)</x:f>
        <x:v>0</x:v>
      </x:c>
      <x:c r="I760" s="7" t="n">
        <x:f>F760-G760</x:f>
        <x:v>0</x:v>
      </x:c>
      <x:c r="J760" s="8" t="n">
        <x:v>0.981888888888889</x:v>
      </x:c>
      <x:c r="K760" s="8" t="n">
        <x:v>0.981888888888889</x:v>
      </x:c>
      <x:c r="L760" s="8" t="n">
        <x:v>0</x:v>
      </x:c>
      <x:c r="M760" s="7" t="n">
        <x:v>0</x:v>
      </x:c>
      <x:c r="N760" s="2" t="str">
        <x:v>not_invoked</x:v>
      </x:c>
      <x:c r="O760" s="9" t="str"/>
    </x:row>
    <x:row r="761" ht="18" customHeight="1">
      <x:c r="A761" s="2" t="str">
        <x:v>controlled_n5_threshold_2</x:v>
      </x:c>
      <x:c r="B761" s="2" t="str">
        <x:v>BPSO</x:v>
      </x:c>
      <x:c r="C761" s="2" t="n">
        <x:v>123</x:v>
      </x:c>
      <x:c r="D761" s="2" t="str">
        <x:v>no_congestion</x:v>
      </x:c>
      <x:c r="E761" s="2" t="n">
        <x:v>0</x:v>
      </x:c>
      <x:c r="F761" s="7" t="n">
        <x:v>60</x:v>
      </x:c>
      <x:c r="G761" s="7" t="n">
        <x:v>60</x:v>
      </x:c>
      <x:c r="H761" s="7" t="n">
        <x:f>IF(F761=0,"n.a.",100*(F761-G761)/F761)</x:f>
        <x:v>0</x:v>
      </x:c>
      <x:c r="I761" s="7" t="n">
        <x:f>F761-G761</x:f>
        <x:v>0</x:v>
      </x:c>
      <x:c r="J761" s="8" t="n">
        <x:v>0.981888888888889</x:v>
      </x:c>
      <x:c r="K761" s="8" t="n">
        <x:v>0.981888888888889</x:v>
      </x:c>
      <x:c r="L761" s="8" t="n">
        <x:v>0</x:v>
      </x:c>
      <x:c r="M761" s="7" t="n">
        <x:v>0</x:v>
      </x:c>
      <x:c r="N761" s="2" t="str">
        <x:v>not_invoked</x:v>
      </x:c>
      <x:c r="O761" s="9" t="str"/>
    </x:row>
    <x:row r="762" ht="18" customHeight="1">
      <x:c r="A762" s="2" t="str">
        <x:v>controlled_n5_threshold_2</x:v>
      </x:c>
      <x:c r="B762" s="2" t="str">
        <x:v>QAOA</x:v>
      </x:c>
      <x:c r="C762" s="2" t="n">
        <x:v>123</x:v>
      </x:c>
      <x:c r="D762" s="2" t="str">
        <x:v>no_congestion</x:v>
      </x:c>
      <x:c r="E762" s="2" t="n">
        <x:v>0</x:v>
      </x:c>
      <x:c r="F762" s="7" t="n">
        <x:v>60</x:v>
      </x:c>
      <x:c r="G762" s="7" t="n">
        <x:v>60</x:v>
      </x:c>
      <x:c r="H762" s="7" t="n">
        <x:f>IF(F762=0,"n.a.",100*(F762-G762)/F762)</x:f>
        <x:v>0</x:v>
      </x:c>
      <x:c r="I762" s="7" t="n">
        <x:f>F762-G762</x:f>
        <x:v>0</x:v>
      </x:c>
      <x:c r="J762" s="8" t="n">
        <x:v>0.981888888888889</x:v>
      </x:c>
      <x:c r="K762" s="8" t="n">
        <x:v>0.981888888888889</x:v>
      </x:c>
      <x:c r="L762" s="8" t="n">
        <x:v>0</x:v>
      </x:c>
      <x:c r="M762" s="7" t="n">
        <x:v>0</x:v>
      </x:c>
      <x:c r="N762" s="2" t="str">
        <x:v>not_invoked</x:v>
      </x:c>
      <x:c r="O762" s="9" t="str"/>
    </x:row>
    <x:row r="763" ht="18" customHeight="1">
      <x:c r="A763" s="2" t="str">
        <x:v>controlled_n5_threshold_2</x:v>
      </x:c>
      <x:c r="B763" s="2" t="str">
        <x:v>BPSO</x:v>
      </x:c>
      <x:c r="C763" s="2" t="n">
        <x:v>456</x:v>
      </x:c>
      <x:c r="D763" s="2" t="str">
        <x:v>no_congestion</x:v>
      </x:c>
      <x:c r="E763" s="2" t="n">
        <x:v>0</x:v>
      </x:c>
      <x:c r="F763" s="7" t="n">
        <x:v>60</x:v>
      </x:c>
      <x:c r="G763" s="7" t="n">
        <x:v>60</x:v>
      </x:c>
      <x:c r="H763" s="7" t="n">
        <x:f>IF(F763=0,"n.a.",100*(F763-G763)/F763)</x:f>
        <x:v>0</x:v>
      </x:c>
      <x:c r="I763" s="7" t="n">
        <x:f>F763-G763</x:f>
        <x:v>0</x:v>
      </x:c>
      <x:c r="J763" s="8" t="n">
        <x:v>0.981888888888889</x:v>
      </x:c>
      <x:c r="K763" s="8" t="n">
        <x:v>0.981888888888889</x:v>
      </x:c>
      <x:c r="L763" s="8" t="n">
        <x:v>0</x:v>
      </x:c>
      <x:c r="M763" s="7" t="n">
        <x:v>0</x:v>
      </x:c>
      <x:c r="N763" s="2" t="str">
        <x:v>not_invoked</x:v>
      </x:c>
      <x:c r="O763" s="9" t="str"/>
    </x:row>
    <x:row r="764" ht="18" customHeight="1">
      <x:c r="A764" s="2" t="str">
        <x:v>controlled_n5_threshold_2</x:v>
      </x:c>
      <x:c r="B764" s="2" t="str">
        <x:v>QAOA</x:v>
      </x:c>
      <x:c r="C764" s="2" t="n">
        <x:v>456</x:v>
      </x:c>
      <x:c r="D764" s="2" t="str">
        <x:v>no_congestion</x:v>
      </x:c>
      <x:c r="E764" s="2" t="n">
        <x:v>0</x:v>
      </x:c>
      <x:c r="F764" s="7" t="n">
        <x:v>60</x:v>
      </x:c>
      <x:c r="G764" s="7" t="n">
        <x:v>60</x:v>
      </x:c>
      <x:c r="H764" s="7" t="n">
        <x:f>IF(F764=0,"n.a.",100*(F764-G764)/F764)</x:f>
        <x:v>0</x:v>
      </x:c>
      <x:c r="I764" s="7" t="n">
        <x:f>F764-G764</x:f>
        <x:v>0</x:v>
      </x:c>
      <x:c r="J764" s="8" t="n">
        <x:v>0.981888888888889</x:v>
      </x:c>
      <x:c r="K764" s="8" t="n">
        <x:v>0.981888888888889</x:v>
      </x:c>
      <x:c r="L764" s="8" t="n">
        <x:v>0</x:v>
      </x:c>
      <x:c r="M764" s="7" t="n">
        <x:v>0</x:v>
      </x:c>
      <x:c r="N764" s="2" t="str">
        <x:v>not_invoked</x:v>
      </x:c>
      <x:c r="O764" s="9" t="str"/>
    </x:row>
    <x:row r="765" ht="18" customHeight="1">
      <x:c r="A765" s="2" t="str">
        <x:v>controlled_n5_threshold_2</x:v>
      </x:c>
      <x:c r="B765" s="2" t="str">
        <x:v>BPSO</x:v>
      </x:c>
      <x:c r="C765" s="2" t="n">
        <x:v>789</x:v>
      </x:c>
      <x:c r="D765" s="2" t="str">
        <x:v>no_congestion</x:v>
      </x:c>
      <x:c r="E765" s="2" t="n">
        <x:v>0</x:v>
      </x:c>
      <x:c r="F765" s="7" t="n">
        <x:v>60</x:v>
      </x:c>
      <x:c r="G765" s="7" t="n">
        <x:v>60</x:v>
      </x:c>
      <x:c r="H765" s="7" t="n">
        <x:f>IF(F765=0,"n.a.",100*(F765-G765)/F765)</x:f>
        <x:v>0</x:v>
      </x:c>
      <x:c r="I765" s="7" t="n">
        <x:f>F765-G765</x:f>
        <x:v>0</x:v>
      </x:c>
      <x:c r="J765" s="8" t="n">
        <x:v>0.981888888888889</x:v>
      </x:c>
      <x:c r="K765" s="8" t="n">
        <x:v>0.981888888888889</x:v>
      </x:c>
      <x:c r="L765" s="8" t="n">
        <x:v>0</x:v>
      </x:c>
      <x:c r="M765" s="7" t="n">
        <x:v>0</x:v>
      </x:c>
      <x:c r="N765" s="2" t="str">
        <x:v>not_invoked</x:v>
      </x:c>
      <x:c r="O765" s="9" t="str"/>
    </x:row>
    <x:row r="766" ht="18" customHeight="1">
      <x:c r="A766" s="2" t="str">
        <x:v>controlled_n5_threshold_2</x:v>
      </x:c>
      <x:c r="B766" s="2" t="str">
        <x:v>QAOA</x:v>
      </x:c>
      <x:c r="C766" s="2" t="n">
        <x:v>789</x:v>
      </x:c>
      <x:c r="D766" s="2" t="str">
        <x:v>no_congestion</x:v>
      </x:c>
      <x:c r="E766" s="2" t="n">
        <x:v>0</x:v>
      </x:c>
      <x:c r="F766" s="7" t="n">
        <x:v>60</x:v>
      </x:c>
      <x:c r="G766" s="7" t="n">
        <x:v>60</x:v>
      </x:c>
      <x:c r="H766" s="7" t="n">
        <x:f>IF(F766=0,"n.a.",100*(F766-G766)/F766)</x:f>
        <x:v>0</x:v>
      </x:c>
      <x:c r="I766" s="7" t="n">
        <x:f>F766-G766</x:f>
        <x:v>0</x:v>
      </x:c>
      <x:c r="J766" s="8" t="n">
        <x:v>0.981888888888889</x:v>
      </x:c>
      <x:c r="K766" s="8" t="n">
        <x:v>0.981888888888889</x:v>
      </x:c>
      <x:c r="L766" s="8" t="n">
        <x:v>0</x:v>
      </x:c>
      <x:c r="M766" s="7" t="n">
        <x:v>0</x:v>
      </x:c>
      <x:c r="N766" s="2" t="str">
        <x:v>not_invoked</x:v>
      </x:c>
      <x:c r="O766" s="9" t="str"/>
    </x:row>
    <x:row r="767" ht="18" customHeight="1">
      <x:c r="A767" s="2" t="str">
        <x:v>controlled_n5_threshold_2</x:v>
      </x:c>
      <x:c r="B767" s="2" t="str">
        <x:v>BPSO</x:v>
      </x:c>
      <x:c r="C767" s="2" t="n">
        <x:v>2026</x:v>
      </x:c>
      <x:c r="D767" s="2" t="str">
        <x:v>no_congestion</x:v>
      </x:c>
      <x:c r="E767" s="2" t="n">
        <x:v>0</x:v>
      </x:c>
      <x:c r="F767" s="7" t="n">
        <x:v>60</x:v>
      </x:c>
      <x:c r="G767" s="7" t="n">
        <x:v>60</x:v>
      </x:c>
      <x:c r="H767" s="7" t="n">
        <x:f>IF(F767=0,"n.a.",100*(F767-G767)/F767)</x:f>
        <x:v>0</x:v>
      </x:c>
      <x:c r="I767" s="7" t="n">
        <x:f>F767-G767</x:f>
        <x:v>0</x:v>
      </x:c>
      <x:c r="J767" s="8" t="n">
        <x:v>0.981888888888889</x:v>
      </x:c>
      <x:c r="K767" s="8" t="n">
        <x:v>0.981888888888889</x:v>
      </x:c>
      <x:c r="L767" s="8" t="n">
        <x:v>0</x:v>
      </x:c>
      <x:c r="M767" s="7" t="n">
        <x:v>0</x:v>
      </x:c>
      <x:c r="N767" s="2" t="str">
        <x:v>not_invoked</x:v>
      </x:c>
      <x:c r="O767" s="9" t="str"/>
    </x:row>
    <x:row r="768" ht="18" customHeight="1">
      <x:c r="A768" s="2" t="str">
        <x:v>controlled_n5_threshold_2</x:v>
      </x:c>
      <x:c r="B768" s="2" t="str">
        <x:v>QAOA</x:v>
      </x:c>
      <x:c r="C768" s="2" t="n">
        <x:v>2026</x:v>
      </x:c>
      <x:c r="D768" s="2" t="str">
        <x:v>no_congestion</x:v>
      </x:c>
      <x:c r="E768" s="2" t="n">
        <x:v>0</x:v>
      </x:c>
      <x:c r="F768" s="7" t="n">
        <x:v>60</x:v>
      </x:c>
      <x:c r="G768" s="7" t="n">
        <x:v>60</x:v>
      </x:c>
      <x:c r="H768" s="7" t="n">
        <x:f>IF(F768=0,"n.a.",100*(F768-G768)/F768)</x:f>
        <x:v>0</x:v>
      </x:c>
      <x:c r="I768" s="7" t="n">
        <x:f>F768-G768</x:f>
        <x:v>0</x:v>
      </x:c>
      <x:c r="J768" s="8" t="n">
        <x:v>0.981888888888889</x:v>
      </x:c>
      <x:c r="K768" s="8" t="n">
        <x:v>0.981888888888889</x:v>
      </x:c>
      <x:c r="L768" s="8" t="n">
        <x:v>0</x:v>
      </x:c>
      <x:c r="M768" s="7" t="n">
        <x:v>0</x:v>
      </x:c>
      <x:c r="N768" s="2" t="str">
        <x:v>not_invoked</x:v>
      </x:c>
      <x:c r="O768" s="9" t="str"/>
    </x:row>
    <x:row r="769" ht="18" customHeight="1">
      <x:c r="A769" s="2" t="str">
        <x:v>controlled_n5_threshold_3</x:v>
      </x:c>
      <x:c r="B769" s="2" t="str">
        <x:v>Unmanaged</x:v>
      </x:c>
      <x:c r="C769" s="2"/>
      <x:c r="D769" s="2" t="str">
        <x:v>baseline</x:v>
      </x:c>
      <x:c r="E769" s="2" t="n">
        <x:v>2</x:v>
      </x:c>
      <x:c r="F769" s="7" t="n">
        <x:v>61</x:v>
      </x:c>
      <x:c r="G769" s="7" t="n">
        <x:v>61</x:v>
      </x:c>
      <x:c r="H769" s="7" t="n">
        <x:f>IF(F769=0,"n.a.",100*(F769-G769)/F769)</x:f>
        <x:v>0</x:v>
      </x:c>
      <x:c r="I769" s="7" t="n">
        <x:f>F769-G769</x:f>
        <x:v>0</x:v>
      </x:c>
      <x:c r="J769" s="8"/>
      <x:c r="K769" s="8" t="n">
        <x:v>0.7026212206790126</x:v>
      </x:c>
      <x:c r="L769" s="8"/>
      <x:c r="M769" s="7"/>
      <x:c r="N769" s="2" t="str">
        <x:v>unmanaged_input</x:v>
      </x:c>
      <x:c r="O769" s="9"/>
    </x:row>
    <x:row r="770" ht="18" customHeight="1">
      <x:c r="A770" s="2" t="str">
        <x:v>controlled_n5_threshold_3</x:v>
      </x:c>
      <x:c r="B770" s="2" t="str">
        <x:v>Exact J</x:v>
      </x:c>
      <x:c r="C770" s="2"/>
      <x:c r="D770" s="2" t="str">
        <x:v>success</x:v>
      </x:c>
      <x:c r="E770" s="2" t="n">
        <x:v>2</x:v>
      </x:c>
      <x:c r="F770" s="7" t="n">
        <x:v>61</x:v>
      </x:c>
      <x:c r="G770" s="7" t="n">
        <x:v>48.5</x:v>
      </x:c>
      <x:c r="H770" s="7" t="n">
        <x:f>IF(F770=0,"n.a.",100*(F770-G770)/F770)</x:f>
        <x:v>20.491803278688526</x:v>
      </x:c>
      <x:c r="I770" s="7" t="n">
        <x:f>F770-G770</x:f>
        <x:v>12.5</x:v>
      </x:c>
      <x:c r="J770" s="8" t="n">
        <x:v>0.7026212206790126</x:v>
      </x:c>
      <x:c r="K770" s="8" t="n">
        <x:v>0.7026212206790126</x:v>
      </x:c>
      <x:c r="L770" s="8" t="n">
        <x:v>0</x:v>
      </x:c>
      <x:c r="M770" s="7"/>
      <x:c r="N770" s="2" t="str">
        <x:v>exhaustive_enumeration</x:v>
      </x:c>
      <x:c r="O770" s="9" t="str">
        <x:v>01</x:v>
      </x:c>
    </x:row>
    <x:row r="771" ht="18" customHeight="1">
      <x:c r="A771" s="2" t="str">
        <x:v>controlled_n5_threshold_3</x:v>
      </x:c>
      <x:c r="B771" s="2" t="str">
        <x:v>Exact peak</x:v>
      </x:c>
      <x:c r="C771" s="2"/>
      <x:c r="D771" s="2" t="str">
        <x:v>success</x:v>
      </x:c>
      <x:c r="E771" s="2" t="n">
        <x:v>2</x:v>
      </x:c>
      <x:c r="F771" s="7" t="n">
        <x:v>61</x:v>
      </x:c>
      <x:c r="G771" s="7" t="n">
        <x:v>48.5</x:v>
      </x:c>
      <x:c r="H771" s="7" t="n">
        <x:f>IF(F771=0,"n.a.",100*(F771-G771)/F771)</x:f>
        <x:v>20.491803278688526</x:v>
      </x:c>
      <x:c r="I771" s="7" t="n">
        <x:f>F771-G771</x:f>
        <x:v>12.5</x:v>
      </x:c>
      <x:c r="J771" s="8" t="n">
        <x:v>0.7026212206790126</x:v>
      </x:c>
      <x:c r="K771" s="8" t="n">
        <x:v>0.7026212206790126</x:v>
      </x:c>
      <x:c r="L771" s="8" t="n">
        <x:v>0</x:v>
      </x:c>
      <x:c r="M771" s="7"/>
      <x:c r="N771" s="2" t="str">
        <x:v>exhaustive_enumeration</x:v>
      </x:c>
      <x:c r="O771" s="9" t="str">
        <x:v>01</x:v>
      </x:c>
    </x:row>
    <x:row r="772" ht="18" customHeight="1">
      <x:c r="A772" s="2" t="str">
        <x:v>controlled_n5_threshold_3</x:v>
      </x:c>
      <x:c r="B772" s="2" t="str">
        <x:v>BPSO</x:v>
      </x:c>
      <x:c r="C772" s="2" t="n">
        <x:v>42</x:v>
      </x:c>
      <x:c r="D772" s="2" t="str">
        <x:v>success</x:v>
      </x:c>
      <x:c r="E772" s="2" t="n">
        <x:v>2</x:v>
      </x:c>
      <x:c r="F772" s="7" t="n">
        <x:v>61</x:v>
      </x:c>
      <x:c r="G772" s="7" t="n">
        <x:v>48.5</x:v>
      </x:c>
      <x:c r="H772" s="7" t="n">
        <x:f>IF(F772=0,"n.a.",100*(F772-G772)/F772)</x:f>
        <x:v>20.491803278688526</x:v>
      </x:c>
      <x:c r="I772" s="7" t="n">
        <x:f>F772-G772</x:f>
        <x:v>12.5</x:v>
      </x:c>
      <x:c r="J772" s="8" t="n">
        <x:v>0.7026212206790126</x:v>
      </x:c>
      <x:c r="K772" s="8" t="n">
        <x:v>0.7026212206790126</x:v>
      </x:c>
      <x:c r="L772" s="8" t="n">
        <x:v>0</x:v>
      </x:c>
      <x:c r="M772" s="7" t="n">
        <x:v>13.592500006780028</x:v>
      </x:c>
      <x:c r="N772" s="2" t="str">
        <x:v>repository_particle_dynamics_on_frozen_qubo</x:v>
      </x:c>
      <x:c r="O772" s="9" t="str">
        <x:v>10</x:v>
      </x:c>
    </x:row>
    <x:row r="773" ht="18" customHeight="1">
      <x:c r="A773" s="2" t="str">
        <x:v>controlled_n5_threshold_3</x:v>
      </x:c>
      <x:c r="B773" s="2" t="str">
        <x:v>QAOA</x:v>
      </x:c>
      <x:c r="C773" s="2" t="n">
        <x:v>42</x:v>
      </x:c>
      <x:c r="D773" s="2" t="str">
        <x:v>success</x:v>
      </x:c>
      <x:c r="E773" s="2" t="n">
        <x:v>2</x:v>
      </x:c>
      <x:c r="F773" s="7" t="n">
        <x:v>61</x:v>
      </x:c>
      <x:c r="G773" s="7" t="n">
        <x:v>48.5</x:v>
      </x:c>
      <x:c r="H773" s="7" t="n">
        <x:f>IF(F773=0,"n.a.",100*(F773-G773)/F773)</x:f>
        <x:v>20.491803278688526</x:v>
      </x:c>
      <x:c r="I773" s="7" t="n">
        <x:f>F773-G773</x:f>
        <x:v>12.5</x:v>
      </x:c>
      <x:c r="J773" s="8" t="n">
        <x:v>0.7026212206790126</x:v>
      </x:c>
      <x:c r="K773" s="8" t="n">
        <x:v>0.7026212206790126</x:v>
      </x:c>
      <x:c r="L773" s="8" t="n">
        <x:v>0</x:v>
      </x:c>
      <x:c r="M773" s="7" t="n">
        <x:v>112.2384000045713</x:v>
      </x:c>
      <x:c r="N773" s="2" t="str">
        <x:v>qiskit.primitives.StatevectorSampler</x:v>
      </x:c>
      <x:c r="O773" s="9" t="str">
        <x:v>01</x:v>
      </x:c>
    </x:row>
    <x:row r="774" ht="18" customHeight="1">
      <x:c r="A774" s="2" t="str">
        <x:v>controlled_n5_threshold_3</x:v>
      </x:c>
      <x:c r="B774" s="2" t="str">
        <x:v>BPSO</x:v>
      </x:c>
      <x:c r="C774" s="2" t="n">
        <x:v>123</x:v>
      </x:c>
      <x:c r="D774" s="2" t="str">
        <x:v>success</x:v>
      </x:c>
      <x:c r="E774" s="2" t="n">
        <x:v>2</x:v>
      </x:c>
      <x:c r="F774" s="7" t="n">
        <x:v>61</x:v>
      </x:c>
      <x:c r="G774" s="7" t="n">
        <x:v>48.5</x:v>
      </x:c>
      <x:c r="H774" s="7" t="n">
        <x:f>IF(F774=0,"n.a.",100*(F774-G774)/F774)</x:f>
        <x:v>20.491803278688526</x:v>
      </x:c>
      <x:c r="I774" s="7" t="n">
        <x:f>F774-G774</x:f>
        <x:v>12.5</x:v>
      </x:c>
      <x:c r="J774" s="8" t="n">
        <x:v>0.7026212206790126</x:v>
      </x:c>
      <x:c r="K774" s="8" t="n">
        <x:v>0.7026212206790126</x:v>
      </x:c>
      <x:c r="L774" s="8" t="n">
        <x:v>0</x:v>
      </x:c>
      <x:c r="M774" s="7" t="n">
        <x:v>14.987500006100163</x:v>
      </x:c>
      <x:c r="N774" s="2" t="str">
        <x:v>repository_particle_dynamics_on_frozen_qubo</x:v>
      </x:c>
      <x:c r="O774" s="9" t="str">
        <x:v>10</x:v>
      </x:c>
    </x:row>
    <x:row r="775" ht="18" customHeight="1">
      <x:c r="A775" s="2" t="str">
        <x:v>controlled_n5_threshold_3</x:v>
      </x:c>
      <x:c r="B775" s="2" t="str">
        <x:v>QAOA</x:v>
      </x:c>
      <x:c r="C775" s="2" t="n">
        <x:v>123</x:v>
      </x:c>
      <x:c r="D775" s="2" t="str">
        <x:v>success</x:v>
      </x:c>
      <x:c r="E775" s="2" t="n">
        <x:v>2</x:v>
      </x:c>
      <x:c r="F775" s="7" t="n">
        <x:v>61</x:v>
      </x:c>
      <x:c r="G775" s="7" t="n">
        <x:v>48.5</x:v>
      </x:c>
      <x:c r="H775" s="7" t="n">
        <x:f>IF(F775=0,"n.a.",100*(F775-G775)/F775)</x:f>
        <x:v>20.491803278688526</x:v>
      </x:c>
      <x:c r="I775" s="7" t="n">
        <x:f>F775-G775</x:f>
        <x:v>12.5</x:v>
      </x:c>
      <x:c r="J775" s="8" t="n">
        <x:v>0.7026212206790126</x:v>
      </x:c>
      <x:c r="K775" s="8" t="n">
        <x:v>0.7026212206790126</x:v>
      </x:c>
      <x:c r="L775" s="8" t="n">
        <x:v>0</x:v>
      </x:c>
      <x:c r="M775" s="7" t="n">
        <x:v>122.05099999846425</x:v>
      </x:c>
      <x:c r="N775" s="2" t="str">
        <x:v>qiskit.primitives.StatevectorSampler</x:v>
      </x:c>
      <x:c r="O775" s="9" t="str">
        <x:v>01</x:v>
      </x:c>
    </x:row>
    <x:row r="776" ht="18" customHeight="1">
      <x:c r="A776" s="2" t="str">
        <x:v>controlled_n5_threshold_3</x:v>
      </x:c>
      <x:c r="B776" s="2" t="str">
        <x:v>BPSO</x:v>
      </x:c>
      <x:c r="C776" s="2" t="n">
        <x:v>456</x:v>
      </x:c>
      <x:c r="D776" s="2" t="str">
        <x:v>success</x:v>
      </x:c>
      <x:c r="E776" s="2" t="n">
        <x:v>2</x:v>
      </x:c>
      <x:c r="F776" s="7" t="n">
        <x:v>61</x:v>
      </x:c>
      <x:c r="G776" s="7" t="n">
        <x:v>48.5</x:v>
      </x:c>
      <x:c r="H776" s="7" t="n">
        <x:f>IF(F776=0,"n.a.",100*(F776-G776)/F776)</x:f>
        <x:v>20.491803278688526</x:v>
      </x:c>
      <x:c r="I776" s="7" t="n">
        <x:f>F776-G776</x:f>
        <x:v>12.5</x:v>
      </x:c>
      <x:c r="J776" s="8" t="n">
        <x:v>0.7026212206790126</x:v>
      </x:c>
      <x:c r="K776" s="8" t="n">
        <x:v>0.7026212206790126</x:v>
      </x:c>
      <x:c r="L776" s="8" t="n">
        <x:v>0</x:v>
      </x:c>
      <x:c r="M776" s="7" t="n">
        <x:v>14.76109999930486</x:v>
      </x:c>
      <x:c r="N776" s="2" t="str">
        <x:v>repository_particle_dynamics_on_frozen_qubo</x:v>
      </x:c>
      <x:c r="O776" s="9" t="str">
        <x:v>10</x:v>
      </x:c>
    </x:row>
    <x:row r="777" ht="18" customHeight="1">
      <x:c r="A777" s="2" t="str">
        <x:v>controlled_n5_threshold_3</x:v>
      </x:c>
      <x:c r="B777" s="2" t="str">
        <x:v>QAOA</x:v>
      </x:c>
      <x:c r="C777" s="2" t="n">
        <x:v>456</x:v>
      </x:c>
      <x:c r="D777" s="2" t="str">
        <x:v>success</x:v>
      </x:c>
      <x:c r="E777" s="2" t="n">
        <x:v>2</x:v>
      </x:c>
      <x:c r="F777" s="7" t="n">
        <x:v>61</x:v>
      </x:c>
      <x:c r="G777" s="7" t="n">
        <x:v>48.5</x:v>
      </x:c>
      <x:c r="H777" s="7" t="n">
        <x:f>IF(F777=0,"n.a.",100*(F777-G777)/F777)</x:f>
        <x:v>20.491803278688526</x:v>
      </x:c>
      <x:c r="I777" s="7" t="n">
        <x:f>F777-G777</x:f>
        <x:v>12.5</x:v>
      </x:c>
      <x:c r="J777" s="8" t="n">
        <x:v>0.7026212206790126</x:v>
      </x:c>
      <x:c r="K777" s="8" t="n">
        <x:v>0.7026212206790126</x:v>
      </x:c>
      <x:c r="L777" s="8" t="n">
        <x:v>0</x:v>
      </x:c>
      <x:c r="M777" s="7" t="n">
        <x:v>114.41229999763891</x:v>
      </x:c>
      <x:c r="N777" s="2" t="str">
        <x:v>qiskit.primitives.StatevectorSampler</x:v>
      </x:c>
      <x:c r="O777" s="9" t="str">
        <x:v>10</x:v>
      </x:c>
    </x:row>
    <x:row r="778" ht="18" customHeight="1">
      <x:c r="A778" s="2" t="str">
        <x:v>controlled_n5_threshold_3</x:v>
      </x:c>
      <x:c r="B778" s="2" t="str">
        <x:v>BPSO</x:v>
      </x:c>
      <x:c r="C778" s="2" t="n">
        <x:v>789</x:v>
      </x:c>
      <x:c r="D778" s="2" t="str">
        <x:v>success</x:v>
      </x:c>
      <x:c r="E778" s="2" t="n">
        <x:v>2</x:v>
      </x:c>
      <x:c r="F778" s="7" t="n">
        <x:v>61</x:v>
      </x:c>
      <x:c r="G778" s="7" t="n">
        <x:v>48.5</x:v>
      </x:c>
      <x:c r="H778" s="7" t="n">
        <x:f>IF(F778=0,"n.a.",100*(F778-G778)/F778)</x:f>
        <x:v>20.491803278688526</x:v>
      </x:c>
      <x:c r="I778" s="7" t="n">
        <x:f>F778-G778</x:f>
        <x:v>12.5</x:v>
      </x:c>
      <x:c r="J778" s="8" t="n">
        <x:v>0.7026212206790126</x:v>
      </x:c>
      <x:c r="K778" s="8" t="n">
        <x:v>0.7026212206790126</x:v>
      </x:c>
      <x:c r="L778" s="8" t="n">
        <x:v>0</x:v>
      </x:c>
      <x:c r="M778" s="7" t="n">
        <x:v>14.27749999857042</x:v>
      </x:c>
      <x:c r="N778" s="2" t="str">
        <x:v>repository_particle_dynamics_on_frozen_qubo</x:v>
      </x:c>
      <x:c r="O778" s="9" t="str">
        <x:v>01</x:v>
      </x:c>
    </x:row>
    <x:row r="779" ht="18" customHeight="1">
      <x:c r="A779" s="2" t="str">
        <x:v>controlled_n5_threshold_3</x:v>
      </x:c>
      <x:c r="B779" s="2" t="str">
        <x:v>QAOA</x:v>
      </x:c>
      <x:c r="C779" s="2" t="n">
        <x:v>789</x:v>
      </x:c>
      <x:c r="D779" s="2" t="str">
        <x:v>success</x:v>
      </x:c>
      <x:c r="E779" s="2" t="n">
        <x:v>2</x:v>
      </x:c>
      <x:c r="F779" s="7" t="n">
        <x:v>61</x:v>
      </x:c>
      <x:c r="G779" s="7" t="n">
        <x:v>48.5</x:v>
      </x:c>
      <x:c r="H779" s="7" t="n">
        <x:f>IF(F779=0,"n.a.",100*(F779-G779)/F779)</x:f>
        <x:v>20.491803278688526</x:v>
      </x:c>
      <x:c r="I779" s="7" t="n">
        <x:f>F779-G779</x:f>
        <x:v>12.5</x:v>
      </x:c>
      <x:c r="J779" s="8" t="n">
        <x:v>0.7026212206790126</x:v>
      </x:c>
      <x:c r="K779" s="8" t="n">
        <x:v>0.7026212206790126</x:v>
      </x:c>
      <x:c r="L779" s="8" t="n">
        <x:v>0</x:v>
      </x:c>
      <x:c r="M779" s="7" t="n">
        <x:v>97.19110000878572</x:v>
      </x:c>
      <x:c r="N779" s="2" t="str">
        <x:v>qiskit.primitives.StatevectorSampler</x:v>
      </x:c>
      <x:c r="O779" s="9" t="str">
        <x:v>01</x:v>
      </x:c>
    </x:row>
    <x:row r="780" ht="18" customHeight="1">
      <x:c r="A780" s="2" t="str">
        <x:v>controlled_n5_threshold_3</x:v>
      </x:c>
      <x:c r="B780" s="2" t="str">
        <x:v>BPSO</x:v>
      </x:c>
      <x:c r="C780" s="2" t="n">
        <x:v>2026</x:v>
      </x:c>
      <x:c r="D780" s="2" t="str">
        <x:v>success</x:v>
      </x:c>
      <x:c r="E780" s="2" t="n">
        <x:v>2</x:v>
      </x:c>
      <x:c r="F780" s="7" t="n">
        <x:v>61</x:v>
      </x:c>
      <x:c r="G780" s="7" t="n">
        <x:v>48.5</x:v>
      </x:c>
      <x:c r="H780" s="7" t="n">
        <x:f>IF(F780=0,"n.a.",100*(F780-G780)/F780)</x:f>
        <x:v>20.491803278688526</x:v>
      </x:c>
      <x:c r="I780" s="7" t="n">
        <x:f>F780-G780</x:f>
        <x:v>12.5</x:v>
      </x:c>
      <x:c r="J780" s="8" t="n">
        <x:v>0.7026212206790126</x:v>
      </x:c>
      <x:c r="K780" s="8" t="n">
        <x:v>0.7026212206790126</x:v>
      </x:c>
      <x:c r="L780" s="8" t="n">
        <x:v>0</x:v>
      </x:c>
      <x:c r="M780" s="7" t="n">
        <x:v>12.791799992555752</x:v>
      </x:c>
      <x:c r="N780" s="2" t="str">
        <x:v>repository_particle_dynamics_on_frozen_qubo</x:v>
      </x:c>
      <x:c r="O780" s="9" t="str">
        <x:v>01</x:v>
      </x:c>
    </x:row>
    <x:row r="781" ht="18" customHeight="1">
      <x:c r="A781" s="2" t="str">
        <x:v>controlled_n5_threshold_3</x:v>
      </x:c>
      <x:c r="B781" s="2" t="str">
        <x:v>QAOA</x:v>
      </x:c>
      <x:c r="C781" s="2" t="n">
        <x:v>2026</x:v>
      </x:c>
      <x:c r="D781" s="2" t="str">
        <x:v>success</x:v>
      </x:c>
      <x:c r="E781" s="2" t="n">
        <x:v>2</x:v>
      </x:c>
      <x:c r="F781" s="7" t="n">
        <x:v>61</x:v>
      </x:c>
      <x:c r="G781" s="7" t="n">
        <x:v>48.5</x:v>
      </x:c>
      <x:c r="H781" s="7" t="n">
        <x:f>IF(F781=0,"n.a.",100*(F781-G781)/F781)</x:f>
        <x:v>20.491803278688526</x:v>
      </x:c>
      <x:c r="I781" s="7" t="n">
        <x:f>F781-G781</x:f>
        <x:v>12.5</x:v>
      </x:c>
      <x:c r="J781" s="8" t="n">
        <x:v>0.7026212206790126</x:v>
      </x:c>
      <x:c r="K781" s="8" t="n">
        <x:v>0.7026212206790126</x:v>
      </x:c>
      <x:c r="L781" s="8" t="n">
        <x:v>0</x:v>
      </x:c>
      <x:c r="M781" s="7" t="n">
        <x:v>144.75630001106765</x:v>
      </x:c>
      <x:c r="N781" s="2" t="str">
        <x:v>qiskit.primitives.StatevectorSampler</x:v>
      </x:c>
      <x:c r="O781" s="9" t="str">
        <x:v>10</x:v>
      </x:c>
    </x:row>
    <x:row r="782" ht="18" customHeight="1">
      <x:c r="A782" s="2" t="str">
        <x:v>controlled_n5_single_bottleneck_1</x:v>
      </x:c>
      <x:c r="B782" s="2" t="str">
        <x:v>Unmanaged</x:v>
      </x:c>
      <x:c r="C782" s="2"/>
      <x:c r="D782" s="2" t="str">
        <x:v>baseline</x:v>
      </x:c>
      <x:c r="E782" s="2" t="n">
        <x:v>3</x:v>
      </x:c>
      <x:c r="F782" s="7" t="n">
        <x:v>65</x:v>
      </x:c>
      <x:c r="G782" s="7" t="n">
        <x:v>65</x:v>
      </x:c>
      <x:c r="H782" s="7" t="n">
        <x:f>IF(F782=0,"n.a.",100*(F782-G782)/F782)</x:f>
        <x:v>0</x:v>
      </x:c>
      <x:c r="I782" s="7" t="n">
        <x:f>F782-G782</x:f>
        <x:v>0</x:v>
      </x:c>
      <x:c r="J782" s="8"/>
      <x:c r="K782" s="8" t="n">
        <x:v>0.6383265817901236</x:v>
      </x:c>
      <x:c r="L782" s="8"/>
      <x:c r="M782" s="7"/>
      <x:c r="N782" s="2" t="str">
        <x:v>unmanaged_input</x:v>
      </x:c>
      <x:c r="O782" s="9"/>
    </x:row>
    <x:row r="783" ht="18" customHeight="1">
      <x:c r="A783" s="2" t="str">
        <x:v>controlled_n5_single_bottleneck_1</x:v>
      </x:c>
      <x:c r="B783" s="2" t="str">
        <x:v>Exact J</x:v>
      </x:c>
      <x:c r="C783" s="2"/>
      <x:c r="D783" s="2" t="str">
        <x:v>success</x:v>
      </x:c>
      <x:c r="E783" s="2" t="n">
        <x:v>3</x:v>
      </x:c>
      <x:c r="F783" s="7" t="n">
        <x:v>65</x:v>
      </x:c>
      <x:c r="G783" s="7" t="n">
        <x:v>46.666666666666664</x:v>
      </x:c>
      <x:c r="H783" s="7" t="n">
        <x:f>IF(F783=0,"n.a.",100*(F783-G783)/F783)</x:f>
        <x:v>28.205128205128208</x:v>
      </x:c>
      <x:c r="I783" s="7" t="n">
        <x:f>F783-G783</x:f>
        <x:v>18.333333333333336</x:v>
      </x:c>
      <x:c r="J783" s="8" t="n">
        <x:v>0.6383265817901236</x:v>
      </x:c>
      <x:c r="K783" s="8" t="n">
        <x:v>0.6383265817901236</x:v>
      </x:c>
      <x:c r="L783" s="8" t="n">
        <x:v>0</x:v>
      </x:c>
      <x:c r="M783" s="7"/>
      <x:c r="N783" s="2" t="str">
        <x:v>exhaustive_enumeration</x:v>
      </x:c>
      <x:c r="O783" s="9" t="str">
        <x:v>011</x:v>
      </x:c>
    </x:row>
    <x:row r="784" ht="18" customHeight="1">
      <x:c r="A784" s="2" t="str">
        <x:v>controlled_n5_single_bottleneck_1</x:v>
      </x:c>
      <x:c r="B784" s="2" t="str">
        <x:v>Exact peak</x:v>
      </x:c>
      <x:c r="C784" s="2"/>
      <x:c r="D784" s="2" t="str">
        <x:v>success</x:v>
      </x:c>
      <x:c r="E784" s="2" t="n">
        <x:v>3</x:v>
      </x:c>
      <x:c r="F784" s="7" t="n">
        <x:v>65</x:v>
      </x:c>
      <x:c r="G784" s="7" t="n">
        <x:v>46.25</x:v>
      </x:c>
      <x:c r="H784" s="7" t="n">
        <x:f>IF(F784=0,"n.a.",100*(F784-G784)/F784)</x:f>
        <x:v>28.846153846153847</x:v>
      </x:c>
      <x:c r="I784" s="7" t="n">
        <x:f>F784-G784</x:f>
        <x:v>18.75</x:v>
      </x:c>
      <x:c r="J784" s="8" t="n">
        <x:v>0.6398977623456792</x:v>
      </x:c>
      <x:c r="K784" s="8" t="n">
        <x:v>0.6383265817901236</x:v>
      </x:c>
      <x:c r="L784" s="8" t="n">
        <x:v>0.0015711805555556069</x:v>
      </x:c>
      <x:c r="M784" s="7"/>
      <x:c r="N784" s="2" t="str">
        <x:v>exhaustive_enumeration</x:v>
      </x:c>
      <x:c r="O784" s="9" t="str">
        <x:v>001</x:v>
      </x:c>
    </x:row>
    <x:row r="785" ht="18" customHeight="1">
      <x:c r="A785" s="2" t="str">
        <x:v>controlled_n5_single_bottleneck_1</x:v>
      </x:c>
      <x:c r="B785" s="2" t="str">
        <x:v>BPSO</x:v>
      </x:c>
      <x:c r="C785" s="2" t="n">
        <x:v>42</x:v>
      </x:c>
      <x:c r="D785" s="2" t="str">
        <x:v>success</x:v>
      </x:c>
      <x:c r="E785" s="2" t="n">
        <x:v>3</x:v>
      </x:c>
      <x:c r="F785" s="7" t="n">
        <x:v>65</x:v>
      </x:c>
      <x:c r="G785" s="7" t="n">
        <x:v>46.666666666666664</x:v>
      </x:c>
      <x:c r="H785" s="7" t="n">
        <x:f>IF(F785=0,"n.a.",100*(F785-G785)/F785)</x:f>
        <x:v>28.205128205128208</x:v>
      </x:c>
      <x:c r="I785" s="7" t="n">
        <x:f>F785-G785</x:f>
        <x:v>18.333333333333336</x:v>
      </x:c>
      <x:c r="J785" s="8" t="n">
        <x:v>0.6383265817901236</x:v>
      </x:c>
      <x:c r="K785" s="8" t="n">
        <x:v>0.6383265817901236</x:v>
      </x:c>
      <x:c r="L785" s="8" t="n">
        <x:v>0</x:v>
      </x:c>
      <x:c r="M785" s="7" t="n">
        <x:v>14.06650000717491</x:v>
      </x:c>
      <x:c r="N785" s="2" t="str">
        <x:v>repository_particle_dynamics_on_frozen_qubo</x:v>
      </x:c>
      <x:c r="O785" s="9" t="str">
        <x:v>101</x:v>
      </x:c>
    </x:row>
    <x:row r="786" ht="18" customHeight="1">
      <x:c r="A786" s="2" t="str">
        <x:v>controlled_n5_single_bottleneck_1</x:v>
      </x:c>
      <x:c r="B786" s="2" t="str">
        <x:v>QAOA</x:v>
      </x:c>
      <x:c r="C786" s="2" t="n">
        <x:v>42</x:v>
      </x:c>
      <x:c r="D786" s="2" t="str">
        <x:v>success</x:v>
      </x:c>
      <x:c r="E786" s="2" t="n">
        <x:v>3</x:v>
      </x:c>
      <x:c r="F786" s="7" t="n">
        <x:v>65</x:v>
      </x:c>
      <x:c r="G786" s="7" t="n">
        <x:v>46.666666666666664</x:v>
      </x:c>
      <x:c r="H786" s="7" t="n">
        <x:f>IF(F786=0,"n.a.",100*(F786-G786)/F786)</x:f>
        <x:v>28.205128205128208</x:v>
      </x:c>
      <x:c r="I786" s="7" t="n">
        <x:f>F786-G786</x:f>
        <x:v>18.333333333333336</x:v>
      </x:c>
      <x:c r="J786" s="8" t="n">
        <x:v>0.6383265817901236</x:v>
      </x:c>
      <x:c r="K786" s="8" t="n">
        <x:v>0.6383265817901236</x:v>
      </x:c>
      <x:c r="L786" s="8" t="n">
        <x:v>0</x:v>
      </x:c>
      <x:c r="M786" s="7" t="n">
        <x:v>97.88020000269171</x:v>
      </x:c>
      <x:c r="N786" s="2" t="str">
        <x:v>qiskit.primitives.StatevectorSampler</x:v>
      </x:c>
      <x:c r="O786" s="9" t="str">
        <x:v>101</x:v>
      </x:c>
    </x:row>
    <x:row r="787" ht="18" customHeight="1">
      <x:c r="A787" s="2" t="str">
        <x:v>controlled_n5_single_bottleneck_1</x:v>
      </x:c>
      <x:c r="B787" s="2" t="str">
        <x:v>BPSO</x:v>
      </x:c>
      <x:c r="C787" s="2" t="n">
        <x:v>123</x:v>
      </x:c>
      <x:c r="D787" s="2" t="str">
        <x:v>success</x:v>
      </x:c>
      <x:c r="E787" s="2" t="n">
        <x:v>3</x:v>
      </x:c>
      <x:c r="F787" s="7" t="n">
        <x:v>65</x:v>
      </x:c>
      <x:c r="G787" s="7" t="n">
        <x:v>46.666666666666664</x:v>
      </x:c>
      <x:c r="H787" s="7" t="n">
        <x:f>IF(F787=0,"n.a.",100*(F787-G787)/F787)</x:f>
        <x:v>28.205128205128208</x:v>
      </x:c>
      <x:c r="I787" s="7" t="n">
        <x:f>F787-G787</x:f>
        <x:v>18.333333333333336</x:v>
      </x:c>
      <x:c r="J787" s="8" t="n">
        <x:v>0.6383265817901236</x:v>
      </x:c>
      <x:c r="K787" s="8" t="n">
        <x:v>0.6383265817901236</x:v>
      </x:c>
      <x:c r="L787" s="8" t="n">
        <x:v>0</x:v>
      </x:c>
      <x:c r="M787" s="7" t="n">
        <x:v>13.501299996278249</x:v>
      </x:c>
      <x:c r="N787" s="2" t="str">
        <x:v>repository_particle_dynamics_on_frozen_qubo</x:v>
      </x:c>
      <x:c r="O787" s="9" t="str">
        <x:v>101</x:v>
      </x:c>
    </x:row>
    <x:row r="788" ht="18" customHeight="1">
      <x:c r="A788" s="2" t="str">
        <x:v>controlled_n5_single_bottleneck_1</x:v>
      </x:c>
      <x:c r="B788" s="2" t="str">
        <x:v>QAOA</x:v>
      </x:c>
      <x:c r="C788" s="2" t="n">
        <x:v>123</x:v>
      </x:c>
      <x:c r="D788" s="2" t="str">
        <x:v>success</x:v>
      </x:c>
      <x:c r="E788" s="2" t="n">
        <x:v>3</x:v>
      </x:c>
      <x:c r="F788" s="7" t="n">
        <x:v>65</x:v>
      </x:c>
      <x:c r="G788" s="7" t="n">
        <x:v>46.666666666666664</x:v>
      </x:c>
      <x:c r="H788" s="7" t="n">
        <x:f>IF(F788=0,"n.a.",100*(F788-G788)/F788)</x:f>
        <x:v>28.205128205128208</x:v>
      </x:c>
      <x:c r="I788" s="7" t="n">
        <x:f>F788-G788</x:f>
        <x:v>18.333333333333336</x:v>
      </x:c>
      <x:c r="J788" s="8" t="n">
        <x:v>0.6383265817901236</x:v>
      </x:c>
      <x:c r="K788" s="8" t="n">
        <x:v>0.6383265817901236</x:v>
      </x:c>
      <x:c r="L788" s="8" t="n">
        <x:v>0</x:v>
      </x:c>
      <x:c r="M788" s="7" t="n">
        <x:v>160.0903000071412</x:v>
      </x:c>
      <x:c r="N788" s="2" t="str">
        <x:v>qiskit.primitives.StatevectorSampler</x:v>
      </x:c>
      <x:c r="O788" s="9" t="str">
        <x:v>101</x:v>
      </x:c>
    </x:row>
    <x:row r="789" ht="18" customHeight="1">
      <x:c r="A789" s="2" t="str">
        <x:v>controlled_n5_single_bottleneck_1</x:v>
      </x:c>
      <x:c r="B789" s="2" t="str">
        <x:v>BPSO</x:v>
      </x:c>
      <x:c r="C789" s="2" t="n">
        <x:v>456</x:v>
      </x:c>
      <x:c r="D789" s="2" t="str">
        <x:v>success</x:v>
      </x:c>
      <x:c r="E789" s="2" t="n">
        <x:v>3</x:v>
      </x:c>
      <x:c r="F789" s="7" t="n">
        <x:v>65</x:v>
      </x:c>
      <x:c r="G789" s="7" t="n">
        <x:v>46.666666666666664</x:v>
      </x:c>
      <x:c r="H789" s="7" t="n">
        <x:f>IF(F789=0,"n.a.",100*(F789-G789)/F789)</x:f>
        <x:v>28.205128205128208</x:v>
      </x:c>
      <x:c r="I789" s="7" t="n">
        <x:f>F789-G789</x:f>
        <x:v>18.333333333333336</x:v>
      </x:c>
      <x:c r="J789" s="8" t="n">
        <x:v>0.6383265817901236</x:v>
      </x:c>
      <x:c r="K789" s="8" t="n">
        <x:v>0.6383265817901236</x:v>
      </x:c>
      <x:c r="L789" s="8" t="n">
        <x:v>0</x:v>
      </x:c>
      <x:c r="M789" s="7" t="n">
        <x:v>13.429300001007505</x:v>
      </x:c>
      <x:c r="N789" s="2" t="str">
        <x:v>repository_particle_dynamics_on_frozen_qubo</x:v>
      </x:c>
      <x:c r="O789" s="9" t="str">
        <x:v>110</x:v>
      </x:c>
    </x:row>
    <x:row r="790" ht="18" customHeight="1">
      <x:c r="A790" s="2" t="str">
        <x:v>controlled_n5_single_bottleneck_1</x:v>
      </x:c>
      <x:c r="B790" s="2" t="str">
        <x:v>QAOA</x:v>
      </x:c>
      <x:c r="C790" s="2" t="n">
        <x:v>456</x:v>
      </x:c>
      <x:c r="D790" s="2" t="str">
        <x:v>success</x:v>
      </x:c>
      <x:c r="E790" s="2" t="n">
        <x:v>3</x:v>
      </x:c>
      <x:c r="F790" s="7" t="n">
        <x:v>65</x:v>
      </x:c>
      <x:c r="G790" s="7" t="n">
        <x:v>46.666666666666664</x:v>
      </x:c>
      <x:c r="H790" s="7" t="n">
        <x:f>IF(F790=0,"n.a.",100*(F790-G790)/F790)</x:f>
        <x:v>28.205128205128208</x:v>
      </x:c>
      <x:c r="I790" s="7" t="n">
        <x:f>F790-G790</x:f>
        <x:v>18.333333333333336</x:v>
      </x:c>
      <x:c r="J790" s="8" t="n">
        <x:v>0.6383265817901236</x:v>
      </x:c>
      <x:c r="K790" s="8" t="n">
        <x:v>0.6383265817901236</x:v>
      </x:c>
      <x:c r="L790" s="8" t="n">
        <x:v>0</x:v>
      </x:c>
      <x:c r="M790" s="7" t="n">
        <x:v>101.98069999751169</x:v>
      </x:c>
      <x:c r="N790" s="2" t="str">
        <x:v>qiskit.primitives.StatevectorSampler</x:v>
      </x:c>
      <x:c r="O790" s="9" t="str">
        <x:v>110</x:v>
      </x:c>
    </x:row>
    <x:row r="791" ht="18" customHeight="1">
      <x:c r="A791" s="2" t="str">
        <x:v>controlled_n5_single_bottleneck_1</x:v>
      </x:c>
      <x:c r="B791" s="2" t="str">
        <x:v>BPSO</x:v>
      </x:c>
      <x:c r="C791" s="2" t="n">
        <x:v>789</x:v>
      </x:c>
      <x:c r="D791" s="2" t="str">
        <x:v>success</x:v>
      </x:c>
      <x:c r="E791" s="2" t="n">
        <x:v>3</x:v>
      </x:c>
      <x:c r="F791" s="7" t="n">
        <x:v>65</x:v>
      </x:c>
      <x:c r="G791" s="7" t="n">
        <x:v>46.666666666666664</x:v>
      </x:c>
      <x:c r="H791" s="7" t="n">
        <x:f>IF(F791=0,"n.a.",100*(F791-G791)/F791)</x:f>
        <x:v>28.205128205128208</x:v>
      </x:c>
      <x:c r="I791" s="7" t="n">
        <x:f>F791-G791</x:f>
        <x:v>18.333333333333336</x:v>
      </x:c>
      <x:c r="J791" s="8" t="n">
        <x:v>0.6383265817901236</x:v>
      </x:c>
      <x:c r="K791" s="8" t="n">
        <x:v>0.6383265817901236</x:v>
      </x:c>
      <x:c r="L791" s="8" t="n">
        <x:v>0</x:v>
      </x:c>
      <x:c r="M791" s="7" t="n">
        <x:v>13.269300005049445</x:v>
      </x:c>
      <x:c r="N791" s="2" t="str">
        <x:v>repository_particle_dynamics_on_frozen_qubo</x:v>
      </x:c>
      <x:c r="O791" s="9" t="str">
        <x:v>110</x:v>
      </x:c>
    </x:row>
    <x:row r="792" ht="18" customHeight="1">
      <x:c r="A792" s="2" t="str">
        <x:v>controlled_n5_single_bottleneck_1</x:v>
      </x:c>
      <x:c r="B792" s="2" t="str">
        <x:v>QAOA</x:v>
      </x:c>
      <x:c r="C792" s="2" t="n">
        <x:v>789</x:v>
      </x:c>
      <x:c r="D792" s="2" t="str">
        <x:v>success</x:v>
      </x:c>
      <x:c r="E792" s="2" t="n">
        <x:v>3</x:v>
      </x:c>
      <x:c r="F792" s="7" t="n">
        <x:v>65</x:v>
      </x:c>
      <x:c r="G792" s="7" t="n">
        <x:v>46.666666666666664</x:v>
      </x:c>
      <x:c r="H792" s="7" t="n">
        <x:f>IF(F792=0,"n.a.",100*(F792-G792)/F792)</x:f>
        <x:v>28.205128205128208</x:v>
      </x:c>
      <x:c r="I792" s="7" t="n">
        <x:f>F792-G792</x:f>
        <x:v>18.333333333333336</x:v>
      </x:c>
      <x:c r="J792" s="8" t="n">
        <x:v>0.6383265817901236</x:v>
      </x:c>
      <x:c r="K792" s="8" t="n">
        <x:v>0.6383265817901236</x:v>
      </x:c>
      <x:c r="L792" s="8" t="n">
        <x:v>0</x:v>
      </x:c>
      <x:c r="M792" s="7" t="n">
        <x:v>105.43060000054538</x:v>
      </x:c>
      <x:c r="N792" s="2" t="str">
        <x:v>qiskit.primitives.StatevectorSampler</x:v>
      </x:c>
      <x:c r="O792" s="9" t="str">
        <x:v>110</x:v>
      </x:c>
    </x:row>
    <x:row r="793" ht="18" customHeight="1">
      <x:c r="A793" s="2" t="str">
        <x:v>controlled_n5_single_bottleneck_1</x:v>
      </x:c>
      <x:c r="B793" s="2" t="str">
        <x:v>BPSO</x:v>
      </x:c>
      <x:c r="C793" s="2" t="n">
        <x:v>2026</x:v>
      </x:c>
      <x:c r="D793" s="2" t="str">
        <x:v>success</x:v>
      </x:c>
      <x:c r="E793" s="2" t="n">
        <x:v>3</x:v>
      </x:c>
      <x:c r="F793" s="7" t="n">
        <x:v>65</x:v>
      </x:c>
      <x:c r="G793" s="7" t="n">
        <x:v>46.666666666666664</x:v>
      </x:c>
      <x:c r="H793" s="7" t="n">
        <x:f>IF(F793=0,"n.a.",100*(F793-G793)/F793)</x:f>
        <x:v>28.205128205128208</x:v>
      </x:c>
      <x:c r="I793" s="7" t="n">
        <x:f>F793-G793</x:f>
        <x:v>18.333333333333336</x:v>
      </x:c>
      <x:c r="J793" s="8" t="n">
        <x:v>0.6383265817901236</x:v>
      </x:c>
      <x:c r="K793" s="8" t="n">
        <x:v>0.6383265817901236</x:v>
      </x:c>
      <x:c r="L793" s="8" t="n">
        <x:v>0</x:v>
      </x:c>
      <x:c r="M793" s="7" t="n">
        <x:v>13.382999997702427</x:v>
      </x:c>
      <x:c r="N793" s="2" t="str">
        <x:v>repository_particle_dynamics_on_frozen_qubo</x:v>
      </x:c>
      <x:c r="O793" s="9" t="str">
        <x:v>101</x:v>
      </x:c>
    </x:row>
    <x:row r="794" ht="18" customHeight="1">
      <x:c r="A794" s="2" t="str">
        <x:v>controlled_n5_single_bottleneck_1</x:v>
      </x:c>
      <x:c r="B794" s="2" t="str">
        <x:v>QAOA</x:v>
      </x:c>
      <x:c r="C794" s="2" t="n">
        <x:v>2026</x:v>
      </x:c>
      <x:c r="D794" s="2" t="str">
        <x:v>success</x:v>
      </x:c>
      <x:c r="E794" s="2" t="n">
        <x:v>3</x:v>
      </x:c>
      <x:c r="F794" s="7" t="n">
        <x:v>65</x:v>
      </x:c>
      <x:c r="G794" s="7" t="n">
        <x:v>46.666666666666664</x:v>
      </x:c>
      <x:c r="H794" s="7" t="n">
        <x:f>IF(F794=0,"n.a.",100*(F794-G794)/F794)</x:f>
        <x:v>28.205128205128208</x:v>
      </x:c>
      <x:c r="I794" s="7" t="n">
        <x:f>F794-G794</x:f>
        <x:v>18.333333333333336</x:v>
      </x:c>
      <x:c r="J794" s="8" t="n">
        <x:v>0.6383265817901236</x:v>
      </x:c>
      <x:c r="K794" s="8" t="n">
        <x:v>0.6383265817901236</x:v>
      </x:c>
      <x:c r="L794" s="8" t="n">
        <x:v>0</x:v>
      </x:c>
      <x:c r="M794" s="7" t="n">
        <x:v>113.2684999902267</x:v>
      </x:c>
      <x:c r="N794" s="2" t="str">
        <x:v>qiskit.primitives.StatevectorSampler</x:v>
      </x:c>
      <x:c r="O794" s="9" t="str">
        <x:v>110</x:v>
      </x:c>
    </x:row>
    <x:row r="795" ht="18" customHeight="1">
      <x:c r="A795" s="2" t="str">
        <x:v>controlled_n5_single_bottleneck_2</x:v>
      </x:c>
      <x:c r="B795" s="2" t="str">
        <x:v>Unmanaged</x:v>
      </x:c>
      <x:c r="C795" s="2"/>
      <x:c r="D795" s="2" t="str">
        <x:v>baseline</x:v>
      </x:c>
      <x:c r="E795" s="2" t="n">
        <x:v>5</x:v>
      </x:c>
      <x:c r="F795" s="7" t="n">
        <x:v>80</x:v>
      </x:c>
      <x:c r="G795" s="7" t="n">
        <x:v>80</x:v>
      </x:c>
      <x:c r="H795" s="7" t="n">
        <x:f>IF(F795=0,"n.a.",100*(F795-G795)/F795)</x:f>
        <x:v>0</x:v>
      </x:c>
      <x:c r="I795" s="7" t="n">
        <x:f>F795-G795</x:f>
        <x:v>0</x:v>
      </x:c>
      <x:c r="J795" s="8"/>
      <x:c r="K795" s="8" t="n">
        <x:v>0.549831790123457</x:v>
      </x:c>
      <x:c r="L795" s="8"/>
      <x:c r="M795" s="7"/>
      <x:c r="N795" s="2" t="str">
        <x:v>unmanaged_input</x:v>
      </x:c>
      <x:c r="O795" s="9"/>
    </x:row>
    <x:row r="796" ht="18" customHeight="1">
      <x:c r="A796" s="2" t="str">
        <x:v>controlled_n5_single_bottleneck_2</x:v>
      </x:c>
      <x:c r="B796" s="2" t="str">
        <x:v>Exact J</x:v>
      </x:c>
      <x:c r="C796" s="2"/>
      <x:c r="D796" s="2" t="str">
        <x:v>success</x:v>
      </x:c>
      <x:c r="E796" s="2" t="n">
        <x:v>5</x:v>
      </x:c>
      <x:c r="F796" s="7" t="n">
        <x:v>80</x:v>
      </x:c>
      <x:c r="G796" s="7" t="n">
        <x:v>52.5</x:v>
      </x:c>
      <x:c r="H796" s="7" t="n">
        <x:f>IF(F796=0,"n.a.",100*(F796-G796)/F796)</x:f>
        <x:v>34.375</x:v>
      </x:c>
      <x:c r="I796" s="7" t="n">
        <x:f>F796-G796</x:f>
        <x:v>27.5</x:v>
      </x:c>
      <x:c r="J796" s="8" t="n">
        <x:v>0.549831790123457</x:v>
      </x:c>
      <x:c r="K796" s="8" t="n">
        <x:v>0.549831790123457</x:v>
      </x:c>
      <x:c r="L796" s="8" t="n">
        <x:v>0</x:v>
      </x:c>
      <x:c r="M796" s="7"/>
      <x:c r="N796" s="2" t="str">
        <x:v>exhaustive_enumeration</x:v>
      </x:c>
      <x:c r="O796" s="9" t="str">
        <x:v>00011</x:v>
      </x:c>
    </x:row>
    <x:row r="797" ht="18" customHeight="1">
      <x:c r="A797" s="2" t="str">
        <x:v>controlled_n5_single_bottleneck_2</x:v>
      </x:c>
      <x:c r="B797" s="2" t="str">
        <x:v>Exact peak</x:v>
      </x:c>
      <x:c r="C797" s="2"/>
      <x:c r="D797" s="2" t="str">
        <x:v>success</x:v>
      </x:c>
      <x:c r="E797" s="2" t="n">
        <x:v>5</x:v>
      </x:c>
      <x:c r="F797" s="7" t="n">
        <x:v>80</x:v>
      </x:c>
      <x:c r="G797" s="7" t="n">
        <x:v>52.5</x:v>
      </x:c>
      <x:c r="H797" s="7" t="n">
        <x:f>IF(F797=0,"n.a.",100*(F797-G797)/F797)</x:f>
        <x:v>34.375</x:v>
      </x:c>
      <x:c r="I797" s="7" t="n">
        <x:f>F797-G797</x:f>
        <x:v>27.5</x:v>
      </x:c>
      <x:c r="J797" s="8" t="n">
        <x:v>0.549831790123457</x:v>
      </x:c>
      <x:c r="K797" s="8" t="n">
        <x:v>0.549831790123457</x:v>
      </x:c>
      <x:c r="L797" s="8" t="n">
        <x:v>0</x:v>
      </x:c>
      <x:c r="M797" s="7"/>
      <x:c r="N797" s="2" t="str">
        <x:v>exhaustive_enumeration</x:v>
      </x:c>
      <x:c r="O797" s="9" t="str">
        <x:v>00011</x:v>
      </x:c>
    </x:row>
    <x:row r="798" ht="18" customHeight="1">
      <x:c r="A798" s="2" t="str">
        <x:v>controlled_n5_single_bottleneck_2</x:v>
      </x:c>
      <x:c r="B798" s="2" t="str">
        <x:v>BPSO</x:v>
      </x:c>
      <x:c r="C798" s="2" t="n">
        <x:v>42</x:v>
      </x:c>
      <x:c r="D798" s="2" t="str">
        <x:v>success</x:v>
      </x:c>
      <x:c r="E798" s="2" t="n">
        <x:v>5</x:v>
      </x:c>
      <x:c r="F798" s="7" t="n">
        <x:v>80</x:v>
      </x:c>
      <x:c r="G798" s="7" t="n">
        <x:v>52.5</x:v>
      </x:c>
      <x:c r="H798" s="7" t="n">
        <x:f>IF(F798=0,"n.a.",100*(F798-G798)/F798)</x:f>
        <x:v>34.375</x:v>
      </x:c>
      <x:c r="I798" s="7" t="n">
        <x:f>F798-G798</x:f>
        <x:v>27.5</x:v>
      </x:c>
      <x:c r="J798" s="8" t="n">
        <x:v>0.549831790123457</x:v>
      </x:c>
      <x:c r="K798" s="8" t="n">
        <x:v>0.549831790123457</x:v>
      </x:c>
      <x:c r="L798" s="8" t="n">
        <x:v>0</x:v>
      </x:c>
      <x:c r="M798" s="7" t="n">
        <x:v>15.908299988950603</x:v>
      </x:c>
      <x:c r="N798" s="2" t="str">
        <x:v>repository_particle_dynamics_on_frozen_qubo</x:v>
      </x:c>
      <x:c r="O798" s="9" t="str">
        <x:v>11000</x:v>
      </x:c>
    </x:row>
    <x:row r="799" ht="18" customHeight="1">
      <x:c r="A799" s="2" t="str">
        <x:v>controlled_n5_single_bottleneck_2</x:v>
      </x:c>
      <x:c r="B799" s="2" t="str">
        <x:v>QAOA</x:v>
      </x:c>
      <x:c r="C799" s="2" t="n">
        <x:v>42</x:v>
      </x:c>
      <x:c r="D799" s="2" t="str">
        <x:v>success</x:v>
      </x:c>
      <x:c r="E799" s="2" t="n">
        <x:v>5</x:v>
      </x:c>
      <x:c r="F799" s="7" t="n">
        <x:v>80</x:v>
      </x:c>
      <x:c r="G799" s="7" t="n">
        <x:v>52.5</x:v>
      </x:c>
      <x:c r="H799" s="7" t="n">
        <x:f>IF(F799=0,"n.a.",100*(F799-G799)/F799)</x:f>
        <x:v>34.375</x:v>
      </x:c>
      <x:c r="I799" s="7" t="n">
        <x:f>F799-G799</x:f>
        <x:v>27.5</x:v>
      </x:c>
      <x:c r="J799" s="8" t="n">
        <x:v>0.549831790123457</x:v>
      </x:c>
      <x:c r="K799" s="8" t="n">
        <x:v>0.549831790123457</x:v>
      </x:c>
      <x:c r="L799" s="8" t="n">
        <x:v>0</x:v>
      </x:c>
      <x:c r="M799" s="7" t="n">
        <x:v>258.2691999996314</x:v>
      </x:c>
      <x:c r="N799" s="2" t="str">
        <x:v>qiskit.primitives.StatevectorSampler</x:v>
      </x:c>
      <x:c r="O799" s="9" t="str">
        <x:v>00011</x:v>
      </x:c>
    </x:row>
    <x:row r="800" ht="18" customHeight="1">
      <x:c r="A800" s="2" t="str">
        <x:v>controlled_n5_single_bottleneck_2</x:v>
      </x:c>
      <x:c r="B800" s="2" t="str">
        <x:v>BPSO</x:v>
      </x:c>
      <x:c r="C800" s="2" t="n">
        <x:v>123</x:v>
      </x:c>
      <x:c r="D800" s="2" t="str">
        <x:v>success</x:v>
      </x:c>
      <x:c r="E800" s="2" t="n">
        <x:v>5</x:v>
      </x:c>
      <x:c r="F800" s="7" t="n">
        <x:v>80</x:v>
      </x:c>
      <x:c r="G800" s="7" t="n">
        <x:v>52.5</x:v>
      </x:c>
      <x:c r="H800" s="7" t="n">
        <x:f>IF(F800=0,"n.a.",100*(F800-G800)/F800)</x:f>
        <x:v>34.375</x:v>
      </x:c>
      <x:c r="I800" s="7" t="n">
        <x:f>F800-G800</x:f>
        <x:v>27.5</x:v>
      </x:c>
      <x:c r="J800" s="8" t="n">
        <x:v>0.549831790123457</x:v>
      </x:c>
      <x:c r="K800" s="8" t="n">
        <x:v>0.549831790123457</x:v>
      </x:c>
      <x:c r="L800" s="8" t="n">
        <x:v>0</x:v>
      </x:c>
      <x:c r="M800" s="7" t="n">
        <x:v>14.645399991422892</x:v>
      </x:c>
      <x:c r="N800" s="2" t="str">
        <x:v>repository_particle_dynamics_on_frozen_qubo</x:v>
      </x:c>
      <x:c r="O800" s="9" t="str">
        <x:v>01010</x:v>
      </x:c>
    </x:row>
    <x:row r="801" ht="18" customHeight="1">
      <x:c r="A801" s="2" t="str">
        <x:v>controlled_n5_single_bottleneck_2</x:v>
      </x:c>
      <x:c r="B801" s="2" t="str">
        <x:v>QAOA</x:v>
      </x:c>
      <x:c r="C801" s="2" t="n">
        <x:v>123</x:v>
      </x:c>
      <x:c r="D801" s="2" t="str">
        <x:v>success</x:v>
      </x:c>
      <x:c r="E801" s="2" t="n">
        <x:v>5</x:v>
      </x:c>
      <x:c r="F801" s="7" t="n">
        <x:v>80</x:v>
      </x:c>
      <x:c r="G801" s="7" t="n">
        <x:v>52.5</x:v>
      </x:c>
      <x:c r="H801" s="7" t="n">
        <x:f>IF(F801=0,"n.a.",100*(F801-G801)/F801)</x:f>
        <x:v>34.375</x:v>
      </x:c>
      <x:c r="I801" s="7" t="n">
        <x:f>F801-G801</x:f>
        <x:v>27.5</x:v>
      </x:c>
      <x:c r="J801" s="8" t="n">
        <x:v>0.549831790123457</x:v>
      </x:c>
      <x:c r="K801" s="8" t="n">
        <x:v>0.549831790123457</x:v>
      </x:c>
      <x:c r="L801" s="8" t="n">
        <x:v>0</x:v>
      </x:c>
      <x:c r="M801" s="7" t="n">
        <x:v>229.0936000063084</x:v>
      </x:c>
      <x:c r="N801" s="2" t="str">
        <x:v>qiskit.primitives.StatevectorSampler</x:v>
      </x:c>
      <x:c r="O801" s="9" t="str">
        <x:v>01100</x:v>
      </x:c>
    </x:row>
    <x:row r="802" ht="18" customHeight="1">
      <x:c r="A802" s="2" t="str">
        <x:v>controlled_n5_single_bottleneck_2</x:v>
      </x:c>
      <x:c r="B802" s="2" t="str">
        <x:v>BPSO</x:v>
      </x:c>
      <x:c r="C802" s="2" t="n">
        <x:v>456</x:v>
      </x:c>
      <x:c r="D802" s="2" t="str">
        <x:v>success</x:v>
      </x:c>
      <x:c r="E802" s="2" t="n">
        <x:v>5</x:v>
      </x:c>
      <x:c r="F802" s="7" t="n">
        <x:v>80</x:v>
      </x:c>
      <x:c r="G802" s="7" t="n">
        <x:v>52.5</x:v>
      </x:c>
      <x:c r="H802" s="7" t="n">
        <x:f>IF(F802=0,"n.a.",100*(F802-G802)/F802)</x:f>
        <x:v>34.375</x:v>
      </x:c>
      <x:c r="I802" s="7" t="n">
        <x:f>F802-G802</x:f>
        <x:v>27.5</x:v>
      </x:c>
      <x:c r="J802" s="8" t="n">
        <x:v>0.549831790123457</x:v>
      </x:c>
      <x:c r="K802" s="8" t="n">
        <x:v>0.549831790123457</x:v>
      </x:c>
      <x:c r="L802" s="8" t="n">
        <x:v>0</x:v>
      </x:c>
      <x:c r="M802" s="7" t="n">
        <x:v>14.651399993454106</x:v>
      </x:c>
      <x:c r="N802" s="2" t="str">
        <x:v>repository_particle_dynamics_on_frozen_qubo</x:v>
      </x:c>
      <x:c r="O802" s="9" t="str">
        <x:v>00011</x:v>
      </x:c>
    </x:row>
    <x:row r="803" ht="18" customHeight="1">
      <x:c r="A803" s="2" t="str">
        <x:v>controlled_n5_single_bottleneck_2</x:v>
      </x:c>
      <x:c r="B803" s="2" t="str">
        <x:v>QAOA</x:v>
      </x:c>
      <x:c r="C803" s="2" t="n">
        <x:v>456</x:v>
      </x:c>
      <x:c r="D803" s="2" t="str">
        <x:v>success</x:v>
      </x:c>
      <x:c r="E803" s="2" t="n">
        <x:v>5</x:v>
      </x:c>
      <x:c r="F803" s="7" t="n">
        <x:v>80</x:v>
      </x:c>
      <x:c r="G803" s="7" t="n">
        <x:v>52.5</x:v>
      </x:c>
      <x:c r="H803" s="7" t="n">
        <x:f>IF(F803=0,"n.a.",100*(F803-G803)/F803)</x:f>
        <x:v>34.375</x:v>
      </x:c>
      <x:c r="I803" s="7" t="n">
        <x:f>F803-G803</x:f>
        <x:v>27.5</x:v>
      </x:c>
      <x:c r="J803" s="8" t="n">
        <x:v>0.549831790123457</x:v>
      </x:c>
      <x:c r="K803" s="8" t="n">
        <x:v>0.549831790123457</x:v>
      </x:c>
      <x:c r="L803" s="8" t="n">
        <x:v>0</x:v>
      </x:c>
      <x:c r="M803" s="7" t="n">
        <x:v>181.56169999565464</x:v>
      </x:c>
      <x:c r="N803" s="2" t="str">
        <x:v>qiskit.primitives.StatevectorSampler</x:v>
      </x:c>
      <x:c r="O803" s="9" t="str">
        <x:v>01100</x:v>
      </x:c>
    </x:row>
    <x:row r="804" ht="18" customHeight="1">
      <x:c r="A804" s="2" t="str">
        <x:v>controlled_n5_single_bottleneck_2</x:v>
      </x:c>
      <x:c r="B804" s="2" t="str">
        <x:v>BPSO</x:v>
      </x:c>
      <x:c r="C804" s="2" t="n">
        <x:v>789</x:v>
      </x:c>
      <x:c r="D804" s="2" t="str">
        <x:v>success</x:v>
      </x:c>
      <x:c r="E804" s="2" t="n">
        <x:v>5</x:v>
      </x:c>
      <x:c r="F804" s="7" t="n">
        <x:v>80</x:v>
      </x:c>
      <x:c r="G804" s="7" t="n">
        <x:v>52.5</x:v>
      </x:c>
      <x:c r="H804" s="7" t="n">
        <x:f>IF(F804=0,"n.a.",100*(F804-G804)/F804)</x:f>
        <x:v>34.375</x:v>
      </x:c>
      <x:c r="I804" s="7" t="n">
        <x:f>F804-G804</x:f>
        <x:v>27.5</x:v>
      </x:c>
      <x:c r="J804" s="8" t="n">
        <x:v>0.549831790123457</x:v>
      </x:c>
      <x:c r="K804" s="8" t="n">
        <x:v>0.549831790123457</x:v>
      </x:c>
      <x:c r="L804" s="8" t="n">
        <x:v>0</x:v>
      </x:c>
      <x:c r="M804" s="7" t="n">
        <x:v>14.897999993991107</x:v>
      </x:c>
      <x:c r="N804" s="2" t="str">
        <x:v>repository_particle_dynamics_on_frozen_qubo</x:v>
      </x:c>
      <x:c r="O804" s="9" t="str">
        <x:v>01100</x:v>
      </x:c>
    </x:row>
    <x:row r="805" ht="18" customHeight="1">
      <x:c r="A805" s="2" t="str">
        <x:v>controlled_n5_single_bottleneck_2</x:v>
      </x:c>
      <x:c r="B805" s="2" t="str">
        <x:v>QAOA</x:v>
      </x:c>
      <x:c r="C805" s="2" t="n">
        <x:v>789</x:v>
      </x:c>
      <x:c r="D805" s="2" t="str">
        <x:v>success</x:v>
      </x:c>
      <x:c r="E805" s="2" t="n">
        <x:v>5</x:v>
      </x:c>
      <x:c r="F805" s="7" t="n">
        <x:v>80</x:v>
      </x:c>
      <x:c r="G805" s="7" t="n">
        <x:v>52.5</x:v>
      </x:c>
      <x:c r="H805" s="7" t="n">
        <x:f>IF(F805=0,"n.a.",100*(F805-G805)/F805)</x:f>
        <x:v>34.375</x:v>
      </x:c>
      <x:c r="I805" s="7" t="n">
        <x:f>F805-G805</x:f>
        <x:v>27.5</x:v>
      </x:c>
      <x:c r="J805" s="8" t="n">
        <x:v>0.549831790123457</x:v>
      </x:c>
      <x:c r="K805" s="8" t="n">
        <x:v>0.549831790123457</x:v>
      </x:c>
      <x:c r="L805" s="8" t="n">
        <x:v>0</x:v>
      </x:c>
      <x:c r="M805" s="7" t="n">
        <x:v>195.08130000031088</x:v>
      </x:c>
      <x:c r="N805" s="2" t="str">
        <x:v>qiskit.primitives.StatevectorSampler</x:v>
      </x:c>
      <x:c r="O805" s="9" t="str">
        <x:v>10100</x:v>
      </x:c>
    </x:row>
    <x:row r="806" ht="18" customHeight="1">
      <x:c r="A806" s="2" t="str">
        <x:v>controlled_n5_single_bottleneck_2</x:v>
      </x:c>
      <x:c r="B806" s="2" t="str">
        <x:v>BPSO</x:v>
      </x:c>
      <x:c r="C806" s="2" t="n">
        <x:v>2026</x:v>
      </x:c>
      <x:c r="D806" s="2" t="str">
        <x:v>success</x:v>
      </x:c>
      <x:c r="E806" s="2" t="n">
        <x:v>5</x:v>
      </x:c>
      <x:c r="F806" s="7" t="n">
        <x:v>80</x:v>
      </x:c>
      <x:c r="G806" s="7" t="n">
        <x:v>52.5</x:v>
      </x:c>
      <x:c r="H806" s="7" t="n">
        <x:f>IF(F806=0,"n.a.",100*(F806-G806)/F806)</x:f>
        <x:v>34.375</x:v>
      </x:c>
      <x:c r="I806" s="7" t="n">
        <x:f>F806-G806</x:f>
        <x:v>27.5</x:v>
      </x:c>
      <x:c r="J806" s="8" t="n">
        <x:v>0.549831790123457</x:v>
      </x:c>
      <x:c r="K806" s="8" t="n">
        <x:v>0.549831790123457</x:v>
      </x:c>
      <x:c r="L806" s="8" t="n">
        <x:v>0</x:v>
      </x:c>
      <x:c r="M806" s="7" t="n">
        <x:v>14.723000000230968</x:v>
      </x:c>
      <x:c r="N806" s="2" t="str">
        <x:v>repository_particle_dynamics_on_frozen_qubo</x:v>
      </x:c>
      <x:c r="O806" s="9" t="str">
        <x:v>10100</x:v>
      </x:c>
    </x:row>
    <x:row r="807" ht="18" customHeight="1">
      <x:c r="A807" s="2" t="str">
        <x:v>controlled_n5_single_bottleneck_2</x:v>
      </x:c>
      <x:c r="B807" s="2" t="str">
        <x:v>QAOA</x:v>
      </x:c>
      <x:c r="C807" s="2" t="n">
        <x:v>2026</x:v>
      </x:c>
      <x:c r="D807" s="2" t="str">
        <x:v>success</x:v>
      </x:c>
      <x:c r="E807" s="2" t="n">
        <x:v>5</x:v>
      </x:c>
      <x:c r="F807" s="7" t="n">
        <x:v>80</x:v>
      </x:c>
      <x:c r="G807" s="7" t="n">
        <x:v>52.5</x:v>
      </x:c>
      <x:c r="H807" s="7" t="n">
        <x:f>IF(F807=0,"n.a.",100*(F807-G807)/F807)</x:f>
        <x:v>34.375</x:v>
      </x:c>
      <x:c r="I807" s="7" t="n">
        <x:f>F807-G807</x:f>
        <x:v>27.5</x:v>
      </x:c>
      <x:c r="J807" s="8" t="n">
        <x:v>0.549831790123457</x:v>
      </x:c>
      <x:c r="K807" s="8" t="n">
        <x:v>0.549831790123457</x:v>
      </x:c>
      <x:c r="L807" s="8" t="n">
        <x:v>0</x:v>
      </x:c>
      <x:c r="M807" s="7" t="n">
        <x:v>202.63790000171866</x:v>
      </x:c>
      <x:c r="N807" s="2" t="str">
        <x:v>qiskit.primitives.StatevectorSampler</x:v>
      </x:c>
      <x:c r="O807" s="9" t="str">
        <x:v>01100</x:v>
      </x:c>
    </x:row>
    <x:row r="808" ht="18" customHeight="1">
      <x:c r="A808" s="2" t="str">
        <x:v>controlled_n5_single_bottleneck_3</x:v>
      </x:c>
      <x:c r="B808" s="2" t="str">
        <x:v>Unmanaged</x:v>
      </x:c>
      <x:c r="C808" s="2"/>
      <x:c r="D808" s="2" t="str">
        <x:v>baseline</x:v>
      </x:c>
      <x:c r="E808" s="2" t="n">
        <x:v>8</x:v>
      </x:c>
      <x:c r="F808" s="7" t="n">
        <x:v>95</x:v>
      </x:c>
      <x:c r="G808" s="7" t="n">
        <x:v>95</x:v>
      </x:c>
      <x:c r="H808" s="7" t="n">
        <x:f>IF(F808=0,"n.a.",100*(F808-G808)/F808)</x:f>
        <x:v>0</x:v>
      </x:c>
      <x:c r="I808" s="7" t="n">
        <x:f>F808-G808</x:f>
        <x:v>0</x:v>
      </x:c>
      <x:c r="J808" s="8"/>
      <x:c r="K808" s="8" t="n">
        <x:v>0.6533919753086419</x:v>
      </x:c>
      <x:c r="L808" s="8"/>
      <x:c r="M808" s="7"/>
      <x:c r="N808" s="2" t="str">
        <x:v>unmanaged_input</x:v>
      </x:c>
      <x:c r="O808" s="9"/>
    </x:row>
    <x:row r="809" ht="18" customHeight="1">
      <x:c r="A809" s="2" t="str">
        <x:v>controlled_n5_single_bottleneck_3</x:v>
      </x:c>
      <x:c r="B809" s="2" t="str">
        <x:v>Exact J</x:v>
      </x:c>
      <x:c r="C809" s="2"/>
      <x:c r="D809" s="2" t="str">
        <x:v>success</x:v>
      </x:c>
      <x:c r="E809" s="2" t="n">
        <x:v>8</x:v>
      </x:c>
      <x:c r="F809" s="7" t="n">
        <x:v>95</x:v>
      </x:c>
      <x:c r="G809" s="7" t="n">
        <x:v>63.33333333333333</x:v>
      </x:c>
      <x:c r="H809" s="7" t="n">
        <x:f>IF(F809=0,"n.a.",100*(F809-G809)/F809)</x:f>
        <x:v>33.333333333333336</x:v>
      </x:c>
      <x:c r="I809" s="7" t="n">
        <x:f>F809-G809</x:f>
        <x:v>31.66666666666667</x:v>
      </x:c>
      <x:c r="J809" s="8" t="n">
        <x:v>0.6533919753086419</x:v>
      </x:c>
      <x:c r="K809" s="8" t="n">
        <x:v>0.6533919753086419</x:v>
      </x:c>
      <x:c r="L809" s="8" t="n">
        <x:v>0</x:v>
      </x:c>
      <x:c r="M809" s="7"/>
      <x:c r="N809" s="2" t="str">
        <x:v>exhaustive_enumeration</x:v>
      </x:c>
      <x:c r="O809" s="9" t="str">
        <x:v>00001111</x:v>
      </x:c>
    </x:row>
    <x:row r="810" ht="18" customHeight="1">
      <x:c r="A810" s="2" t="str">
        <x:v>controlled_n5_single_bottleneck_3</x:v>
      </x:c>
      <x:c r="B810" s="2" t="str">
        <x:v>Exact peak</x:v>
      </x:c>
      <x:c r="C810" s="2"/>
      <x:c r="D810" s="2" t="str">
        <x:v>success</x:v>
      </x:c>
      <x:c r="E810" s="2" t="n">
        <x:v>8</x:v>
      </x:c>
      <x:c r="F810" s="7" t="n">
        <x:v>95</x:v>
      </x:c>
      <x:c r="G810" s="7" t="n">
        <x:v>63.33333333333333</x:v>
      </x:c>
      <x:c r="H810" s="7" t="n">
        <x:f>IF(F810=0,"n.a.",100*(F810-G810)/F810)</x:f>
        <x:v>33.333333333333336</x:v>
      </x:c>
      <x:c r="I810" s="7" t="n">
        <x:f>F810-G810</x:f>
        <x:v>31.66666666666667</x:v>
      </x:c>
      <x:c r="J810" s="8" t="n">
        <x:v>0.6533919753086419</x:v>
      </x:c>
      <x:c r="K810" s="8" t="n">
        <x:v>0.6533919753086419</x:v>
      </x:c>
      <x:c r="L810" s="8" t="n">
        <x:v>0</x:v>
      </x:c>
      <x:c r="M810" s="7"/>
      <x:c r="N810" s="2" t="str">
        <x:v>exhaustive_enumeration</x:v>
      </x:c>
      <x:c r="O810" s="9" t="str">
        <x:v>00001111</x:v>
      </x:c>
    </x:row>
    <x:row r="811" ht="18" customHeight="1">
      <x:c r="A811" s="2" t="str">
        <x:v>controlled_n5_single_bottleneck_3</x:v>
      </x:c>
      <x:c r="B811" s="2" t="str">
        <x:v>BPSO</x:v>
      </x:c>
      <x:c r="C811" s="2" t="n">
        <x:v>42</x:v>
      </x:c>
      <x:c r="D811" s="2" t="str">
        <x:v>success</x:v>
      </x:c>
      <x:c r="E811" s="2" t="n">
        <x:v>8</x:v>
      </x:c>
      <x:c r="F811" s="7" t="n">
        <x:v>95</x:v>
      </x:c>
      <x:c r="G811" s="7" t="n">
        <x:v>63.33333333333333</x:v>
      </x:c>
      <x:c r="H811" s="7" t="n">
        <x:f>IF(F811=0,"n.a.",100*(F811-G811)/F811)</x:f>
        <x:v>33.333333333333336</x:v>
      </x:c>
      <x:c r="I811" s="7" t="n">
        <x:f>F811-G811</x:f>
        <x:v>31.66666666666667</x:v>
      </x:c>
      <x:c r="J811" s="8" t="n">
        <x:v>0.6533919753086419</x:v>
      </x:c>
      <x:c r="K811" s="8" t="n">
        <x:v>0.6533919753086419</x:v>
      </x:c>
      <x:c r="L811" s="8" t="n">
        <x:v>0</x:v>
      </x:c>
      <x:c r="M811" s="7" t="n">
        <x:v>18.457199999829754</x:v>
      </x:c>
      <x:c r="N811" s="2" t="str">
        <x:v>repository_particle_dynamics_on_frozen_qubo</x:v>
      </x:c>
      <x:c r="O811" s="9" t="str">
        <x:v>00011101</x:v>
      </x:c>
    </x:row>
    <x:row r="812" ht="18" customHeight="1">
      <x:c r="A812" s="2" t="str">
        <x:v>controlled_n5_single_bottleneck_3</x:v>
      </x:c>
      <x:c r="B812" s="2" t="str">
        <x:v>QAOA</x:v>
      </x:c>
      <x:c r="C812" s="2" t="n">
        <x:v>42</x:v>
      </x:c>
      <x:c r="D812" s="2" t="str">
        <x:v>success</x:v>
      </x:c>
      <x:c r="E812" s="2" t="n">
        <x:v>8</x:v>
      </x:c>
      <x:c r="F812" s="7" t="n">
        <x:v>95</x:v>
      </x:c>
      <x:c r="G812" s="7" t="n">
        <x:v>63.33333333333333</x:v>
      </x:c>
      <x:c r="H812" s="7" t="n">
        <x:f>IF(F812=0,"n.a.",100*(F812-G812)/F812)</x:f>
        <x:v>33.333333333333336</x:v>
      </x:c>
      <x:c r="I812" s="7" t="n">
        <x:f>F812-G812</x:f>
        <x:v>31.66666666666667</x:v>
      </x:c>
      <x:c r="J812" s="8" t="n">
        <x:v>0.6533919753086419</x:v>
      </x:c>
      <x:c r="K812" s="8" t="n">
        <x:v>0.6533919753086419</x:v>
      </x:c>
      <x:c r="L812" s="8" t="n">
        <x:v>0</x:v>
      </x:c>
      <x:c r="M812" s="7" t="n">
        <x:v>556.8242999870563</x:v>
      </x:c>
      <x:c r="N812" s="2" t="str">
        <x:v>qiskit.primitives.StatevectorSampler</x:v>
      </x:c>
      <x:c r="O812" s="9" t="str">
        <x:v>01100011</x:v>
      </x:c>
    </x:row>
    <x:row r="813" ht="18" customHeight="1">
      <x:c r="A813" s="2" t="str">
        <x:v>controlled_n5_single_bottleneck_3</x:v>
      </x:c>
      <x:c r="B813" s="2" t="str">
        <x:v>BPSO</x:v>
      </x:c>
      <x:c r="C813" s="2" t="n">
        <x:v>123</x:v>
      </x:c>
      <x:c r="D813" s="2" t="str">
        <x:v>success</x:v>
      </x:c>
      <x:c r="E813" s="2" t="n">
        <x:v>8</x:v>
      </x:c>
      <x:c r="F813" s="7" t="n">
        <x:v>95</x:v>
      </x:c>
      <x:c r="G813" s="7" t="n">
        <x:v>63.33333333333333</x:v>
      </x:c>
      <x:c r="H813" s="7" t="n">
        <x:f>IF(F813=0,"n.a.",100*(F813-G813)/F813)</x:f>
        <x:v>33.333333333333336</x:v>
      </x:c>
      <x:c r="I813" s="7" t="n">
        <x:f>F813-G813</x:f>
        <x:v>31.66666666666667</x:v>
      </x:c>
      <x:c r="J813" s="8" t="n">
        <x:v>0.6533919753086419</x:v>
      </x:c>
      <x:c r="K813" s="8" t="n">
        <x:v>0.6533919753086419</x:v>
      </x:c>
      <x:c r="L813" s="8" t="n">
        <x:v>0</x:v>
      </x:c>
      <x:c r="M813" s="7" t="n">
        <x:v>18.75389998895116</x:v>
      </x:c>
      <x:c r="N813" s="2" t="str">
        <x:v>repository_particle_dynamics_on_frozen_qubo</x:v>
      </x:c>
      <x:c r="O813" s="9" t="str">
        <x:v>10110001</x:v>
      </x:c>
    </x:row>
    <x:row r="814" ht="18" customHeight="1">
      <x:c r="A814" s="2" t="str">
        <x:v>controlled_n5_single_bottleneck_3</x:v>
      </x:c>
      <x:c r="B814" s="2" t="str">
        <x:v>QAOA</x:v>
      </x:c>
      <x:c r="C814" s="2" t="n">
        <x:v>123</x:v>
      </x:c>
      <x:c r="D814" s="2" t="str">
        <x:v>success</x:v>
      </x:c>
      <x:c r="E814" s="2" t="n">
        <x:v>8</x:v>
      </x:c>
      <x:c r="F814" s="7" t="n">
        <x:v>95</x:v>
      </x:c>
      <x:c r="G814" s="7" t="n">
        <x:v>63.33333333333333</x:v>
      </x:c>
      <x:c r="H814" s="7" t="n">
        <x:f>IF(F814=0,"n.a.",100*(F814-G814)/F814)</x:f>
        <x:v>33.333333333333336</x:v>
      </x:c>
      <x:c r="I814" s="7" t="n">
        <x:f>F814-G814</x:f>
        <x:v>31.66666666666667</x:v>
      </x:c>
      <x:c r="J814" s="8" t="n">
        <x:v>0.6533919753086419</x:v>
      </x:c>
      <x:c r="K814" s="8" t="n">
        <x:v>0.6533919753086419</x:v>
      </x:c>
      <x:c r="L814" s="8" t="n">
        <x:v>0</x:v>
      </x:c>
      <x:c r="M814" s="7" t="n">
        <x:v>627.8993000014452</x:v>
      </x:c>
      <x:c r="N814" s="2" t="str">
        <x:v>qiskit.primitives.StatevectorSampler</x:v>
      </x:c>
      <x:c r="O814" s="9" t="str">
        <x:v>11101000</x:v>
      </x:c>
    </x:row>
    <x:row r="815" ht="18" customHeight="1">
      <x:c r="A815" s="2" t="str">
        <x:v>controlled_n5_single_bottleneck_3</x:v>
      </x:c>
      <x:c r="B815" s="2" t="str">
        <x:v>BPSO</x:v>
      </x:c>
      <x:c r="C815" s="2" t="n">
        <x:v>456</x:v>
      </x:c>
      <x:c r="D815" s="2" t="str">
        <x:v>success</x:v>
      </x:c>
      <x:c r="E815" s="2" t="n">
        <x:v>8</x:v>
      </x:c>
      <x:c r="F815" s="7" t="n">
        <x:v>95</x:v>
      </x:c>
      <x:c r="G815" s="7" t="n">
        <x:v>63.33333333333333</x:v>
      </x:c>
      <x:c r="H815" s="7" t="n">
        <x:f>IF(F815=0,"n.a.",100*(F815-G815)/F815)</x:f>
        <x:v>33.333333333333336</x:v>
      </x:c>
      <x:c r="I815" s="7" t="n">
        <x:f>F815-G815</x:f>
        <x:v>31.66666666666667</x:v>
      </x:c>
      <x:c r="J815" s="8" t="n">
        <x:v>0.6533919753086419</x:v>
      </x:c>
      <x:c r="K815" s="8" t="n">
        <x:v>0.6533919753086419</x:v>
      </x:c>
      <x:c r="L815" s="8" t="n">
        <x:v>0</x:v>
      </x:c>
      <x:c r="M815" s="7" t="n">
        <x:v>18.20160000352189</x:v>
      </x:c>
      <x:c r="N815" s="2" t="str">
        <x:v>repository_particle_dynamics_on_frozen_qubo</x:v>
      </x:c>
      <x:c r="O815" s="9" t="str">
        <x:v>00111010</x:v>
      </x:c>
    </x:row>
    <x:row r="816" ht="18" customHeight="1">
      <x:c r="A816" s="2" t="str">
        <x:v>controlled_n5_single_bottleneck_3</x:v>
      </x:c>
      <x:c r="B816" s="2" t="str">
        <x:v>QAOA</x:v>
      </x:c>
      <x:c r="C816" s="2" t="n">
        <x:v>456</x:v>
      </x:c>
      <x:c r="D816" s="2" t="str">
        <x:v>success</x:v>
      </x:c>
      <x:c r="E816" s="2" t="n">
        <x:v>8</x:v>
      </x:c>
      <x:c r="F816" s="7" t="n">
        <x:v>95</x:v>
      </x:c>
      <x:c r="G816" s="7" t="n">
        <x:v>63.33333333333333</x:v>
      </x:c>
      <x:c r="H816" s="7" t="n">
        <x:f>IF(F816=0,"n.a.",100*(F816-G816)/F816)</x:f>
        <x:v>33.333333333333336</x:v>
      </x:c>
      <x:c r="I816" s="7" t="n">
        <x:f>F816-G816</x:f>
        <x:v>31.66666666666667</x:v>
      </x:c>
      <x:c r="J816" s="8" t="n">
        <x:v>0.6533919753086419</x:v>
      </x:c>
      <x:c r="K816" s="8" t="n">
        <x:v>0.6533919753086419</x:v>
      </x:c>
      <x:c r="L816" s="8" t="n">
        <x:v>0</x:v>
      </x:c>
      <x:c r="M816" s="7" t="n">
        <x:v>412.9581000015605</x:v>
      </x:c>
      <x:c r="N816" s="2" t="str">
        <x:v>qiskit.primitives.StatevectorSampler</x:v>
      </x:c>
      <x:c r="O816" s="9" t="str">
        <x:v>11001100</x:v>
      </x:c>
    </x:row>
    <x:row r="817" ht="18" customHeight="1">
      <x:c r="A817" s="2" t="str">
        <x:v>controlled_n5_single_bottleneck_3</x:v>
      </x:c>
      <x:c r="B817" s="2" t="str">
        <x:v>BPSO</x:v>
      </x:c>
      <x:c r="C817" s="2" t="n">
        <x:v>789</x:v>
      </x:c>
      <x:c r="D817" s="2" t="str">
        <x:v>success</x:v>
      </x:c>
      <x:c r="E817" s="2" t="n">
        <x:v>8</x:v>
      </x:c>
      <x:c r="F817" s="7" t="n">
        <x:v>95</x:v>
      </x:c>
      <x:c r="G817" s="7" t="n">
        <x:v>63.33333333333333</x:v>
      </x:c>
      <x:c r="H817" s="7" t="n">
        <x:f>IF(F817=0,"n.a.",100*(F817-G817)/F817)</x:f>
        <x:v>33.333333333333336</x:v>
      </x:c>
      <x:c r="I817" s="7" t="n">
        <x:f>F817-G817</x:f>
        <x:v>31.66666666666667</x:v>
      </x:c>
      <x:c r="J817" s="8" t="n">
        <x:v>0.6533919753086419</x:v>
      </x:c>
      <x:c r="K817" s="8" t="n">
        <x:v>0.6533919753086419</x:v>
      </x:c>
      <x:c r="L817" s="8" t="n">
        <x:v>0</x:v>
      </x:c>
      <x:c r="M817" s="7" t="n">
        <x:v>17.573500008438714</x:v>
      </x:c>
      <x:c r="N817" s="2" t="str">
        <x:v>repository_particle_dynamics_on_frozen_qubo</x:v>
      </x:c>
      <x:c r="O817" s="9" t="str">
        <x:v>01110010</x:v>
      </x:c>
    </x:row>
    <x:row r="818" ht="18" customHeight="1">
      <x:c r="A818" s="2" t="str">
        <x:v>controlled_n5_single_bottleneck_3</x:v>
      </x:c>
      <x:c r="B818" s="2" t="str">
        <x:v>QAOA</x:v>
      </x:c>
      <x:c r="C818" s="2" t="n">
        <x:v>789</x:v>
      </x:c>
      <x:c r="D818" s="2" t="str">
        <x:v>success</x:v>
      </x:c>
      <x:c r="E818" s="2" t="n">
        <x:v>8</x:v>
      </x:c>
      <x:c r="F818" s="7" t="n">
        <x:v>95</x:v>
      </x:c>
      <x:c r="G818" s="7" t="n">
        <x:v>63.33333333333333</x:v>
      </x:c>
      <x:c r="H818" s="7" t="n">
        <x:f>IF(F818=0,"n.a.",100*(F818-G818)/F818)</x:f>
        <x:v>33.333333333333336</x:v>
      </x:c>
      <x:c r="I818" s="7" t="n">
        <x:f>F818-G818</x:f>
        <x:v>31.66666666666667</x:v>
      </x:c>
      <x:c r="J818" s="8" t="n">
        <x:v>0.6533919753086419</x:v>
      </x:c>
      <x:c r="K818" s="8" t="n">
        <x:v>0.6533919753086419</x:v>
      </x:c>
      <x:c r="L818" s="8" t="n">
        <x:v>0</x:v>
      </x:c>
      <x:c r="M818" s="7" t="n">
        <x:v>527.7691999945091</x:v>
      </x:c>
      <x:c r="N818" s="2" t="str">
        <x:v>qiskit.primitives.StatevectorSampler</x:v>
      </x:c>
      <x:c r="O818" s="9" t="str">
        <x:v>11100010</x:v>
      </x:c>
    </x:row>
    <x:row r="819" ht="18" customHeight="1">
      <x:c r="A819" s="2" t="str">
        <x:v>controlled_n5_single_bottleneck_3</x:v>
      </x:c>
      <x:c r="B819" s="2" t="str">
        <x:v>BPSO</x:v>
      </x:c>
      <x:c r="C819" s="2" t="n">
        <x:v>2026</x:v>
      </x:c>
      <x:c r="D819" s="2" t="str">
        <x:v>success</x:v>
      </x:c>
      <x:c r="E819" s="2" t="n">
        <x:v>8</x:v>
      </x:c>
      <x:c r="F819" s="7" t="n">
        <x:v>95</x:v>
      </x:c>
      <x:c r="G819" s="7" t="n">
        <x:v>63.33333333333333</x:v>
      </x:c>
      <x:c r="H819" s="7" t="n">
        <x:f>IF(F819=0,"n.a.",100*(F819-G819)/F819)</x:f>
        <x:v>33.333333333333336</x:v>
      </x:c>
      <x:c r="I819" s="7" t="n">
        <x:f>F819-G819</x:f>
        <x:v>31.66666666666667</x:v>
      </x:c>
      <x:c r="J819" s="8" t="n">
        <x:v>0.6533919753086419</x:v>
      </x:c>
      <x:c r="K819" s="8" t="n">
        <x:v>0.6533919753086419</x:v>
      </x:c>
      <x:c r="L819" s="8" t="n">
        <x:v>0</x:v>
      </x:c>
      <x:c r="M819" s="7" t="n">
        <x:v>17.993799992837012</x:v>
      </x:c>
      <x:c r="N819" s="2" t="str">
        <x:v>repository_particle_dynamics_on_frozen_qubo</x:v>
      </x:c>
      <x:c r="O819" s="9" t="str">
        <x:v>11100001</x:v>
      </x:c>
    </x:row>
    <x:row r="820" ht="18" customHeight="1">
      <x:c r="A820" s="2" t="str">
        <x:v>controlled_n5_single_bottleneck_3</x:v>
      </x:c>
      <x:c r="B820" s="2" t="str">
        <x:v>QAOA</x:v>
      </x:c>
      <x:c r="C820" s="2" t="n">
        <x:v>2026</x:v>
      </x:c>
      <x:c r="D820" s="2" t="str">
        <x:v>success</x:v>
      </x:c>
      <x:c r="E820" s="2" t="n">
        <x:v>8</x:v>
      </x:c>
      <x:c r="F820" s="7" t="n">
        <x:v>95</x:v>
      </x:c>
      <x:c r="G820" s="7" t="n">
        <x:v>63.33333333333333</x:v>
      </x:c>
      <x:c r="H820" s="7" t="n">
        <x:f>IF(F820=0,"n.a.",100*(F820-G820)/F820)</x:f>
        <x:v>33.333333333333336</x:v>
      </x:c>
      <x:c r="I820" s="7" t="n">
        <x:f>F820-G820</x:f>
        <x:v>31.66666666666667</x:v>
      </x:c>
      <x:c r="J820" s="8" t="n">
        <x:v>0.6533919753086419</x:v>
      </x:c>
      <x:c r="K820" s="8" t="n">
        <x:v>0.6533919753086419</x:v>
      </x:c>
      <x:c r="L820" s="8" t="n">
        <x:v>0</x:v>
      </x:c>
      <x:c r="M820" s="7" t="n">
        <x:v>440.10930000513326</x:v>
      </x:c>
      <x:c r="N820" s="2" t="str">
        <x:v>qiskit.primitives.StatevectorSampler</x:v>
      </x:c>
      <x:c r="O820" s="9" t="str">
        <x:v>00110110</x:v>
      </x:c>
    </x:row>
    <x:row r="821" ht="18" customHeight="1">
      <x:c r="A821" s="2" t="str">
        <x:v>controlled_n5_adjacent_bottlenecks_1</x:v>
      </x:c>
      <x:c r="B821" s="2" t="str">
        <x:v>Unmanaged</x:v>
      </x:c>
      <x:c r="C821" s="2"/>
      <x:c r="D821" s="2" t="str">
        <x:v>baseline</x:v>
      </x:c>
      <x:c r="E821" s="2" t="n">
        <x:v>5</x:v>
      </x:c>
      <x:c r="F821" s="7" t="n">
        <x:v>65</x:v>
      </x:c>
      <x:c r="G821" s="7" t="n">
        <x:v>65</x:v>
      </x:c>
      <x:c r="H821" s="7" t="n">
        <x:f>IF(F821=0,"n.a.",100*(F821-G821)/F821)</x:f>
        <x:v>0</x:v>
      </x:c>
      <x:c r="I821" s="7" t="n">
        <x:f>F821-G821</x:f>
        <x:v>0</x:v>
      </x:c>
      <x:c r="J821" s="8"/>
      <x:c r="K821" s="8" t="n">
        <x:v>0.33454294463734574</x:v>
      </x:c>
      <x:c r="L821" s="8"/>
      <x:c r="M821" s="7"/>
      <x:c r="N821" s="2" t="str">
        <x:v>unmanaged_input</x:v>
      </x:c>
      <x:c r="O821" s="9"/>
    </x:row>
    <x:row r="822" ht="18" customHeight="1">
      <x:c r="A822" s="2" t="str">
        <x:v>controlled_n5_adjacent_bottlenecks_1</x:v>
      </x:c>
      <x:c r="B822" s="2" t="str">
        <x:v>Exact J</x:v>
      </x:c>
      <x:c r="C822" s="2"/>
      <x:c r="D822" s="2" t="str">
        <x:v>success</x:v>
      </x:c>
      <x:c r="E822" s="2" t="n">
        <x:v>5</x:v>
      </x:c>
      <x:c r="F822" s="7" t="n">
        <x:v>65</x:v>
      </x:c>
      <x:c r="G822" s="7" t="n">
        <x:v>55.00000000000001</x:v>
      </x:c>
      <x:c r="H822" s="7" t="n">
        <x:f>IF(F822=0,"n.a.",100*(F822-G822)/F822)</x:f>
        <x:v>15.384615384615374</x:v>
      </x:c>
      <x:c r="I822" s="7" t="n">
        <x:f>F822-G822</x:f>
        <x:v>9.999999999999993</x:v>
      </x:c>
      <x:c r="J822" s="8" t="n">
        <x:v>0.33454294463734574</x:v>
      </x:c>
      <x:c r="K822" s="8" t="n">
        <x:v>0.33454294463734574</x:v>
      </x:c>
      <x:c r="L822" s="8" t="n">
        <x:v>0</x:v>
      </x:c>
      <x:c r="M822" s="7"/>
      <x:c r="N822" s="2" t="str">
        <x:v>exhaustive_enumeration</x:v>
      </x:c>
      <x:c r="O822" s="9" t="str">
        <x:v>00101</x:v>
      </x:c>
    </x:row>
    <x:row r="823" ht="18" customHeight="1">
      <x:c r="A823" s="2" t="str">
        <x:v>controlled_n5_adjacent_bottlenecks_1</x:v>
      </x:c>
      <x:c r="B823" s="2" t="str">
        <x:v>Exact peak</x:v>
      </x:c>
      <x:c r="C823" s="2"/>
      <x:c r="D823" s="2" t="str">
        <x:v>success</x:v>
      </x:c>
      <x:c r="E823" s="2" t="n">
        <x:v>5</x:v>
      </x:c>
      <x:c r="F823" s="7" t="n">
        <x:v>65</x:v>
      </x:c>
      <x:c r="G823" s="7" t="n">
        <x:v>55.00000000000001</x:v>
      </x:c>
      <x:c r="H823" s="7" t="n">
        <x:f>IF(F823=0,"n.a.",100*(F823-G823)/F823)</x:f>
        <x:v>15.384615384615374</x:v>
      </x:c>
      <x:c r="I823" s="7" t="n">
        <x:f>F823-G823</x:f>
        <x:v>9.999999999999993</x:v>
      </x:c>
      <x:c r="J823" s="8" t="n">
        <x:v>0.33454294463734574</x:v>
      </x:c>
      <x:c r="K823" s="8" t="n">
        <x:v>0.33454294463734574</x:v>
      </x:c>
      <x:c r="L823" s="8" t="n">
        <x:v>0</x:v>
      </x:c>
      <x:c r="M823" s="7"/>
      <x:c r="N823" s="2" t="str">
        <x:v>exhaustive_enumeration</x:v>
      </x:c>
      <x:c r="O823" s="9" t="str">
        <x:v>00101</x:v>
      </x:c>
    </x:row>
    <x:row r="824" ht="18" customHeight="1">
      <x:c r="A824" s="2" t="str">
        <x:v>controlled_n5_adjacent_bottlenecks_1</x:v>
      </x:c>
      <x:c r="B824" s="2" t="str">
        <x:v>BPSO</x:v>
      </x:c>
      <x:c r="C824" s="2" t="n">
        <x:v>42</x:v>
      </x:c>
      <x:c r="D824" s="2" t="str">
        <x:v>success</x:v>
      </x:c>
      <x:c r="E824" s="2" t="n">
        <x:v>5</x:v>
      </x:c>
      <x:c r="F824" s="7" t="n">
        <x:v>65</x:v>
      </x:c>
      <x:c r="G824" s="7" t="n">
        <x:v>55.00000000000001</x:v>
      </x:c>
      <x:c r="H824" s="7" t="n">
        <x:f>IF(F824=0,"n.a.",100*(F824-G824)/F824)</x:f>
        <x:v>15.384615384615374</x:v>
      </x:c>
      <x:c r="I824" s="7" t="n">
        <x:f>F824-G824</x:f>
        <x:v>9.999999999999993</x:v>
      </x:c>
      <x:c r="J824" s="8" t="n">
        <x:v>0.33454294463734574</x:v>
      </x:c>
      <x:c r="K824" s="8" t="n">
        <x:v>0.33454294463734574</x:v>
      </x:c>
      <x:c r="L824" s="8" t="n">
        <x:v>0</x:v>
      </x:c>
      <x:c r="M824" s="7" t="n">
        <x:v>14.599400004954077</x:v>
      </x:c>
      <x:c r="N824" s="2" t="str">
        <x:v>repository_particle_dynamics_on_frozen_qubo</x:v>
      </x:c>
      <x:c r="O824" s="9" t="str">
        <x:v>00110</x:v>
      </x:c>
    </x:row>
    <x:row r="825" ht="18" customHeight="1">
      <x:c r="A825" s="2" t="str">
        <x:v>controlled_n5_adjacent_bottlenecks_1</x:v>
      </x:c>
      <x:c r="B825" s="2" t="str">
        <x:v>QAOA</x:v>
      </x:c>
      <x:c r="C825" s="2" t="n">
        <x:v>42</x:v>
      </x:c>
      <x:c r="D825" s="2" t="str">
        <x:v>success</x:v>
      </x:c>
      <x:c r="E825" s="2" t="n">
        <x:v>5</x:v>
      </x:c>
      <x:c r="F825" s="7" t="n">
        <x:v>65</x:v>
      </x:c>
      <x:c r="G825" s="7" t="n">
        <x:v>55.00000000000001</x:v>
      </x:c>
      <x:c r="H825" s="7" t="n">
        <x:f>IF(F825=0,"n.a.",100*(F825-G825)/F825)</x:f>
        <x:v>15.384615384615374</x:v>
      </x:c>
      <x:c r="I825" s="7" t="n">
        <x:f>F825-G825</x:f>
        <x:v>9.999999999999993</x:v>
      </x:c>
      <x:c r="J825" s="8" t="n">
        <x:v>0.33454294463734574</x:v>
      </x:c>
      <x:c r="K825" s="8" t="n">
        <x:v>0.33454294463734574</x:v>
      </x:c>
      <x:c r="L825" s="8" t="n">
        <x:v>0</x:v>
      </x:c>
      <x:c r="M825" s="7" t="n">
        <x:v>239.82729999988806</x:v>
      </x:c>
      <x:c r="N825" s="2" t="str">
        <x:v>qiskit.primitives.StatevectorSampler</x:v>
      </x:c>
      <x:c r="O825" s="9" t="str">
        <x:v>00101</x:v>
      </x:c>
    </x:row>
    <x:row r="826" ht="18" customHeight="1">
      <x:c r="A826" s="2" t="str">
        <x:v>controlled_n5_adjacent_bottlenecks_1</x:v>
      </x:c>
      <x:c r="B826" s="2" t="str">
        <x:v>BPSO</x:v>
      </x:c>
      <x:c r="C826" s="2" t="n">
        <x:v>123</x:v>
      </x:c>
      <x:c r="D826" s="2" t="str">
        <x:v>success</x:v>
      </x:c>
      <x:c r="E826" s="2" t="n">
        <x:v>5</x:v>
      </x:c>
      <x:c r="F826" s="7" t="n">
        <x:v>65</x:v>
      </x:c>
      <x:c r="G826" s="7" t="n">
        <x:v>55.00000000000001</x:v>
      </x:c>
      <x:c r="H826" s="7" t="n">
        <x:f>IF(F826=0,"n.a.",100*(F826-G826)/F826)</x:f>
        <x:v>15.384615384615374</x:v>
      </x:c>
      <x:c r="I826" s="7" t="n">
        <x:f>F826-G826</x:f>
        <x:v>9.999999999999993</x:v>
      </x:c>
      <x:c r="J826" s="8" t="n">
        <x:v>0.33454294463734574</x:v>
      </x:c>
      <x:c r="K826" s="8" t="n">
        <x:v>0.33454294463734574</x:v>
      </x:c>
      <x:c r="L826" s="8" t="n">
        <x:v>0</x:v>
      </x:c>
      <x:c r="M826" s="7" t="n">
        <x:v>16.644700008328073</x:v>
      </x:c>
      <x:c r="N826" s="2" t="str">
        <x:v>repository_particle_dynamics_on_frozen_qubo</x:v>
      </x:c>
      <x:c r="O826" s="9" t="str">
        <x:v>01010</x:v>
      </x:c>
    </x:row>
    <x:row r="827" ht="18" customHeight="1">
      <x:c r="A827" s="2" t="str">
        <x:v>controlled_n5_adjacent_bottlenecks_1</x:v>
      </x:c>
      <x:c r="B827" s="2" t="str">
        <x:v>QAOA</x:v>
      </x:c>
      <x:c r="C827" s="2" t="n">
        <x:v>123</x:v>
      </x:c>
      <x:c r="D827" s="2" t="str">
        <x:v>success</x:v>
      </x:c>
      <x:c r="E827" s="2" t="n">
        <x:v>5</x:v>
      </x:c>
      <x:c r="F827" s="7" t="n">
        <x:v>65</x:v>
      </x:c>
      <x:c r="G827" s="7" t="n">
        <x:v>55.00000000000001</x:v>
      </x:c>
      <x:c r="H827" s="7" t="n">
        <x:f>IF(F827=0,"n.a.",100*(F827-G827)/F827)</x:f>
        <x:v>15.384615384615374</x:v>
      </x:c>
      <x:c r="I827" s="7" t="n">
        <x:f>F827-G827</x:f>
        <x:v>9.999999999999993</x:v>
      </x:c>
      <x:c r="J827" s="8" t="n">
        <x:v>0.33454294463734574</x:v>
      </x:c>
      <x:c r="K827" s="8" t="n">
        <x:v>0.33454294463734574</x:v>
      </x:c>
      <x:c r="L827" s="8" t="n">
        <x:v>0</x:v>
      </x:c>
      <x:c r="M827" s="7" t="n">
        <x:v>261.3733000034699</x:v>
      </x:c>
      <x:c r="N827" s="2" t="str">
        <x:v>qiskit.primitives.StatevectorSampler</x:v>
      </x:c>
      <x:c r="O827" s="9" t="str">
        <x:v>00101</x:v>
      </x:c>
    </x:row>
    <x:row r="828" ht="18" customHeight="1">
      <x:c r="A828" s="2" t="str">
        <x:v>controlled_n5_adjacent_bottlenecks_1</x:v>
      </x:c>
      <x:c r="B828" s="2" t="str">
        <x:v>BPSO</x:v>
      </x:c>
      <x:c r="C828" s="2" t="n">
        <x:v>456</x:v>
      </x:c>
      <x:c r="D828" s="2" t="str">
        <x:v>success</x:v>
      </x:c>
      <x:c r="E828" s="2" t="n">
        <x:v>5</x:v>
      </x:c>
      <x:c r="F828" s="7" t="n">
        <x:v>65</x:v>
      </x:c>
      <x:c r="G828" s="7" t="n">
        <x:v>55.00000000000001</x:v>
      </x:c>
      <x:c r="H828" s="7" t="n">
        <x:f>IF(F828=0,"n.a.",100*(F828-G828)/F828)</x:f>
        <x:v>15.384615384615374</x:v>
      </x:c>
      <x:c r="I828" s="7" t="n">
        <x:f>F828-G828</x:f>
        <x:v>9.999999999999993</x:v>
      </x:c>
      <x:c r="J828" s="8" t="n">
        <x:v>0.33454294463734574</x:v>
      </x:c>
      <x:c r="K828" s="8" t="n">
        <x:v>0.33454294463734574</x:v>
      </x:c>
      <x:c r="L828" s="8" t="n">
        <x:v>0</x:v>
      </x:c>
      <x:c r="M828" s="7" t="n">
        <x:v>14.692400000058115</x:v>
      </x:c>
      <x:c r="N828" s="2" t="str">
        <x:v>repository_particle_dynamics_on_frozen_qubo</x:v>
      </x:c>
      <x:c r="O828" s="9" t="str">
        <x:v>01001</x:v>
      </x:c>
    </x:row>
    <x:row r="829" ht="18" customHeight="1">
      <x:c r="A829" s="2" t="str">
        <x:v>controlled_n5_adjacent_bottlenecks_1</x:v>
      </x:c>
      <x:c r="B829" s="2" t="str">
        <x:v>QAOA</x:v>
      </x:c>
      <x:c r="C829" s="2" t="n">
        <x:v>456</x:v>
      </x:c>
      <x:c r="D829" s="2" t="str">
        <x:v>success</x:v>
      </x:c>
      <x:c r="E829" s="2" t="n">
        <x:v>5</x:v>
      </x:c>
      <x:c r="F829" s="7" t="n">
        <x:v>65</x:v>
      </x:c>
      <x:c r="G829" s="7" t="n">
        <x:v>55.00000000000001</x:v>
      </x:c>
      <x:c r="H829" s="7" t="n">
        <x:f>IF(F829=0,"n.a.",100*(F829-G829)/F829)</x:f>
        <x:v>15.384615384615374</x:v>
      </x:c>
      <x:c r="I829" s="7" t="n">
        <x:f>F829-G829</x:f>
        <x:v>9.999999999999993</x:v>
      </x:c>
      <x:c r="J829" s="8" t="n">
        <x:v>0.33454294463734574</x:v>
      </x:c>
      <x:c r="K829" s="8" t="n">
        <x:v>0.33454294463734574</x:v>
      </x:c>
      <x:c r="L829" s="8" t="n">
        <x:v>0</x:v>
      </x:c>
      <x:c r="M829" s="7" t="n">
        <x:v>221.97009999945294</x:v>
      </x:c>
      <x:c r="N829" s="2" t="str">
        <x:v>qiskit.primitives.StatevectorSampler</x:v>
      </x:c>
      <x:c r="O829" s="9" t="str">
        <x:v>01010</x:v>
      </x:c>
    </x:row>
    <x:row r="830" ht="18" customHeight="1">
      <x:c r="A830" s="2" t="str">
        <x:v>controlled_n5_adjacent_bottlenecks_1</x:v>
      </x:c>
      <x:c r="B830" s="2" t="str">
        <x:v>BPSO</x:v>
      </x:c>
      <x:c r="C830" s="2" t="n">
        <x:v>789</x:v>
      </x:c>
      <x:c r="D830" s="2" t="str">
        <x:v>success</x:v>
      </x:c>
      <x:c r="E830" s="2" t="n">
        <x:v>5</x:v>
      </x:c>
      <x:c r="F830" s="7" t="n">
        <x:v>65</x:v>
      </x:c>
      <x:c r="G830" s="7" t="n">
        <x:v>55.00000000000001</x:v>
      </x:c>
      <x:c r="H830" s="7" t="n">
        <x:f>IF(F830=0,"n.a.",100*(F830-G830)/F830)</x:f>
        <x:v>15.384615384615374</x:v>
      </x:c>
      <x:c r="I830" s="7" t="n">
        <x:f>F830-G830</x:f>
        <x:v>9.999999999999993</x:v>
      </x:c>
      <x:c r="J830" s="8" t="n">
        <x:v>0.33454294463734574</x:v>
      </x:c>
      <x:c r="K830" s="8" t="n">
        <x:v>0.33454294463734574</x:v>
      </x:c>
      <x:c r="L830" s="8" t="n">
        <x:v>0</x:v>
      </x:c>
      <x:c r="M830" s="7" t="n">
        <x:v>14.762199993128888</x:v>
      </x:c>
      <x:c r="N830" s="2" t="str">
        <x:v>repository_particle_dynamics_on_frozen_qubo</x:v>
      </x:c>
      <x:c r="O830" s="9" t="str">
        <x:v>01010</x:v>
      </x:c>
    </x:row>
    <x:row r="831" ht="18" customHeight="1">
      <x:c r="A831" s="2" t="str">
        <x:v>controlled_n5_adjacent_bottlenecks_1</x:v>
      </x:c>
      <x:c r="B831" s="2" t="str">
        <x:v>QAOA</x:v>
      </x:c>
      <x:c r="C831" s="2" t="n">
        <x:v>789</x:v>
      </x:c>
      <x:c r="D831" s="2" t="str">
        <x:v>success</x:v>
      </x:c>
      <x:c r="E831" s="2" t="n">
        <x:v>5</x:v>
      </x:c>
      <x:c r="F831" s="7" t="n">
        <x:v>65</x:v>
      </x:c>
      <x:c r="G831" s="7" t="n">
        <x:v>55.00000000000001</x:v>
      </x:c>
      <x:c r="H831" s="7" t="n">
        <x:f>IF(F831=0,"n.a.",100*(F831-G831)/F831)</x:f>
        <x:v>15.384615384615374</x:v>
      </x:c>
      <x:c r="I831" s="7" t="n">
        <x:f>F831-G831</x:f>
        <x:v>9.999999999999993</x:v>
      </x:c>
      <x:c r="J831" s="8" t="n">
        <x:v>0.33454294463734574</x:v>
      </x:c>
      <x:c r="K831" s="8" t="n">
        <x:v>0.33454294463734574</x:v>
      </x:c>
      <x:c r="L831" s="8" t="n">
        <x:v>0</x:v>
      </x:c>
      <x:c r="M831" s="7" t="n">
        <x:v>161.3227000052575</x:v>
      </x:c>
      <x:c r="N831" s="2" t="str">
        <x:v>qiskit.primitives.StatevectorSampler</x:v>
      </x:c>
      <x:c r="O831" s="9" t="str">
        <x:v>10010</x:v>
      </x:c>
    </x:row>
    <x:row r="832" ht="18" customHeight="1">
      <x:c r="A832" s="2" t="str">
        <x:v>controlled_n5_adjacent_bottlenecks_1</x:v>
      </x:c>
      <x:c r="B832" s="2" t="str">
        <x:v>BPSO</x:v>
      </x:c>
      <x:c r="C832" s="2" t="n">
        <x:v>2026</x:v>
      </x:c>
      <x:c r="D832" s="2" t="str">
        <x:v>success</x:v>
      </x:c>
      <x:c r="E832" s="2" t="n">
        <x:v>5</x:v>
      </x:c>
      <x:c r="F832" s="7" t="n">
        <x:v>65</x:v>
      </x:c>
      <x:c r="G832" s="7" t="n">
        <x:v>55.00000000000001</x:v>
      </x:c>
      <x:c r="H832" s="7" t="n">
        <x:f>IF(F832=0,"n.a.",100*(F832-G832)/F832)</x:f>
        <x:v>15.384615384615374</x:v>
      </x:c>
      <x:c r="I832" s="7" t="n">
        <x:f>F832-G832</x:f>
        <x:v>9.999999999999993</x:v>
      </x:c>
      <x:c r="J832" s="8" t="n">
        <x:v>0.33454294463734574</x:v>
      </x:c>
      <x:c r="K832" s="8" t="n">
        <x:v>0.33454294463734574</x:v>
      </x:c>
      <x:c r="L832" s="8" t="n">
        <x:v>0</x:v>
      </x:c>
      <x:c r="M832" s="7" t="n">
        <x:v>14.633800004958175</x:v>
      </x:c>
      <x:c r="N832" s="2" t="str">
        <x:v>repository_particle_dynamics_on_frozen_qubo</x:v>
      </x:c>
      <x:c r="O832" s="9" t="str">
        <x:v>10010</x:v>
      </x:c>
    </x:row>
    <x:row r="833" ht="18" customHeight="1">
      <x:c r="A833" s="2" t="str">
        <x:v>controlled_n5_adjacent_bottlenecks_1</x:v>
      </x:c>
      <x:c r="B833" s="2" t="str">
        <x:v>QAOA</x:v>
      </x:c>
      <x:c r="C833" s="2" t="n">
        <x:v>2026</x:v>
      </x:c>
      <x:c r="D833" s="2" t="str">
        <x:v>success</x:v>
      </x:c>
      <x:c r="E833" s="2" t="n">
        <x:v>5</x:v>
      </x:c>
      <x:c r="F833" s="7" t="n">
        <x:v>65</x:v>
      </x:c>
      <x:c r="G833" s="7" t="n">
        <x:v>55.00000000000001</x:v>
      </x:c>
      <x:c r="H833" s="7" t="n">
        <x:f>IF(F833=0,"n.a.",100*(F833-G833)/F833)</x:f>
        <x:v>15.384615384615374</x:v>
      </x:c>
      <x:c r="I833" s="7" t="n">
        <x:f>F833-G833</x:f>
        <x:v>9.999999999999993</x:v>
      </x:c>
      <x:c r="J833" s="8" t="n">
        <x:v>0.33454294463734574</x:v>
      </x:c>
      <x:c r="K833" s="8" t="n">
        <x:v>0.33454294463734574</x:v>
      </x:c>
      <x:c r="L833" s="8" t="n">
        <x:v>0</x:v>
      </x:c>
      <x:c r="M833" s="7" t="n">
        <x:v>221.45589999854565</x:v>
      </x:c>
      <x:c r="N833" s="2" t="str">
        <x:v>qiskit.primitives.StatevectorSampler</x:v>
      </x:c>
      <x:c r="O833" s="9" t="str">
        <x:v>01001</x:v>
      </x:c>
    </x:row>
    <x:row r="834" ht="18" customHeight="1">
      <x:c r="A834" s="2" t="str">
        <x:v>controlled_n5_adjacent_bottlenecks_2</x:v>
      </x:c>
      <x:c r="B834" s="2" t="str">
        <x:v>Unmanaged</x:v>
      </x:c>
      <x:c r="C834" s="2"/>
      <x:c r="D834" s="2" t="str">
        <x:v>baseline</x:v>
      </x:c>
      <x:c r="E834" s="2" t="n">
        <x:v>9</x:v>
      </x:c>
      <x:c r="F834" s="7" t="n">
        <x:v>80</x:v>
      </x:c>
      <x:c r="G834" s="7" t="n">
        <x:v>80</x:v>
      </x:c>
      <x:c r="H834" s="7" t="n">
        <x:f>IF(F834=0,"n.a.",100*(F834-G834)/F834)</x:f>
        <x:v>0</x:v>
      </x:c>
      <x:c r="I834" s="7" t="n">
        <x:f>F834-G834</x:f>
        <x:v>0</x:v>
      </x:c>
      <x:c r="J834" s="8"/>
      <x:c r="K834" s="8" t="n">
        <x:v>0.4351928047839507</x:v>
      </x:c>
      <x:c r="L834" s="8"/>
      <x:c r="M834" s="7"/>
      <x:c r="N834" s="2" t="str">
        <x:v>unmanaged_input</x:v>
      </x:c>
      <x:c r="O834" s="9"/>
    </x:row>
    <x:row r="835" ht="18" customHeight="1">
      <x:c r="A835" s="2" t="str">
        <x:v>controlled_n5_adjacent_bottlenecks_2</x:v>
      </x:c>
      <x:c r="B835" s="2" t="str">
        <x:v>Exact J</x:v>
      </x:c>
      <x:c r="C835" s="2"/>
      <x:c r="D835" s="2" t="str">
        <x:v>success</x:v>
      </x:c>
      <x:c r="E835" s="2" t="n">
        <x:v>9</x:v>
      </x:c>
      <x:c r="F835" s="7" t="n">
        <x:v>80</x:v>
      </x:c>
      <x:c r="G835" s="7" t="n">
        <x:v>71.66666666666667</x:v>
      </x:c>
      <x:c r="H835" s="7" t="n">
        <x:f>IF(F835=0,"n.a.",100*(F835-G835)/F835)</x:f>
        <x:v>10.41666666666666</x:v>
      </x:c>
      <x:c r="I835" s="7" t="n">
        <x:f>F835-G835</x:f>
        <x:v>8.333333333333329</x:v>
      </x:c>
      <x:c r="J835" s="8" t="n">
        <x:v>0.4351928047839507</x:v>
      </x:c>
      <x:c r="K835" s="8" t="n">
        <x:v>0.4351928047839507</x:v>
      </x:c>
      <x:c r="L835" s="8" t="n">
        <x:v>0</x:v>
      </x:c>
      <x:c r="M835" s="7"/>
      <x:c r="N835" s="2" t="str">
        <x:v>exhaustive_enumeration</x:v>
      </x:c>
      <x:c r="O835" s="9" t="str">
        <x:v>000110011</x:v>
      </x:c>
    </x:row>
    <x:row r="836" ht="18" customHeight="1">
      <x:c r="A836" s="2" t="str">
        <x:v>controlled_n5_adjacent_bottlenecks_2</x:v>
      </x:c>
      <x:c r="B836" s="2" t="str">
        <x:v>Exact peak</x:v>
      </x:c>
      <x:c r="C836" s="2"/>
      <x:c r="D836" s="2" t="str">
        <x:v>success</x:v>
      </x:c>
      <x:c r="E836" s="2" t="n">
        <x:v>9</x:v>
      </x:c>
      <x:c r="F836" s="7" t="n">
        <x:v>80</x:v>
      </x:c>
      <x:c r="G836" s="7" t="n">
        <x:v>71.66666666666667</x:v>
      </x:c>
      <x:c r="H836" s="7" t="n">
        <x:f>IF(F836=0,"n.a.",100*(F836-G836)/F836)</x:f>
        <x:v>10.41666666666666</x:v>
      </x:c>
      <x:c r="I836" s="7" t="n">
        <x:f>F836-G836</x:f>
        <x:v>8.333333333333329</x:v>
      </x:c>
      <x:c r="J836" s="8" t="n">
        <x:v>0.4351928047839507</x:v>
      </x:c>
      <x:c r="K836" s="8" t="n">
        <x:v>0.4351928047839507</x:v>
      </x:c>
      <x:c r="L836" s="8" t="n">
        <x:v>0</x:v>
      </x:c>
      <x:c r="M836" s="7"/>
      <x:c r="N836" s="2" t="str">
        <x:v>exhaustive_enumeration</x:v>
      </x:c>
      <x:c r="O836" s="9" t="str">
        <x:v>000110011</x:v>
      </x:c>
    </x:row>
    <x:row r="837" ht="18" customHeight="1">
      <x:c r="A837" s="2" t="str">
        <x:v>controlled_n5_adjacent_bottlenecks_2</x:v>
      </x:c>
      <x:c r="B837" s="2" t="str">
        <x:v>BPSO</x:v>
      </x:c>
      <x:c r="C837" s="2" t="n">
        <x:v>42</x:v>
      </x:c>
      <x:c r="D837" s="2" t="str">
        <x:v>success</x:v>
      </x:c>
      <x:c r="E837" s="2" t="n">
        <x:v>9</x:v>
      </x:c>
      <x:c r="F837" s="7" t="n">
        <x:v>80</x:v>
      </x:c>
      <x:c r="G837" s="7" t="n">
        <x:v>71.66666666666667</x:v>
      </x:c>
      <x:c r="H837" s="7" t="n">
        <x:f>IF(F837=0,"n.a.",100*(F837-G837)/F837)</x:f>
        <x:v>10.41666666666666</x:v>
      </x:c>
      <x:c r="I837" s="7" t="n">
        <x:f>F837-G837</x:f>
        <x:v>8.333333333333329</x:v>
      </x:c>
      <x:c r="J837" s="8" t="n">
        <x:v>0.4351928047839507</x:v>
      </x:c>
      <x:c r="K837" s="8" t="n">
        <x:v>0.4351928047839507</x:v>
      </x:c>
      <x:c r="L837" s="8" t="n">
        <x:v>0</x:v>
      </x:c>
      <x:c r="M837" s="7" t="n">
        <x:v>19.52240000537131</x:v>
      </x:c>
      <x:c r="N837" s="2" t="str">
        <x:v>repository_particle_dynamics_on_frozen_qubo</x:v>
      </x:c>
      <x:c r="O837" s="9" t="str">
        <x:v>001011010</x:v>
      </x:c>
    </x:row>
    <x:row r="838" ht="18" customHeight="1">
      <x:c r="A838" s="2" t="str">
        <x:v>controlled_n5_adjacent_bottlenecks_2</x:v>
      </x:c>
      <x:c r="B838" s="2" t="str">
        <x:v>QAOA</x:v>
      </x:c>
      <x:c r="C838" s="2" t="n">
        <x:v>42</x:v>
      </x:c>
      <x:c r="D838" s="2" t="str">
        <x:v>success</x:v>
      </x:c>
      <x:c r="E838" s="2" t="n">
        <x:v>9</x:v>
      </x:c>
      <x:c r="F838" s="7" t="n">
        <x:v>80</x:v>
      </x:c>
      <x:c r="G838" s="7" t="n">
        <x:v>71.66666666666667</x:v>
      </x:c>
      <x:c r="H838" s="7" t="n">
        <x:f>IF(F838=0,"n.a.",100*(F838-G838)/F838)</x:f>
        <x:v>10.41666666666666</x:v>
      </x:c>
      <x:c r="I838" s="7" t="n">
        <x:f>F838-G838</x:f>
        <x:v>8.333333333333329</x:v>
      </x:c>
      <x:c r="J838" s="8" t="n">
        <x:v>0.43519280478395106</x:v>
      </x:c>
      <x:c r="K838" s="8" t="n">
        <x:v>0.4351928047839507</x:v>
      </x:c>
      <x:c r="L838" s="8" t="n">
        <x:v>3.3306690738754696e-16</x:v>
      </x:c>
      <x:c r="M838" s="7" t="n">
        <x:v>605.4427000053693</x:v>
      </x:c>
      <x:c r="N838" s="2" t="str">
        <x:v>qiskit.primitives.StatevectorSampler</x:v>
      </x:c>
      <x:c r="O838" s="9" t="str">
        <x:v>011000011</x:v>
      </x:c>
    </x:row>
    <x:row r="839" ht="18" customHeight="1">
      <x:c r="A839" s="2" t="str">
        <x:v>controlled_n5_adjacent_bottlenecks_2</x:v>
      </x:c>
      <x:c r="B839" s="2" t="str">
        <x:v>BPSO</x:v>
      </x:c>
      <x:c r="C839" s="2" t="n">
        <x:v>123</x:v>
      </x:c>
      <x:c r="D839" s="2" t="str">
        <x:v>success</x:v>
      </x:c>
      <x:c r="E839" s="2" t="n">
        <x:v>9</x:v>
      </x:c>
      <x:c r="F839" s="7" t="n">
        <x:v>80</x:v>
      </x:c>
      <x:c r="G839" s="7" t="n">
        <x:v>71.66666666666667</x:v>
      </x:c>
      <x:c r="H839" s="7" t="n">
        <x:f>IF(F839=0,"n.a.",100*(F839-G839)/F839)</x:f>
        <x:v>10.41666666666666</x:v>
      </x:c>
      <x:c r="I839" s="7" t="n">
        <x:f>F839-G839</x:f>
        <x:v>8.333333333333329</x:v>
      </x:c>
      <x:c r="J839" s="8" t="n">
        <x:v>0.4351928047839507</x:v>
      </x:c>
      <x:c r="K839" s="8" t="n">
        <x:v>0.4351928047839507</x:v>
      </x:c>
      <x:c r="L839" s="8" t="n">
        <x:v>0</x:v>
      </x:c>
      <x:c r="M839" s="7" t="n">
        <x:v>19.24690000305418</x:v>
      </x:c>
      <x:c r="N839" s="2" t="str">
        <x:v>repository_particle_dynamics_on_frozen_qubo</x:v>
      </x:c>
      <x:c r="O839" s="9" t="str">
        <x:v>010011001</x:v>
      </x:c>
    </x:row>
    <x:row r="840" ht="18" customHeight="1">
      <x:c r="A840" s="2" t="str">
        <x:v>controlled_n5_adjacent_bottlenecks_2</x:v>
      </x:c>
      <x:c r="B840" s="2" t="str">
        <x:v>QAOA</x:v>
      </x:c>
      <x:c r="C840" s="2" t="n">
        <x:v>123</x:v>
      </x:c>
      <x:c r="D840" s="2" t="str">
        <x:v>success</x:v>
      </x:c>
      <x:c r="E840" s="2" t="n">
        <x:v>9</x:v>
      </x:c>
      <x:c r="F840" s="7" t="n">
        <x:v>80</x:v>
      </x:c>
      <x:c r="G840" s="7" t="n">
        <x:v>71.66666666666667</x:v>
      </x:c>
      <x:c r="H840" s="7" t="n">
        <x:f>IF(F840=0,"n.a.",100*(F840-G840)/F840)</x:f>
        <x:v>10.41666666666666</x:v>
      </x:c>
      <x:c r="I840" s="7" t="n">
        <x:f>F840-G840</x:f>
        <x:v>8.333333333333329</x:v>
      </x:c>
      <x:c r="J840" s="8" t="n">
        <x:v>0.43519280478395106</x:v>
      </x:c>
      <x:c r="K840" s="8" t="n">
        <x:v>0.4351928047839507</x:v>
      </x:c>
      <x:c r="L840" s="8" t="n">
        <x:v>3.3306690738754696e-16</x:v>
      </x:c>
      <x:c r="M840" s="7" t="n">
        <x:v>628.2249999931082</x:v>
      </x:c>
      <x:c r="N840" s="2" t="str">
        <x:v>qiskit.primitives.StatevectorSampler</x:v>
      </x:c>
      <x:c r="O840" s="9" t="str">
        <x:v>000110101</x:v>
      </x:c>
    </x:row>
    <x:row r="841" ht="18" customHeight="1">
      <x:c r="A841" s="2" t="str">
        <x:v>controlled_n5_adjacent_bottlenecks_2</x:v>
      </x:c>
      <x:c r="B841" s="2" t="str">
        <x:v>BPSO</x:v>
      </x:c>
      <x:c r="C841" s="2" t="n">
        <x:v>456</x:v>
      </x:c>
      <x:c r="D841" s="2" t="str">
        <x:v>success</x:v>
      </x:c>
      <x:c r="E841" s="2" t="n">
        <x:v>9</x:v>
      </x:c>
      <x:c r="F841" s="7" t="n">
        <x:v>80</x:v>
      </x:c>
      <x:c r="G841" s="7" t="n">
        <x:v>71.66666666666667</x:v>
      </x:c>
      <x:c r="H841" s="7" t="n">
        <x:f>IF(F841=0,"n.a.",100*(F841-G841)/F841)</x:f>
        <x:v>10.41666666666666</x:v>
      </x:c>
      <x:c r="I841" s="7" t="n">
        <x:f>F841-G841</x:f>
        <x:v>8.333333333333329</x:v>
      </x:c>
      <x:c r="J841" s="8" t="n">
        <x:v>0.4351928047839507</x:v>
      </x:c>
      <x:c r="K841" s="8" t="n">
        <x:v>0.4351928047839507</x:v>
      </x:c>
      <x:c r="L841" s="8" t="n">
        <x:v>0</x:v>
      </x:c>
      <x:c r="M841" s="7" t="n">
        <x:v>19.211799997719936</x:v>
      </x:c>
      <x:c r="N841" s="2" t="str">
        <x:v>repository_particle_dynamics_on_frozen_qubo</x:v>
      </x:c>
      <x:c r="O841" s="9" t="str">
        <x:v>000111010</x:v>
      </x:c>
    </x:row>
    <x:row r="842" ht="18" customHeight="1">
      <x:c r="A842" s="2" t="str">
        <x:v>controlled_n5_adjacent_bottlenecks_2</x:v>
      </x:c>
      <x:c r="B842" s="2" t="str">
        <x:v>QAOA</x:v>
      </x:c>
      <x:c r="C842" s="2" t="n">
        <x:v>456</x:v>
      </x:c>
      <x:c r="D842" s="2" t="str">
        <x:v>success</x:v>
      </x:c>
      <x:c r="E842" s="2" t="n">
        <x:v>9</x:v>
      </x:c>
      <x:c r="F842" s="7" t="n">
        <x:v>80</x:v>
      </x:c>
      <x:c r="G842" s="7" t="n">
        <x:v>71.66666666666667</x:v>
      </x:c>
      <x:c r="H842" s="7" t="n">
        <x:f>IF(F842=0,"n.a.",100*(F842-G842)/F842)</x:f>
        <x:v>10.41666666666666</x:v>
      </x:c>
      <x:c r="I842" s="7" t="n">
        <x:f>F842-G842</x:f>
        <x:v>8.333333333333329</x:v>
      </x:c>
      <x:c r="J842" s="8" t="n">
        <x:v>0.43519280478395106</x:v>
      </x:c>
      <x:c r="K842" s="8" t="n">
        <x:v>0.4351928047839507</x:v>
      </x:c>
      <x:c r="L842" s="8" t="n">
        <x:v>3.3306690738754696e-16</x:v>
      </x:c>
      <x:c r="M842" s="7" t="n">
        <x:v>509.6900999924401</x:v>
      </x:c>
      <x:c r="N842" s="2" t="str">
        <x:v>qiskit.primitives.StatevectorSampler</x:v>
      </x:c>
      <x:c r="O842" s="9" t="str">
        <x:v>000110110</x:v>
      </x:c>
    </x:row>
    <x:row r="843" ht="18" customHeight="1">
      <x:c r="A843" s="2" t="str">
        <x:v>controlled_n5_adjacent_bottlenecks_2</x:v>
      </x:c>
      <x:c r="B843" s="2" t="str">
        <x:v>BPSO</x:v>
      </x:c>
      <x:c r="C843" s="2" t="n">
        <x:v>789</x:v>
      </x:c>
      <x:c r="D843" s="2" t="str">
        <x:v>success</x:v>
      </x:c>
      <x:c r="E843" s="2" t="n">
        <x:v>9</x:v>
      </x:c>
      <x:c r="F843" s="7" t="n">
        <x:v>80</x:v>
      </x:c>
      <x:c r="G843" s="7" t="n">
        <x:v>71.66666666666667</x:v>
      </x:c>
      <x:c r="H843" s="7" t="n">
        <x:f>IF(F843=0,"n.a.",100*(F843-G843)/F843)</x:f>
        <x:v>10.41666666666666</x:v>
      </x:c>
      <x:c r="I843" s="7" t="n">
        <x:f>F843-G843</x:f>
        <x:v>8.333333333333329</x:v>
      </x:c>
      <x:c r="J843" s="8" t="n">
        <x:v>0.4351928047839507</x:v>
      </x:c>
      <x:c r="K843" s="8" t="n">
        <x:v>0.4351928047839507</x:v>
      </x:c>
      <x:c r="L843" s="8" t="n">
        <x:v>0</x:v>
      </x:c>
      <x:c r="M843" s="7" t="n">
        <x:v>18.98280000023078</x:v>
      </x:c>
      <x:c r="N843" s="2" t="str">
        <x:v>repository_particle_dynamics_on_frozen_qubo</x:v>
      </x:c>
      <x:c r="O843" s="9" t="str">
        <x:v>001011100</x:v>
      </x:c>
    </x:row>
    <x:row r="844" ht="18" customHeight="1">
      <x:c r="A844" s="2" t="str">
        <x:v>controlled_n5_adjacent_bottlenecks_2</x:v>
      </x:c>
      <x:c r="B844" s="2" t="str">
        <x:v>QAOA</x:v>
      </x:c>
      <x:c r="C844" s="2" t="n">
        <x:v>789</x:v>
      </x:c>
      <x:c r="D844" s="2" t="str">
        <x:v>success</x:v>
      </x:c>
      <x:c r="E844" s="2" t="n">
        <x:v>9</x:v>
      </x:c>
      <x:c r="F844" s="7" t="n">
        <x:v>80</x:v>
      </x:c>
      <x:c r="G844" s="7" t="n">
        <x:v>71.66666666666667</x:v>
      </x:c>
      <x:c r="H844" s="7" t="n">
        <x:f>IF(F844=0,"n.a.",100*(F844-G844)/F844)</x:f>
        <x:v>10.41666666666666</x:v>
      </x:c>
      <x:c r="I844" s="7" t="n">
        <x:f>F844-G844</x:f>
        <x:v>8.333333333333329</x:v>
      </x:c>
      <x:c r="J844" s="8" t="n">
        <x:v>0.43519280478395106</x:v>
      </x:c>
      <x:c r="K844" s="8" t="n">
        <x:v>0.4351928047839507</x:v>
      </x:c>
      <x:c r="L844" s="8" t="n">
        <x:v>3.3306690738754696e-16</x:v>
      </x:c>
      <x:c r="M844" s="7" t="n">
        <x:v>590.508499997668</x:v>
      </x:c>
      <x:c r="N844" s="2" t="str">
        <x:v>qiskit.primitives.StatevectorSampler</x:v>
      </x:c>
      <x:c r="O844" s="9" t="str">
        <x:v>011000101</x:v>
      </x:c>
    </x:row>
    <x:row r="845" ht="18" customHeight="1">
      <x:c r="A845" s="2" t="str">
        <x:v>controlled_n5_adjacent_bottlenecks_2</x:v>
      </x:c>
      <x:c r="B845" s="2" t="str">
        <x:v>BPSO</x:v>
      </x:c>
      <x:c r="C845" s="2" t="n">
        <x:v>2026</x:v>
      </x:c>
      <x:c r="D845" s="2" t="str">
        <x:v>success</x:v>
      </x:c>
      <x:c r="E845" s="2" t="n">
        <x:v>9</x:v>
      </x:c>
      <x:c r="F845" s="7" t="n">
        <x:v>80</x:v>
      </x:c>
      <x:c r="G845" s="7" t="n">
        <x:v>71.66666666666667</x:v>
      </x:c>
      <x:c r="H845" s="7" t="n">
        <x:f>IF(F845=0,"n.a.",100*(F845-G845)/F845)</x:f>
        <x:v>10.41666666666666</x:v>
      </x:c>
      <x:c r="I845" s="7" t="n">
        <x:f>F845-G845</x:f>
        <x:v>8.333333333333329</x:v>
      </x:c>
      <x:c r="J845" s="8" t="n">
        <x:v>0.4351928047839507</x:v>
      </x:c>
      <x:c r="K845" s="8" t="n">
        <x:v>0.4351928047839507</x:v>
      </x:c>
      <x:c r="L845" s="8" t="n">
        <x:v>0</x:v>
      </x:c>
      <x:c r="M845" s="7" t="n">
        <x:v>16.151100004208274</x:v>
      </x:c>
      <x:c r="N845" s="2" t="str">
        <x:v>repository_particle_dynamics_on_frozen_qubo</x:v>
      </x:c>
      <x:c r="O845" s="9" t="str">
        <x:v>011001100</x:v>
      </x:c>
    </x:row>
    <x:row r="846" ht="18" customHeight="1">
      <x:c r="A846" s="2" t="str">
        <x:v>controlled_n5_adjacent_bottlenecks_2</x:v>
      </x:c>
      <x:c r="B846" s="2" t="str">
        <x:v>QAOA</x:v>
      </x:c>
      <x:c r="C846" s="2" t="n">
        <x:v>2026</x:v>
      </x:c>
      <x:c r="D846" s="2" t="str">
        <x:v>success</x:v>
      </x:c>
      <x:c r="E846" s="2" t="n">
        <x:v>9</x:v>
      </x:c>
      <x:c r="F846" s="7" t="n">
        <x:v>80</x:v>
      </x:c>
      <x:c r="G846" s="7" t="n">
        <x:v>71.66666666666667</x:v>
      </x:c>
      <x:c r="H846" s="7" t="n">
        <x:f>IF(F846=0,"n.a.",100*(F846-G846)/F846)</x:f>
        <x:v>10.41666666666666</x:v>
      </x:c>
      <x:c r="I846" s="7" t="n">
        <x:f>F846-G846</x:f>
        <x:v>8.333333333333329</x:v>
      </x:c>
      <x:c r="J846" s="8" t="n">
        <x:v>0.43519280478395106</x:v>
      </x:c>
      <x:c r="K846" s="8" t="n">
        <x:v>0.4351928047839507</x:v>
      </x:c>
      <x:c r="L846" s="8" t="n">
        <x:v>3.3306690738754696e-16</x:v>
      </x:c>
      <x:c r="M846" s="7" t="n">
        <x:v>542.7354999992531</x:v>
      </x:c>
      <x:c r="N846" s="2" t="str">
        <x:v>qiskit.primitives.StatevectorSampler</x:v>
      </x:c>
      <x:c r="O846" s="9" t="str">
        <x:v>010100101</x:v>
      </x:c>
    </x:row>
    <x:row r="847" ht="18" customHeight="1">
      <x:c r="A847" s="2" t="str">
        <x:v>controlled_n5_adjacent_bottlenecks_3</x:v>
      </x:c>
      <x:c r="B847" s="2" t="str">
        <x:v>Unmanaged</x:v>
      </x:c>
      <x:c r="C847" s="2"/>
      <x:c r="D847" s="2" t="str">
        <x:v>baseline</x:v>
      </x:c>
      <x:c r="E847" s="2" t="n">
        <x:v>10</x:v>
      </x:c>
      <x:c r="F847" s="7" t="n">
        <x:v>95</x:v>
      </x:c>
      <x:c r="G847" s="7" t="n">
        <x:v>95</x:v>
      </x:c>
      <x:c r="H847" s="7" t="n">
        <x:f>IF(F847=0,"n.a.",100*(F847-G847)/F847)</x:f>
        <x:v>0</x:v>
      </x:c>
      <x:c r="I847" s="7" t="n">
        <x:f>F847-G847</x:f>
        <x:v>0</x:v>
      </x:c>
      <x:c r="J847" s="8"/>
      <x:c r="K847" s="8" t="n">
        <x:v>1.0471605420524694</x:v>
      </x:c>
      <x:c r="L847" s="8"/>
      <x:c r="M847" s="7"/>
      <x:c r="N847" s="2" t="str">
        <x:v>unmanaged_input</x:v>
      </x:c>
      <x:c r="O847" s="9"/>
    </x:row>
    <x:row r="848" ht="18" customHeight="1">
      <x:c r="A848" s="2" t="str">
        <x:v>controlled_n5_adjacent_bottlenecks_3</x:v>
      </x:c>
      <x:c r="B848" s="2" t="str">
        <x:v>Exact J</x:v>
      </x:c>
      <x:c r="C848" s="2"/>
      <x:c r="D848" s="2" t="str">
        <x:v>success</x:v>
      </x:c>
      <x:c r="E848" s="2" t="n">
        <x:v>10</x:v>
      </x:c>
      <x:c r="F848" s="7" t="n">
        <x:v>95</x:v>
      </x:c>
      <x:c r="G848" s="7" t="n">
        <x:v>80</x:v>
      </x:c>
      <x:c r="H848" s="7" t="n">
        <x:f>IF(F848=0,"n.a.",100*(F848-G848)/F848)</x:f>
        <x:v>15.789473684210526</x:v>
      </x:c>
      <x:c r="I848" s="7" t="n">
        <x:f>F848-G848</x:f>
        <x:v>15</x:v>
      </x:c>
      <x:c r="J848" s="8" t="n">
        <x:v>1.0471605420524694</x:v>
      </x:c>
      <x:c r="K848" s="8" t="n">
        <x:v>1.0471605420524694</x:v>
      </x:c>
      <x:c r="L848" s="8" t="n">
        <x:v>0</x:v>
      </x:c>
      <x:c r="M848" s="7"/>
      <x:c r="N848" s="2" t="str">
        <x:v>exhaustive_enumeration</x:v>
      </x:c>
      <x:c r="O848" s="9" t="str">
        <x:v>0000111101</x:v>
      </x:c>
    </x:row>
    <x:row r="849" ht="18" customHeight="1">
      <x:c r="A849" s="2" t="str">
        <x:v>controlled_n5_adjacent_bottlenecks_3</x:v>
      </x:c>
      <x:c r="B849" s="2" t="str">
        <x:v>Exact peak</x:v>
      </x:c>
      <x:c r="C849" s="2"/>
      <x:c r="D849" s="2" t="str">
        <x:v>success</x:v>
      </x:c>
      <x:c r="E849" s="2" t="n">
        <x:v>10</x:v>
      </x:c>
      <x:c r="F849" s="7" t="n">
        <x:v>95</x:v>
      </x:c>
      <x:c r="G849" s="7" t="n">
        <x:v>80</x:v>
      </x:c>
      <x:c r="H849" s="7" t="n">
        <x:f>IF(F849=0,"n.a.",100*(F849-G849)/F849)</x:f>
        <x:v>15.789473684210526</x:v>
      </x:c>
      <x:c r="I849" s="7" t="n">
        <x:f>F849-G849</x:f>
        <x:v>15</x:v>
      </x:c>
      <x:c r="J849" s="8" t="n">
        <x:v>1.0471605420524694</x:v>
      </x:c>
      <x:c r="K849" s="8" t="n">
        <x:v>1.0471605420524694</x:v>
      </x:c>
      <x:c r="L849" s="8" t="n">
        <x:v>0</x:v>
      </x:c>
      <x:c r="M849" s="7"/>
      <x:c r="N849" s="2" t="str">
        <x:v>exhaustive_enumeration</x:v>
      </x:c>
      <x:c r="O849" s="9" t="str">
        <x:v>0000111101</x:v>
      </x:c>
    </x:row>
    <x:row r="850" ht="18" customHeight="1">
      <x:c r="A850" s="2" t="str">
        <x:v>controlled_n5_adjacent_bottlenecks_3</x:v>
      </x:c>
      <x:c r="B850" s="2" t="str">
        <x:v>BPSO</x:v>
      </x:c>
      <x:c r="C850" s="2" t="n">
        <x:v>42</x:v>
      </x:c>
      <x:c r="D850" s="2" t="str">
        <x:v>success</x:v>
      </x:c>
      <x:c r="E850" s="2" t="n">
        <x:v>10</x:v>
      </x:c>
      <x:c r="F850" s="7" t="n">
        <x:v>95</x:v>
      </x:c>
      <x:c r="G850" s="7" t="n">
        <x:v>80</x:v>
      </x:c>
      <x:c r="H850" s="7" t="n">
        <x:f>IF(F850=0,"n.a.",100*(F850-G850)/F850)</x:f>
        <x:v>15.789473684210526</x:v>
      </x:c>
      <x:c r="I850" s="7" t="n">
        <x:f>F850-G850</x:f>
        <x:v>15</x:v>
      </x:c>
      <x:c r="J850" s="8" t="n">
        <x:v>1.0471605420524694</x:v>
      </x:c>
      <x:c r="K850" s="8" t="n">
        <x:v>1.0471605420524694</x:v>
      </x:c>
      <x:c r="L850" s="8" t="n">
        <x:v>0</x:v>
      </x:c>
      <x:c r="M850" s="7" t="n">
        <x:v>20.51519999804441</x:v>
      </x:c>
      <x:c r="N850" s="2" t="str">
        <x:v>repository_particle_dynamics_on_frozen_qubo</x:v>
      </x:c>
      <x:c r="O850" s="9" t="str">
        <x:v>1011100001</x:v>
      </x:c>
    </x:row>
    <x:row r="851" ht="18" customHeight="1">
      <x:c r="A851" s="2" t="str">
        <x:v>controlled_n5_adjacent_bottlenecks_3</x:v>
      </x:c>
      <x:c r="B851" s="2" t="str">
        <x:v>QAOA</x:v>
      </x:c>
      <x:c r="C851" s="2" t="n">
        <x:v>42</x:v>
      </x:c>
      <x:c r="D851" s="2" t="str">
        <x:v>success</x:v>
      </x:c>
      <x:c r="E851" s="2" t="n">
        <x:v>10</x:v>
      </x:c>
      <x:c r="F851" s="7" t="n">
        <x:v>95</x:v>
      </x:c>
      <x:c r="G851" s="7" t="n">
        <x:v>80</x:v>
      </x:c>
      <x:c r="H851" s="7" t="n">
        <x:f>IF(F851=0,"n.a.",100*(F851-G851)/F851)</x:f>
        <x:v>15.789473684210526</x:v>
      </x:c>
      <x:c r="I851" s="7" t="n">
        <x:f>F851-G851</x:f>
        <x:v>15</x:v>
      </x:c>
      <x:c r="J851" s="8" t="n">
        <x:v>1.0471605420524694</x:v>
      </x:c>
      <x:c r="K851" s="8" t="n">
        <x:v>1.0471605420524694</x:v>
      </x:c>
      <x:c r="L851" s="8" t="n">
        <x:v>0</x:v>
      </x:c>
      <x:c r="M851" s="7" t="n">
        <x:v>855.7225999975344</x:v>
      </x:c>
      <x:c r="N851" s="2" t="str">
        <x:v>qiskit.primitives.StatevectorSampler</x:v>
      </x:c>
      <x:c r="O851" s="9" t="str">
        <x:v>0100011110</x:v>
      </x:c>
    </x:row>
    <x:row r="852" ht="18" customHeight="1">
      <x:c r="A852" s="2" t="str">
        <x:v>controlled_n5_adjacent_bottlenecks_3</x:v>
      </x:c>
      <x:c r="B852" s="2" t="str">
        <x:v>BPSO</x:v>
      </x:c>
      <x:c r="C852" s="2" t="n">
        <x:v>123</x:v>
      </x:c>
      <x:c r="D852" s="2" t="str">
        <x:v>success</x:v>
      </x:c>
      <x:c r="E852" s="2" t="n">
        <x:v>10</x:v>
      </x:c>
      <x:c r="F852" s="7" t="n">
        <x:v>95</x:v>
      </x:c>
      <x:c r="G852" s="7" t="n">
        <x:v>80</x:v>
      </x:c>
      <x:c r="H852" s="7" t="n">
        <x:f>IF(F852=0,"n.a.",100*(F852-G852)/F852)</x:f>
        <x:v>15.789473684210526</x:v>
      </x:c>
      <x:c r="I852" s="7" t="n">
        <x:f>F852-G852</x:f>
        <x:v>15</x:v>
      </x:c>
      <x:c r="J852" s="8" t="n">
        <x:v>1.0471605420524694</x:v>
      </x:c>
      <x:c r="K852" s="8" t="n">
        <x:v>1.0471605420524694</x:v>
      </x:c>
      <x:c r="L852" s="8" t="n">
        <x:v>0</x:v>
      </x:c>
      <x:c r="M852" s="7" t="n">
        <x:v>20.43720000074245</x:v>
      </x:c>
      <x:c r="N852" s="2" t="str">
        <x:v>repository_particle_dynamics_on_frozen_qubo</x:v>
      </x:c>
      <x:c r="O852" s="9" t="str">
        <x:v>1010011010</x:v>
      </x:c>
    </x:row>
    <x:row r="853" ht="18" customHeight="1">
      <x:c r="A853" s="2" t="str">
        <x:v>controlled_n5_adjacent_bottlenecks_3</x:v>
      </x:c>
      <x:c r="B853" s="2" t="str">
        <x:v>QAOA</x:v>
      </x:c>
      <x:c r="C853" s="2" t="n">
        <x:v>123</x:v>
      </x:c>
      <x:c r="D853" s="2" t="str">
        <x:v>success</x:v>
      </x:c>
      <x:c r="E853" s="2" t="n">
        <x:v>10</x:v>
      </x:c>
      <x:c r="F853" s="7" t="n">
        <x:v>95</x:v>
      </x:c>
      <x:c r="G853" s="7" t="n">
        <x:v>80</x:v>
      </x:c>
      <x:c r="H853" s="7" t="n">
        <x:f>IF(F853=0,"n.a.",100*(F853-G853)/F853)</x:f>
        <x:v>15.789473684210526</x:v>
      </x:c>
      <x:c r="I853" s="7" t="n">
        <x:f>F853-G853</x:f>
        <x:v>15</x:v>
      </x:c>
      <x:c r="J853" s="8" t="n">
        <x:v>1.0471605420524694</x:v>
      </x:c>
      <x:c r="K853" s="8" t="n">
        <x:v>1.0471605420524694</x:v>
      </x:c>
      <x:c r="L853" s="8" t="n">
        <x:v>0</x:v>
      </x:c>
      <x:c r="M853" s="7" t="n">
        <x:v>871.8682000035187</x:v>
      </x:c>
      <x:c r="N853" s="2" t="str">
        <x:v>qiskit.primitives.StatevectorSampler</x:v>
      </x:c>
      <x:c r="O853" s="9" t="str">
        <x:v>0001111001</x:v>
      </x:c>
    </x:row>
    <x:row r="854" ht="18" customHeight="1">
      <x:c r="A854" s="2" t="str">
        <x:v>controlled_n5_adjacent_bottlenecks_3</x:v>
      </x:c>
      <x:c r="B854" s="2" t="str">
        <x:v>BPSO</x:v>
      </x:c>
      <x:c r="C854" s="2" t="n">
        <x:v>456</x:v>
      </x:c>
      <x:c r="D854" s="2" t="str">
        <x:v>success</x:v>
      </x:c>
      <x:c r="E854" s="2" t="n">
        <x:v>10</x:v>
      </x:c>
      <x:c r="F854" s="7" t="n">
        <x:v>95</x:v>
      </x:c>
      <x:c r="G854" s="7" t="n">
        <x:v>80</x:v>
      </x:c>
      <x:c r="H854" s="7" t="n">
        <x:f>IF(F854=0,"n.a.",100*(F854-G854)/F854)</x:f>
        <x:v>15.789473684210526</x:v>
      </x:c>
      <x:c r="I854" s="7" t="n">
        <x:f>F854-G854</x:f>
        <x:v>15</x:v>
      </x:c>
      <x:c r="J854" s="8" t="n">
        <x:v>1.0471605420524694</x:v>
      </x:c>
      <x:c r="K854" s="8" t="n">
        <x:v>1.0471605420524694</x:v>
      </x:c>
      <x:c r="L854" s="8" t="n">
        <x:v>0</x:v>
      </x:c>
      <x:c r="M854" s="7" t="n">
        <x:v>20.986600007745437</x:v>
      </x:c>
      <x:c r="N854" s="2" t="str">
        <x:v>repository_particle_dynamics_on_frozen_qubo</x:v>
      </x:c>
      <x:c r="O854" s="9" t="str">
        <x:v>0111000101</x:v>
      </x:c>
    </x:row>
    <x:row r="855" ht="18" customHeight="1">
      <x:c r="A855" s="2" t="str">
        <x:v>controlled_n5_adjacent_bottlenecks_3</x:v>
      </x:c>
      <x:c r="B855" s="2" t="str">
        <x:v>QAOA</x:v>
      </x:c>
      <x:c r="C855" s="2" t="n">
        <x:v>456</x:v>
      </x:c>
      <x:c r="D855" s="2" t="str">
        <x:v>success</x:v>
      </x:c>
      <x:c r="E855" s="2" t="n">
        <x:v>10</x:v>
      </x:c>
      <x:c r="F855" s="7" t="n">
        <x:v>95</x:v>
      </x:c>
      <x:c r="G855" s="7" t="n">
        <x:v>80</x:v>
      </x:c>
      <x:c r="H855" s="7" t="n">
        <x:f>IF(F855=0,"n.a.",100*(F855-G855)/F855)</x:f>
        <x:v>15.789473684210526</x:v>
      </x:c>
      <x:c r="I855" s="7" t="n">
        <x:f>F855-G855</x:f>
        <x:v>15</x:v>
      </x:c>
      <x:c r="J855" s="8" t="n">
        <x:v>1.0471605420524694</x:v>
      </x:c>
      <x:c r="K855" s="8" t="n">
        <x:v>1.0471605420524694</x:v>
      </x:c>
      <x:c r="L855" s="8" t="n">
        <x:v>0</x:v>
      </x:c>
      <x:c r="M855" s="7" t="n">
        <x:v>716.929699992761</x:v>
      </x:c>
      <x:c r="N855" s="2" t="str">
        <x:v>qiskit.primitives.StatevectorSampler</x:v>
      </x:c>
      <x:c r="O855" s="9" t="str">
        <x:v>0101001110</x:v>
      </x:c>
    </x:row>
    <x:row r="856" ht="18" customHeight="1">
      <x:c r="A856" s="2" t="str">
        <x:v>controlled_n5_adjacent_bottlenecks_3</x:v>
      </x:c>
      <x:c r="B856" s="2" t="str">
        <x:v>BPSO</x:v>
      </x:c>
      <x:c r="C856" s="2" t="n">
        <x:v>789</x:v>
      </x:c>
      <x:c r="D856" s="2" t="str">
        <x:v>success</x:v>
      </x:c>
      <x:c r="E856" s="2" t="n">
        <x:v>10</x:v>
      </x:c>
      <x:c r="F856" s="7" t="n">
        <x:v>95</x:v>
      </x:c>
      <x:c r="G856" s="7" t="n">
        <x:v>80</x:v>
      </x:c>
      <x:c r="H856" s="7" t="n">
        <x:f>IF(F856=0,"n.a.",100*(F856-G856)/F856)</x:f>
        <x:v>15.789473684210526</x:v>
      </x:c>
      <x:c r="I856" s="7" t="n">
        <x:f>F856-G856</x:f>
        <x:v>15</x:v>
      </x:c>
      <x:c r="J856" s="8" t="n">
        <x:v>1.0471605420524694</x:v>
      </x:c>
      <x:c r="K856" s="8" t="n">
        <x:v>1.0471605420524694</x:v>
      </x:c>
      <x:c r="L856" s="8" t="n">
        <x:v>0</x:v>
      </x:c>
      <x:c r="M856" s="7" t="n">
        <x:v>21.338100006687455</x:v>
      </x:c>
      <x:c r="N856" s="2" t="str">
        <x:v>repository_particle_dynamics_on_frozen_qubo</x:v>
      </x:c>
      <x:c r="O856" s="9" t="str">
        <x:v>0000111110</x:v>
      </x:c>
    </x:row>
    <x:row r="857" ht="18" customHeight="1">
      <x:c r="A857" s="2" t="str">
        <x:v>controlled_n5_adjacent_bottlenecks_3</x:v>
      </x:c>
      <x:c r="B857" s="2" t="str">
        <x:v>QAOA</x:v>
      </x:c>
      <x:c r="C857" s="2" t="n">
        <x:v>789</x:v>
      </x:c>
      <x:c r="D857" s="2" t="str">
        <x:v>success</x:v>
      </x:c>
      <x:c r="E857" s="2" t="n">
        <x:v>10</x:v>
      </x:c>
      <x:c r="F857" s="7" t="n">
        <x:v>95</x:v>
      </x:c>
      <x:c r="G857" s="7" t="n">
        <x:v>80</x:v>
      </x:c>
      <x:c r="H857" s="7" t="n">
        <x:f>IF(F857=0,"n.a.",100*(F857-G857)/F857)</x:f>
        <x:v>15.789473684210526</x:v>
      </x:c>
      <x:c r="I857" s="7" t="n">
        <x:f>F857-G857</x:f>
        <x:v>15</x:v>
      </x:c>
      <x:c r="J857" s="8" t="n">
        <x:v>1.0471605420524694</x:v>
      </x:c>
      <x:c r="K857" s="8" t="n">
        <x:v>1.0471605420524694</x:v>
      </x:c>
      <x:c r="L857" s="8" t="n">
        <x:v>0</x:v>
      </x:c>
      <x:c r="M857" s="7" t="n">
        <x:v>734.7995000018273</x:v>
      </x:c>
      <x:c r="N857" s="2" t="str">
        <x:v>qiskit.primitives.StatevectorSampler</x:v>
      </x:c>
      <x:c r="O857" s="9" t="str">
        <x:v>1011100010</x:v>
      </x:c>
    </x:row>
    <x:row r="858" ht="18" customHeight="1">
      <x:c r="A858" s="2" t="str">
        <x:v>controlled_n5_adjacent_bottlenecks_3</x:v>
      </x:c>
      <x:c r="B858" s="2" t="str">
        <x:v>BPSO</x:v>
      </x:c>
      <x:c r="C858" s="2" t="n">
        <x:v>2026</x:v>
      </x:c>
      <x:c r="D858" s="2" t="str">
        <x:v>success</x:v>
      </x:c>
      <x:c r="E858" s="2" t="n">
        <x:v>10</x:v>
      </x:c>
      <x:c r="F858" s="7" t="n">
        <x:v>95</x:v>
      </x:c>
      <x:c r="G858" s="7" t="n">
        <x:v>80</x:v>
      </x:c>
      <x:c r="H858" s="7" t="n">
        <x:f>IF(F858=0,"n.a.",100*(F858-G858)/F858)</x:f>
        <x:v>15.789473684210526</x:v>
      </x:c>
      <x:c r="I858" s="7" t="n">
        <x:f>F858-G858</x:f>
        <x:v>15</x:v>
      </x:c>
      <x:c r="J858" s="8" t="n">
        <x:v>1.0471605420524694</x:v>
      </x:c>
      <x:c r="K858" s="8" t="n">
        <x:v>1.0471605420524694</x:v>
      </x:c>
      <x:c r="L858" s="8" t="n">
        <x:v>0</x:v>
      </x:c>
      <x:c r="M858" s="7" t="n">
        <x:v>20.786100008990616</x:v>
      </x:c>
      <x:c r="N858" s="2" t="str">
        <x:v>repository_particle_dynamics_on_frozen_qubo</x:v>
      </x:c>
      <x:c r="O858" s="9" t="str">
        <x:v>1100001101</x:v>
      </x:c>
    </x:row>
    <x:row r="859" ht="18" customHeight="1">
      <x:c r="A859" s="2" t="str">
        <x:v>controlled_n5_adjacent_bottlenecks_3</x:v>
      </x:c>
      <x:c r="B859" s="2" t="str">
        <x:v>QAOA</x:v>
      </x:c>
      <x:c r="C859" s="2" t="n">
        <x:v>2026</x:v>
      </x:c>
      <x:c r="D859" s="2" t="str">
        <x:v>success</x:v>
      </x:c>
      <x:c r="E859" s="2" t="n">
        <x:v>10</x:v>
      </x:c>
      <x:c r="F859" s="7" t="n">
        <x:v>95</x:v>
      </x:c>
      <x:c r="G859" s="7" t="n">
        <x:v>80</x:v>
      </x:c>
      <x:c r="H859" s="7" t="n">
        <x:f>IF(F859=0,"n.a.",100*(F859-G859)/F859)</x:f>
        <x:v>15.789473684210526</x:v>
      </x:c>
      <x:c r="I859" s="7" t="n">
        <x:f>F859-G859</x:f>
        <x:v>15</x:v>
      </x:c>
      <x:c r="J859" s="8" t="n">
        <x:v>1.0471605420524694</x:v>
      </x:c>
      <x:c r="K859" s="8" t="n">
        <x:v>1.0471605420524694</x:v>
      </x:c>
      <x:c r="L859" s="8" t="n">
        <x:v>0</x:v>
      </x:c>
      <x:c r="M859" s="7" t="n">
        <x:v>797.4946000031196</x:v>
      </x:c>
      <x:c r="N859" s="2" t="str">
        <x:v>qiskit.primitives.StatevectorSampler</x:v>
      </x:c>
      <x:c r="O859" s="9" t="str">
        <x:v>1101100010</x:v>
      </x:c>
    </x:row>
    <x:row r="860" ht="18" customHeight="1">
      <x:c r="A860" s="2" t="str">
        <x:v>controlled_n5_separated_bottlenecks_1</x:v>
      </x:c>
      <x:c r="B860" s="2" t="str">
        <x:v>Unmanaged</x:v>
      </x:c>
      <x:c r="C860" s="2"/>
      <x:c r="D860" s="2" t="str">
        <x:v>baseline</x:v>
      </x:c>
      <x:c r="E860" s="2" t="n">
        <x:v>5</x:v>
      </x:c>
      <x:c r="F860" s="7" t="n">
        <x:v>65</x:v>
      </x:c>
      <x:c r="G860" s="7" t="n">
        <x:v>65</x:v>
      </x:c>
      <x:c r="H860" s="7" t="n">
        <x:f>IF(F860=0,"n.a.",100*(F860-G860)/F860)</x:f>
        <x:v>0</x:v>
      </x:c>
      <x:c r="I860" s="7" t="n">
        <x:f>F860-G860</x:f>
        <x:v>0</x:v>
      </x:c>
      <x:c r="J860" s="8"/>
      <x:c r="K860" s="8" t="n">
        <x:v>0.4446937692901235</x:v>
      </x:c>
      <x:c r="L860" s="8"/>
      <x:c r="M860" s="7"/>
      <x:c r="N860" s="2" t="str">
        <x:v>unmanaged_input</x:v>
      </x:c>
      <x:c r="O860" s="9"/>
    </x:row>
    <x:row r="861" ht="18" customHeight="1">
      <x:c r="A861" s="2" t="str">
        <x:v>controlled_n5_separated_bottlenecks_1</x:v>
      </x:c>
      <x:c r="B861" s="2" t="str">
        <x:v>Exact J</x:v>
      </x:c>
      <x:c r="C861" s="2"/>
      <x:c r="D861" s="2" t="str">
        <x:v>success</x:v>
      </x:c>
      <x:c r="E861" s="2" t="n">
        <x:v>5</x:v>
      </x:c>
      <x:c r="F861" s="7" t="n">
        <x:v>65</x:v>
      </x:c>
      <x:c r="G861" s="7" t="n">
        <x:v>52.5</x:v>
      </x:c>
      <x:c r="H861" s="7" t="n">
        <x:f>IF(F861=0,"n.a.",100*(F861-G861)/F861)</x:f>
        <x:v>19.23076923076923</x:v>
      </x:c>
      <x:c r="I861" s="7" t="n">
        <x:f>F861-G861</x:f>
        <x:v>12.5</x:v>
      </x:c>
      <x:c r="J861" s="8" t="n">
        <x:v>0.4446937692901235</x:v>
      </x:c>
      <x:c r="K861" s="8" t="n">
        <x:v>0.4446937692901235</x:v>
      </x:c>
      <x:c r="L861" s="8" t="n">
        <x:v>0</x:v>
      </x:c>
      <x:c r="M861" s="7"/>
      <x:c r="N861" s="2" t="str">
        <x:v>exhaustive_enumeration</x:v>
      </x:c>
      <x:c r="O861" s="9" t="str">
        <x:v>00101</x:v>
      </x:c>
    </x:row>
    <x:row r="862" ht="18" customHeight="1">
      <x:c r="A862" s="2" t="str">
        <x:v>controlled_n5_separated_bottlenecks_1</x:v>
      </x:c>
      <x:c r="B862" s="2" t="str">
        <x:v>Exact peak</x:v>
      </x:c>
      <x:c r="C862" s="2"/>
      <x:c r="D862" s="2" t="str">
        <x:v>success</x:v>
      </x:c>
      <x:c r="E862" s="2" t="n">
        <x:v>5</x:v>
      </x:c>
      <x:c r="F862" s="7" t="n">
        <x:v>65</x:v>
      </x:c>
      <x:c r="G862" s="7" t="n">
        <x:v>52.5</x:v>
      </x:c>
      <x:c r="H862" s="7" t="n">
        <x:f>IF(F862=0,"n.a.",100*(F862-G862)/F862)</x:f>
        <x:v>19.23076923076923</x:v>
      </x:c>
      <x:c r="I862" s="7" t="n">
        <x:f>F862-G862</x:f>
        <x:v>12.5</x:v>
      </x:c>
      <x:c r="J862" s="8" t="n">
        <x:v>0.4446937692901235</x:v>
      </x:c>
      <x:c r="K862" s="8" t="n">
        <x:v>0.4446937692901235</x:v>
      </x:c>
      <x:c r="L862" s="8" t="n">
        <x:v>0</x:v>
      </x:c>
      <x:c r="M862" s="7"/>
      <x:c r="N862" s="2" t="str">
        <x:v>exhaustive_enumeration</x:v>
      </x:c>
      <x:c r="O862" s="9" t="str">
        <x:v>00101</x:v>
      </x:c>
    </x:row>
    <x:row r="863" ht="18" customHeight="1">
      <x:c r="A863" s="2" t="str">
        <x:v>controlled_n5_separated_bottlenecks_1</x:v>
      </x:c>
      <x:c r="B863" s="2" t="str">
        <x:v>BPSO</x:v>
      </x:c>
      <x:c r="C863" s="2" t="n">
        <x:v>42</x:v>
      </x:c>
      <x:c r="D863" s="2" t="str">
        <x:v>success</x:v>
      </x:c>
      <x:c r="E863" s="2" t="n">
        <x:v>5</x:v>
      </x:c>
      <x:c r="F863" s="7" t="n">
        <x:v>65</x:v>
      </x:c>
      <x:c r="G863" s="7" t="n">
        <x:v>52.5</x:v>
      </x:c>
      <x:c r="H863" s="7" t="n">
        <x:f>IF(F863=0,"n.a.",100*(F863-G863)/F863)</x:f>
        <x:v>19.23076923076923</x:v>
      </x:c>
      <x:c r="I863" s="7" t="n">
        <x:f>F863-G863</x:f>
        <x:v>12.5</x:v>
      </x:c>
      <x:c r="J863" s="8" t="n">
        <x:v>0.4446937692901235</x:v>
      </x:c>
      <x:c r="K863" s="8" t="n">
        <x:v>0.4446937692901235</x:v>
      </x:c>
      <x:c r="L863" s="8" t="n">
        <x:v>0</x:v>
      </x:c>
      <x:c r="M863" s="7" t="n">
        <x:v>14.819599993643351</x:v>
      </x:c>
      <x:c r="N863" s="2" t="str">
        <x:v>repository_particle_dynamics_on_frozen_qubo</x:v>
      </x:c>
      <x:c r="O863" s="9" t="str">
        <x:v>00110</x:v>
      </x:c>
    </x:row>
    <x:row r="864" ht="18" customHeight="1">
      <x:c r="A864" s="2" t="str">
        <x:v>controlled_n5_separated_bottlenecks_1</x:v>
      </x:c>
      <x:c r="B864" s="2" t="str">
        <x:v>QAOA</x:v>
      </x:c>
      <x:c r="C864" s="2" t="n">
        <x:v>42</x:v>
      </x:c>
      <x:c r="D864" s="2" t="str">
        <x:v>success</x:v>
      </x:c>
      <x:c r="E864" s="2" t="n">
        <x:v>5</x:v>
      </x:c>
      <x:c r="F864" s="7" t="n">
        <x:v>65</x:v>
      </x:c>
      <x:c r="G864" s="7" t="n">
        <x:v>52.5</x:v>
      </x:c>
      <x:c r="H864" s="7" t="n">
        <x:f>IF(F864=0,"n.a.",100*(F864-G864)/F864)</x:f>
        <x:v>19.23076923076923</x:v>
      </x:c>
      <x:c r="I864" s="7" t="n">
        <x:f>F864-G864</x:f>
        <x:v>12.5</x:v>
      </x:c>
      <x:c r="J864" s="8" t="n">
        <x:v>0.4446937692901235</x:v>
      </x:c>
      <x:c r="K864" s="8" t="n">
        <x:v>0.4446937692901235</x:v>
      </x:c>
      <x:c r="L864" s="8" t="n">
        <x:v>0</x:v>
      </x:c>
      <x:c r="M864" s="7" t="n">
        <x:v>183.53490000299644</x:v>
      </x:c>
      <x:c r="N864" s="2" t="str">
        <x:v>qiskit.primitives.StatevectorSampler</x:v>
      </x:c>
      <x:c r="O864" s="9" t="str">
        <x:v>00101</x:v>
      </x:c>
    </x:row>
    <x:row r="865" ht="18" customHeight="1">
      <x:c r="A865" s="2" t="str">
        <x:v>controlled_n5_separated_bottlenecks_1</x:v>
      </x:c>
      <x:c r="B865" s="2" t="str">
        <x:v>BPSO</x:v>
      </x:c>
      <x:c r="C865" s="2" t="n">
        <x:v>123</x:v>
      </x:c>
      <x:c r="D865" s="2" t="str">
        <x:v>success</x:v>
      </x:c>
      <x:c r="E865" s="2" t="n">
        <x:v>5</x:v>
      </x:c>
      <x:c r="F865" s="7" t="n">
        <x:v>65</x:v>
      </x:c>
      <x:c r="G865" s="7" t="n">
        <x:v>52.5</x:v>
      </x:c>
      <x:c r="H865" s="7" t="n">
        <x:f>IF(F865=0,"n.a.",100*(F865-G865)/F865)</x:f>
        <x:v>19.23076923076923</x:v>
      </x:c>
      <x:c r="I865" s="7" t="n">
        <x:f>F865-G865</x:f>
        <x:v>12.5</x:v>
      </x:c>
      <x:c r="J865" s="8" t="n">
        <x:v>0.4446937692901235</x:v>
      </x:c>
      <x:c r="K865" s="8" t="n">
        <x:v>0.4446937692901235</x:v>
      </x:c>
      <x:c r="L865" s="8" t="n">
        <x:v>0</x:v>
      </x:c>
      <x:c r="M865" s="7" t="n">
        <x:v>14.78129999304656</x:v>
      </x:c>
      <x:c r="N865" s="2" t="str">
        <x:v>repository_particle_dynamics_on_frozen_qubo</x:v>
      </x:c>
      <x:c r="O865" s="9" t="str">
        <x:v>01010</x:v>
      </x:c>
    </x:row>
    <x:row r="866" ht="18" customHeight="1">
      <x:c r="A866" s="2" t="str">
        <x:v>controlled_n5_separated_bottlenecks_1</x:v>
      </x:c>
      <x:c r="B866" s="2" t="str">
        <x:v>QAOA</x:v>
      </x:c>
      <x:c r="C866" s="2" t="n">
        <x:v>123</x:v>
      </x:c>
      <x:c r="D866" s="2" t="str">
        <x:v>success</x:v>
      </x:c>
      <x:c r="E866" s="2" t="n">
        <x:v>5</x:v>
      </x:c>
      <x:c r="F866" s="7" t="n">
        <x:v>65</x:v>
      </x:c>
      <x:c r="G866" s="7" t="n">
        <x:v>52.5</x:v>
      </x:c>
      <x:c r="H866" s="7" t="n">
        <x:f>IF(F866=0,"n.a.",100*(F866-G866)/F866)</x:f>
        <x:v>19.23076923076923</x:v>
      </x:c>
      <x:c r="I866" s="7" t="n">
        <x:f>F866-G866</x:f>
        <x:v>12.5</x:v>
      </x:c>
      <x:c r="J866" s="8" t="n">
        <x:v>0.4446937692901235</x:v>
      </x:c>
      <x:c r="K866" s="8" t="n">
        <x:v>0.4446937692901235</x:v>
      </x:c>
      <x:c r="L866" s="8" t="n">
        <x:v>0</x:v>
      </x:c>
      <x:c r="M866" s="7" t="n">
        <x:v>235.45839999860618</x:v>
      </x:c>
      <x:c r="N866" s="2" t="str">
        <x:v>qiskit.primitives.StatevectorSampler</x:v>
      </x:c>
      <x:c r="O866" s="9" t="str">
        <x:v>00101</x:v>
      </x:c>
    </x:row>
    <x:row r="867" ht="18" customHeight="1">
      <x:c r="A867" s="2" t="str">
        <x:v>controlled_n5_separated_bottlenecks_1</x:v>
      </x:c>
      <x:c r="B867" s="2" t="str">
        <x:v>BPSO</x:v>
      </x:c>
      <x:c r="C867" s="2" t="n">
        <x:v>456</x:v>
      </x:c>
      <x:c r="D867" s="2" t="str">
        <x:v>success</x:v>
      </x:c>
      <x:c r="E867" s="2" t="n">
        <x:v>5</x:v>
      </x:c>
      <x:c r="F867" s="7" t="n">
        <x:v>65</x:v>
      </x:c>
      <x:c r="G867" s="7" t="n">
        <x:v>52.5</x:v>
      </x:c>
      <x:c r="H867" s="7" t="n">
        <x:f>IF(F867=0,"n.a.",100*(F867-G867)/F867)</x:f>
        <x:v>19.23076923076923</x:v>
      </x:c>
      <x:c r="I867" s="7" t="n">
        <x:f>F867-G867</x:f>
        <x:v>12.5</x:v>
      </x:c>
      <x:c r="J867" s="8" t="n">
        <x:v>0.4446937692901235</x:v>
      </x:c>
      <x:c r="K867" s="8" t="n">
        <x:v>0.4446937692901235</x:v>
      </x:c>
      <x:c r="L867" s="8" t="n">
        <x:v>0</x:v>
      </x:c>
      <x:c r="M867" s="7" t="n">
        <x:v>14.62060000631027</x:v>
      </x:c>
      <x:c r="N867" s="2" t="str">
        <x:v>repository_particle_dynamics_on_frozen_qubo</x:v>
      </x:c>
      <x:c r="O867" s="9" t="str">
        <x:v>01001</x:v>
      </x:c>
    </x:row>
    <x:row r="868" ht="18" customHeight="1">
      <x:c r="A868" s="2" t="str">
        <x:v>controlled_n5_separated_bottlenecks_1</x:v>
      </x:c>
      <x:c r="B868" s="2" t="str">
        <x:v>QAOA</x:v>
      </x:c>
      <x:c r="C868" s="2" t="n">
        <x:v>456</x:v>
      </x:c>
      <x:c r="D868" s="2" t="str">
        <x:v>success</x:v>
      </x:c>
      <x:c r="E868" s="2" t="n">
        <x:v>5</x:v>
      </x:c>
      <x:c r="F868" s="7" t="n">
        <x:v>65</x:v>
      </x:c>
      <x:c r="G868" s="7" t="n">
        <x:v>52.5</x:v>
      </x:c>
      <x:c r="H868" s="7" t="n">
        <x:f>IF(F868=0,"n.a.",100*(F868-G868)/F868)</x:f>
        <x:v>19.23076923076923</x:v>
      </x:c>
      <x:c r="I868" s="7" t="n">
        <x:f>F868-G868</x:f>
        <x:v>12.5</x:v>
      </x:c>
      <x:c r="J868" s="8" t="n">
        <x:v>0.4446937692901235</x:v>
      </x:c>
      <x:c r="K868" s="8" t="n">
        <x:v>0.4446937692901235</x:v>
      </x:c>
      <x:c r="L868" s="8" t="n">
        <x:v>0</x:v>
      </x:c>
      <x:c r="M868" s="7" t="n">
        <x:v>233.48499998974148</x:v>
      </x:c>
      <x:c r="N868" s="2" t="str">
        <x:v>qiskit.primitives.StatevectorSampler</x:v>
      </x:c>
      <x:c r="O868" s="9" t="str">
        <x:v>01010</x:v>
      </x:c>
    </x:row>
    <x:row r="869" ht="18" customHeight="1">
      <x:c r="A869" s="2" t="str">
        <x:v>controlled_n5_separated_bottlenecks_1</x:v>
      </x:c>
      <x:c r="B869" s="2" t="str">
        <x:v>BPSO</x:v>
      </x:c>
      <x:c r="C869" s="2" t="n">
        <x:v>789</x:v>
      </x:c>
      <x:c r="D869" s="2" t="str">
        <x:v>success</x:v>
      </x:c>
      <x:c r="E869" s="2" t="n">
        <x:v>5</x:v>
      </x:c>
      <x:c r="F869" s="7" t="n">
        <x:v>65</x:v>
      </x:c>
      <x:c r="G869" s="7" t="n">
        <x:v>52.5</x:v>
      </x:c>
      <x:c r="H869" s="7" t="n">
        <x:f>IF(F869=0,"n.a.",100*(F869-G869)/F869)</x:f>
        <x:v>19.23076923076923</x:v>
      </x:c>
      <x:c r="I869" s="7" t="n">
        <x:f>F869-G869</x:f>
        <x:v>12.5</x:v>
      </x:c>
      <x:c r="J869" s="8" t="n">
        <x:v>0.4446937692901235</x:v>
      </x:c>
      <x:c r="K869" s="8" t="n">
        <x:v>0.4446937692901235</x:v>
      </x:c>
      <x:c r="L869" s="8" t="n">
        <x:v>0</x:v>
      </x:c>
      <x:c r="M869" s="7" t="n">
        <x:v>15.819500011275522</x:v>
      </x:c>
      <x:c r="N869" s="2" t="str">
        <x:v>repository_particle_dynamics_on_frozen_qubo</x:v>
      </x:c>
      <x:c r="O869" s="9" t="str">
        <x:v>01010</x:v>
      </x:c>
    </x:row>
    <x:row r="870" ht="18" customHeight="1">
      <x:c r="A870" s="2" t="str">
        <x:v>controlled_n5_separated_bottlenecks_1</x:v>
      </x:c>
      <x:c r="B870" s="2" t="str">
        <x:v>QAOA</x:v>
      </x:c>
      <x:c r="C870" s="2" t="n">
        <x:v>789</x:v>
      </x:c>
      <x:c r="D870" s="2" t="str">
        <x:v>success</x:v>
      </x:c>
      <x:c r="E870" s="2" t="n">
        <x:v>5</x:v>
      </x:c>
      <x:c r="F870" s="7" t="n">
        <x:v>65</x:v>
      </x:c>
      <x:c r="G870" s="7" t="n">
        <x:v>52.5</x:v>
      </x:c>
      <x:c r="H870" s="7" t="n">
        <x:f>IF(F870=0,"n.a.",100*(F870-G870)/F870)</x:f>
        <x:v>19.23076923076923</x:v>
      </x:c>
      <x:c r="I870" s="7" t="n">
        <x:f>F870-G870</x:f>
        <x:v>12.5</x:v>
      </x:c>
      <x:c r="J870" s="8" t="n">
        <x:v>0.4446937692901235</x:v>
      </x:c>
      <x:c r="K870" s="8" t="n">
        <x:v>0.4446937692901235</x:v>
      </x:c>
      <x:c r="L870" s="8" t="n">
        <x:v>0</x:v>
      </x:c>
      <x:c r="M870" s="7" t="n">
        <x:v>202.73659999656957</x:v>
      </x:c>
      <x:c r="N870" s="2" t="str">
        <x:v>qiskit.primitives.StatevectorSampler</x:v>
      </x:c>
      <x:c r="O870" s="9" t="str">
        <x:v>01001</x:v>
      </x:c>
    </x:row>
    <x:row r="871" ht="18" customHeight="1">
      <x:c r="A871" s="2" t="str">
        <x:v>controlled_n5_separated_bottlenecks_1</x:v>
      </x:c>
      <x:c r="B871" s="2" t="str">
        <x:v>BPSO</x:v>
      </x:c>
      <x:c r="C871" s="2" t="n">
        <x:v>2026</x:v>
      </x:c>
      <x:c r="D871" s="2" t="str">
        <x:v>success</x:v>
      </x:c>
      <x:c r="E871" s="2" t="n">
        <x:v>5</x:v>
      </x:c>
      <x:c r="F871" s="7" t="n">
        <x:v>65</x:v>
      </x:c>
      <x:c r="G871" s="7" t="n">
        <x:v>52.5</x:v>
      </x:c>
      <x:c r="H871" s="7" t="n">
        <x:f>IF(F871=0,"n.a.",100*(F871-G871)/F871)</x:f>
        <x:v>19.23076923076923</x:v>
      </x:c>
      <x:c r="I871" s="7" t="n">
        <x:f>F871-G871</x:f>
        <x:v>12.5</x:v>
      </x:c>
      <x:c r="J871" s="8" t="n">
        <x:v>0.4446937692901235</x:v>
      </x:c>
      <x:c r="K871" s="8" t="n">
        <x:v>0.4446937692901235</x:v>
      </x:c>
      <x:c r="L871" s="8" t="n">
        <x:v>0</x:v>
      </x:c>
      <x:c r="M871" s="7" t="n">
        <x:v>14.590000006137416</x:v>
      </x:c>
      <x:c r="N871" s="2" t="str">
        <x:v>repository_particle_dynamics_on_frozen_qubo</x:v>
      </x:c>
      <x:c r="O871" s="9" t="str">
        <x:v>10010</x:v>
      </x:c>
    </x:row>
    <x:row r="872" ht="18" customHeight="1">
      <x:c r="A872" s="2" t="str">
        <x:v>controlled_n5_separated_bottlenecks_1</x:v>
      </x:c>
      <x:c r="B872" s="2" t="str">
        <x:v>QAOA</x:v>
      </x:c>
      <x:c r="C872" s="2" t="n">
        <x:v>2026</x:v>
      </x:c>
      <x:c r="D872" s="2" t="str">
        <x:v>success</x:v>
      </x:c>
      <x:c r="E872" s="2" t="n">
        <x:v>5</x:v>
      </x:c>
      <x:c r="F872" s="7" t="n">
        <x:v>65</x:v>
      </x:c>
      <x:c r="G872" s="7" t="n">
        <x:v>52.5</x:v>
      </x:c>
      <x:c r="H872" s="7" t="n">
        <x:f>IF(F872=0,"n.a.",100*(F872-G872)/F872)</x:f>
        <x:v>19.23076923076923</x:v>
      </x:c>
      <x:c r="I872" s="7" t="n">
        <x:f>F872-G872</x:f>
        <x:v>12.5</x:v>
      </x:c>
      <x:c r="J872" s="8" t="n">
        <x:v>0.4446937692901235</x:v>
      </x:c>
      <x:c r="K872" s="8" t="n">
        <x:v>0.4446937692901235</x:v>
      </x:c>
      <x:c r="L872" s="8" t="n">
        <x:v>0</x:v>
      </x:c>
      <x:c r="M872" s="7" t="n">
        <x:v>201.1105999990832</x:v>
      </x:c>
      <x:c r="N872" s="2" t="str">
        <x:v>qiskit.primitives.StatevectorSampler</x:v>
      </x:c>
      <x:c r="O872" s="9" t="str">
        <x:v>10010</x:v>
      </x:c>
    </x:row>
    <x:row r="873" ht="18" customHeight="1">
      <x:c r="A873" s="2" t="str">
        <x:v>controlled_n5_separated_bottlenecks_2</x:v>
      </x:c>
      <x:c r="B873" s="2" t="str">
        <x:v>Unmanaged</x:v>
      </x:c>
      <x:c r="C873" s="2"/>
      <x:c r="D873" s="2" t="str">
        <x:v>baseline</x:v>
      </x:c>
      <x:c r="E873" s="2" t="n">
        <x:v>9</x:v>
      </x:c>
      <x:c r="F873" s="7" t="n">
        <x:v>80</x:v>
      </x:c>
      <x:c r="G873" s="7" t="n">
        <x:v>80</x:v>
      </x:c>
      <x:c r="H873" s="7" t="n">
        <x:f>IF(F873=0,"n.a.",100*(F873-G873)/F873)</x:f>
        <x:v>0</x:v>
      </x:c>
      <x:c r="I873" s="7" t="n">
        <x:f>F873-G873</x:f>
        <x:v>0</x:v>
      </x:c>
      <x:c r="J873" s="8"/>
      <x:c r="K873" s="8" t="n">
        <x:v>0.6305898919753088</x:v>
      </x:c>
      <x:c r="L873" s="8"/>
      <x:c r="M873" s="7"/>
      <x:c r="N873" s="2" t="str">
        <x:v>unmanaged_input</x:v>
      </x:c>
      <x:c r="O873" s="9"/>
    </x:row>
    <x:row r="874" ht="18" customHeight="1">
      <x:c r="A874" s="2" t="str">
        <x:v>controlled_n5_separated_bottlenecks_2</x:v>
      </x:c>
      <x:c r="B874" s="2" t="str">
        <x:v>Exact J</x:v>
      </x:c>
      <x:c r="C874" s="2"/>
      <x:c r="D874" s="2" t="str">
        <x:v>success</x:v>
      </x:c>
      <x:c r="E874" s="2" t="n">
        <x:v>9</x:v>
      </x:c>
      <x:c r="F874" s="7" t="n">
        <x:v>80</x:v>
      </x:c>
      <x:c r="G874" s="7" t="n">
        <x:v>67.5</x:v>
      </x:c>
      <x:c r="H874" s="7" t="n">
        <x:f>IF(F874=0,"n.a.",100*(F874-G874)/F874)</x:f>
        <x:v>15.625</x:v>
      </x:c>
      <x:c r="I874" s="7" t="n">
        <x:f>F874-G874</x:f>
        <x:v>12.5</x:v>
      </x:c>
      <x:c r="J874" s="8" t="n">
        <x:v>0.6305898919753088</x:v>
      </x:c>
      <x:c r="K874" s="8" t="n">
        <x:v>0.6305898919753088</x:v>
      </x:c>
      <x:c r="L874" s="8" t="n">
        <x:v>0</x:v>
      </x:c>
      <x:c r="M874" s="7"/>
      <x:c r="N874" s="2" t="str">
        <x:v>exhaustive_enumeration</x:v>
      </x:c>
      <x:c r="O874" s="9" t="str">
        <x:v>000110011</x:v>
      </x:c>
    </x:row>
    <x:row r="875" ht="18" customHeight="1">
      <x:c r="A875" s="2" t="str">
        <x:v>controlled_n5_separated_bottlenecks_2</x:v>
      </x:c>
      <x:c r="B875" s="2" t="str">
        <x:v>Exact peak</x:v>
      </x:c>
      <x:c r="C875" s="2"/>
      <x:c r="D875" s="2" t="str">
        <x:v>success</x:v>
      </x:c>
      <x:c r="E875" s="2" t="n">
        <x:v>9</x:v>
      </x:c>
      <x:c r="F875" s="7" t="n">
        <x:v>80</x:v>
      </x:c>
      <x:c r="G875" s="7" t="n">
        <x:v>67.5</x:v>
      </x:c>
      <x:c r="H875" s="7" t="n">
        <x:f>IF(F875=0,"n.a.",100*(F875-G875)/F875)</x:f>
        <x:v>15.625</x:v>
      </x:c>
      <x:c r="I875" s="7" t="n">
        <x:f>F875-G875</x:f>
        <x:v>12.5</x:v>
      </x:c>
      <x:c r="J875" s="8" t="n">
        <x:v>0.6305898919753088</x:v>
      </x:c>
      <x:c r="K875" s="8" t="n">
        <x:v>0.6305898919753088</x:v>
      </x:c>
      <x:c r="L875" s="8" t="n">
        <x:v>0</x:v>
      </x:c>
      <x:c r="M875" s="7"/>
      <x:c r="N875" s="2" t="str">
        <x:v>exhaustive_enumeration</x:v>
      </x:c>
      <x:c r="O875" s="9" t="str">
        <x:v>000110011</x:v>
      </x:c>
    </x:row>
    <x:row r="876" ht="18" customHeight="1">
      <x:c r="A876" s="2" t="str">
        <x:v>controlled_n5_separated_bottlenecks_2</x:v>
      </x:c>
      <x:c r="B876" s="2" t="str">
        <x:v>BPSO</x:v>
      </x:c>
      <x:c r="C876" s="2" t="n">
        <x:v>42</x:v>
      </x:c>
      <x:c r="D876" s="2" t="str">
        <x:v>success</x:v>
      </x:c>
      <x:c r="E876" s="2" t="n">
        <x:v>9</x:v>
      </x:c>
      <x:c r="F876" s="7" t="n">
        <x:v>80</x:v>
      </x:c>
      <x:c r="G876" s="7" t="n">
        <x:v>67.5</x:v>
      </x:c>
      <x:c r="H876" s="7" t="n">
        <x:f>IF(F876=0,"n.a.",100*(F876-G876)/F876)</x:f>
        <x:v>15.625</x:v>
      </x:c>
      <x:c r="I876" s="7" t="n">
        <x:f>F876-G876</x:f>
        <x:v>12.5</x:v>
      </x:c>
      <x:c r="J876" s="8" t="n">
        <x:v>0.6305898919753088</x:v>
      </x:c>
      <x:c r="K876" s="8" t="n">
        <x:v>0.6305898919753088</x:v>
      </x:c>
      <x:c r="L876" s="8" t="n">
        <x:v>0</x:v>
      </x:c>
      <x:c r="M876" s="7" t="n">
        <x:v>20.613200002117082</x:v>
      </x:c>
      <x:c r="N876" s="2" t="str">
        <x:v>repository_particle_dynamics_on_frozen_qubo</x:v>
      </x:c>
      <x:c r="O876" s="9" t="str">
        <x:v>001011010</x:v>
      </x:c>
    </x:row>
    <x:row r="877" ht="18" customHeight="1">
      <x:c r="A877" s="2" t="str">
        <x:v>controlled_n5_separated_bottlenecks_2</x:v>
      </x:c>
      <x:c r="B877" s="2" t="str">
        <x:v>QAOA</x:v>
      </x:c>
      <x:c r="C877" s="2" t="n">
        <x:v>42</x:v>
      </x:c>
      <x:c r="D877" s="2" t="str">
        <x:v>success</x:v>
      </x:c>
      <x:c r="E877" s="2" t="n">
        <x:v>9</x:v>
      </x:c>
      <x:c r="F877" s="7" t="n">
        <x:v>80</x:v>
      </x:c>
      <x:c r="G877" s="7" t="n">
        <x:v>67.5</x:v>
      </x:c>
      <x:c r="H877" s="7" t="n">
        <x:f>IF(F877=0,"n.a.",100*(F877-G877)/F877)</x:f>
        <x:v>15.625</x:v>
      </x:c>
      <x:c r="I877" s="7" t="n">
        <x:f>F877-G877</x:f>
        <x:v>12.5</x:v>
      </x:c>
      <x:c r="J877" s="8" t="n">
        <x:v>0.6305898919753088</x:v>
      </x:c>
      <x:c r="K877" s="8" t="n">
        <x:v>0.6305898919753088</x:v>
      </x:c>
      <x:c r="L877" s="8" t="n">
        <x:v>0</x:v>
      </x:c>
      <x:c r="M877" s="7" t="n">
        <x:v>647.1121999929892</x:v>
      </x:c>
      <x:c r="N877" s="2" t="str">
        <x:v>qiskit.primitives.StatevectorSampler</x:v>
      </x:c>
      <x:c r="O877" s="9" t="str">
        <x:v>010100110</x:v>
      </x:c>
    </x:row>
    <x:row r="878" ht="18" customHeight="1">
      <x:c r="A878" s="2" t="str">
        <x:v>controlled_n5_separated_bottlenecks_2</x:v>
      </x:c>
      <x:c r="B878" s="2" t="str">
        <x:v>BPSO</x:v>
      </x:c>
      <x:c r="C878" s="2" t="n">
        <x:v>123</x:v>
      </x:c>
      <x:c r="D878" s="2" t="str">
        <x:v>success</x:v>
      </x:c>
      <x:c r="E878" s="2" t="n">
        <x:v>9</x:v>
      </x:c>
      <x:c r="F878" s="7" t="n">
        <x:v>80</x:v>
      </x:c>
      <x:c r="G878" s="7" t="n">
        <x:v>67.5</x:v>
      </x:c>
      <x:c r="H878" s="7" t="n">
        <x:f>IF(F878=0,"n.a.",100*(F878-G878)/F878)</x:f>
        <x:v>15.625</x:v>
      </x:c>
      <x:c r="I878" s="7" t="n">
        <x:f>F878-G878</x:f>
        <x:v>12.5</x:v>
      </x:c>
      <x:c r="J878" s="8" t="n">
        <x:v>0.6305898919753088</x:v>
      </x:c>
      <x:c r="K878" s="8" t="n">
        <x:v>0.6305898919753088</x:v>
      </x:c>
      <x:c r="L878" s="8" t="n">
        <x:v>0</x:v>
      </x:c>
      <x:c r="M878" s="7" t="n">
        <x:v>19.65349999954924</x:v>
      </x:c>
      <x:c r="N878" s="2" t="str">
        <x:v>repository_particle_dynamics_on_frozen_qubo</x:v>
      </x:c>
      <x:c r="O878" s="9" t="str">
        <x:v>010011001</x:v>
      </x:c>
    </x:row>
    <x:row r="879" ht="18" customHeight="1">
      <x:c r="A879" s="2" t="str">
        <x:v>controlled_n5_separated_bottlenecks_2</x:v>
      </x:c>
      <x:c r="B879" s="2" t="str">
        <x:v>QAOA</x:v>
      </x:c>
      <x:c r="C879" s="2" t="n">
        <x:v>123</x:v>
      </x:c>
      <x:c r="D879" s="2" t="str">
        <x:v>success</x:v>
      </x:c>
      <x:c r="E879" s="2" t="n">
        <x:v>9</x:v>
      </x:c>
      <x:c r="F879" s="7" t="n">
        <x:v>80</x:v>
      </x:c>
      <x:c r="G879" s="7" t="n">
        <x:v>67.5</x:v>
      </x:c>
      <x:c r="H879" s="7" t="n">
        <x:f>IF(F879=0,"n.a.",100*(F879-G879)/F879)</x:f>
        <x:v>15.625</x:v>
      </x:c>
      <x:c r="I879" s="7" t="n">
        <x:f>F879-G879</x:f>
        <x:v>12.5</x:v>
      </x:c>
      <x:c r="J879" s="8" t="n">
        <x:v>0.6305898919753088</x:v>
      </x:c>
      <x:c r="K879" s="8" t="n">
        <x:v>0.6305898919753088</x:v>
      </x:c>
      <x:c r="L879" s="8" t="n">
        <x:v>0</x:v>
      </x:c>
      <x:c r="M879" s="7" t="n">
        <x:v>654.2373999982374</x:v>
      </x:c>
      <x:c r="N879" s="2" t="str">
        <x:v>qiskit.primitives.StatevectorSampler</x:v>
      </x:c>
      <x:c r="O879" s="9" t="str">
        <x:v>000110101</x:v>
      </x:c>
    </x:row>
    <x:row r="880" ht="18" customHeight="1">
      <x:c r="A880" s="2" t="str">
        <x:v>controlled_n5_separated_bottlenecks_2</x:v>
      </x:c>
      <x:c r="B880" s="2" t="str">
        <x:v>BPSO</x:v>
      </x:c>
      <x:c r="C880" s="2" t="n">
        <x:v>456</x:v>
      </x:c>
      <x:c r="D880" s="2" t="str">
        <x:v>success</x:v>
      </x:c>
      <x:c r="E880" s="2" t="n">
        <x:v>9</x:v>
      </x:c>
      <x:c r="F880" s="7" t="n">
        <x:v>80</x:v>
      </x:c>
      <x:c r="G880" s="7" t="n">
        <x:v>67.5</x:v>
      </x:c>
      <x:c r="H880" s="7" t="n">
        <x:f>IF(F880=0,"n.a.",100*(F880-G880)/F880)</x:f>
        <x:v>15.625</x:v>
      </x:c>
      <x:c r="I880" s="7" t="n">
        <x:f>F880-G880</x:f>
        <x:v>12.5</x:v>
      </x:c>
      <x:c r="J880" s="8" t="n">
        <x:v>0.6305898919753088</x:v>
      </x:c>
      <x:c r="K880" s="8" t="n">
        <x:v>0.6305898919753088</x:v>
      </x:c>
      <x:c r="L880" s="8" t="n">
        <x:v>0</x:v>
      </x:c>
      <x:c r="M880" s="7" t="n">
        <x:v>20.593799999915063</x:v>
      </x:c>
      <x:c r="N880" s="2" t="str">
        <x:v>repository_particle_dynamics_on_frozen_qubo</x:v>
      </x:c>
      <x:c r="O880" s="9" t="str">
        <x:v>000111010</x:v>
      </x:c>
    </x:row>
    <x:row r="881" ht="18" customHeight="1">
      <x:c r="A881" s="2" t="str">
        <x:v>controlled_n5_separated_bottlenecks_2</x:v>
      </x:c>
      <x:c r="B881" s="2" t="str">
        <x:v>QAOA</x:v>
      </x:c>
      <x:c r="C881" s="2" t="n">
        <x:v>456</x:v>
      </x:c>
      <x:c r="D881" s="2" t="str">
        <x:v>success</x:v>
      </x:c>
      <x:c r="E881" s="2" t="n">
        <x:v>9</x:v>
      </x:c>
      <x:c r="F881" s="7" t="n">
        <x:v>80</x:v>
      </x:c>
      <x:c r="G881" s="7" t="n">
        <x:v>67.5</x:v>
      </x:c>
      <x:c r="H881" s="7" t="n">
        <x:f>IF(F881=0,"n.a.",100*(F881-G881)/F881)</x:f>
        <x:v>15.625</x:v>
      </x:c>
      <x:c r="I881" s="7" t="n">
        <x:f>F881-G881</x:f>
        <x:v>12.5</x:v>
      </x:c>
      <x:c r="J881" s="8" t="n">
        <x:v>0.6305898919753088</x:v>
      </x:c>
      <x:c r="K881" s="8" t="n">
        <x:v>0.6305898919753088</x:v>
      </x:c>
      <x:c r="L881" s="8" t="n">
        <x:v>0</x:v>
      </x:c>
      <x:c r="M881" s="7" t="n">
        <x:v>585.7313000014983</x:v>
      </x:c>
      <x:c r="N881" s="2" t="str">
        <x:v>qiskit.primitives.StatevectorSampler</x:v>
      </x:c>
      <x:c r="O881" s="9" t="str">
        <x:v>010101100</x:v>
      </x:c>
    </x:row>
    <x:row r="882" ht="18" customHeight="1">
      <x:c r="A882" s="2" t="str">
        <x:v>controlled_n5_separated_bottlenecks_2</x:v>
      </x:c>
      <x:c r="B882" s="2" t="str">
        <x:v>BPSO</x:v>
      </x:c>
      <x:c r="C882" s="2" t="n">
        <x:v>789</x:v>
      </x:c>
      <x:c r="D882" s="2" t="str">
        <x:v>success</x:v>
      </x:c>
      <x:c r="E882" s="2" t="n">
        <x:v>9</x:v>
      </x:c>
      <x:c r="F882" s="7" t="n">
        <x:v>80</x:v>
      </x:c>
      <x:c r="G882" s="7" t="n">
        <x:v>67.5</x:v>
      </x:c>
      <x:c r="H882" s="7" t="n">
        <x:f>IF(F882=0,"n.a.",100*(F882-G882)/F882)</x:f>
        <x:v>15.625</x:v>
      </x:c>
      <x:c r="I882" s="7" t="n">
        <x:f>F882-G882</x:f>
        <x:v>12.5</x:v>
      </x:c>
      <x:c r="J882" s="8" t="n">
        <x:v>0.6305898919753088</x:v>
      </x:c>
      <x:c r="K882" s="8" t="n">
        <x:v>0.6305898919753088</x:v>
      </x:c>
      <x:c r="L882" s="8" t="n">
        <x:v>0</x:v>
      </x:c>
      <x:c r="M882" s="7" t="n">
        <x:v>19.684200000483543</x:v>
      </x:c>
      <x:c r="N882" s="2" t="str">
        <x:v>repository_particle_dynamics_on_frozen_qubo</x:v>
      </x:c>
      <x:c r="O882" s="9" t="str">
        <x:v>001011100</x:v>
      </x:c>
    </x:row>
    <x:row r="883" ht="18" customHeight="1">
      <x:c r="A883" s="2" t="str">
        <x:v>controlled_n5_separated_bottlenecks_2</x:v>
      </x:c>
      <x:c r="B883" s="2" t="str">
        <x:v>QAOA</x:v>
      </x:c>
      <x:c r="C883" s="2" t="n">
        <x:v>789</x:v>
      </x:c>
      <x:c r="D883" s="2" t="str">
        <x:v>success</x:v>
      </x:c>
      <x:c r="E883" s="2" t="n">
        <x:v>9</x:v>
      </x:c>
      <x:c r="F883" s="7" t="n">
        <x:v>80</x:v>
      </x:c>
      <x:c r="G883" s="7" t="n">
        <x:v>67.5</x:v>
      </x:c>
      <x:c r="H883" s="7" t="n">
        <x:f>IF(F883=0,"n.a.",100*(F883-G883)/F883)</x:f>
        <x:v>15.625</x:v>
      </x:c>
      <x:c r="I883" s="7" t="n">
        <x:f>F883-G883</x:f>
        <x:v>12.5</x:v>
      </x:c>
      <x:c r="J883" s="8" t="n">
        <x:v>0.6305898919753088</x:v>
      </x:c>
      <x:c r="K883" s="8" t="n">
        <x:v>0.6305898919753088</x:v>
      </x:c>
      <x:c r="L883" s="8" t="n">
        <x:v>0</x:v>
      </x:c>
      <x:c r="M883" s="7" t="n">
        <x:v>570.7609999954002</x:v>
      </x:c>
      <x:c r="N883" s="2" t="str">
        <x:v>qiskit.primitives.StatevectorSampler</x:v>
      </x:c>
      <x:c r="O883" s="9" t="str">
        <x:v>101001001</x:v>
      </x:c>
    </x:row>
    <x:row r="884" ht="18" customHeight="1">
      <x:c r="A884" s="2" t="str">
        <x:v>controlled_n5_separated_bottlenecks_2</x:v>
      </x:c>
      <x:c r="B884" s="2" t="str">
        <x:v>BPSO</x:v>
      </x:c>
      <x:c r="C884" s="2" t="n">
        <x:v>2026</x:v>
      </x:c>
      <x:c r="D884" s="2" t="str">
        <x:v>success</x:v>
      </x:c>
      <x:c r="E884" s="2" t="n">
        <x:v>9</x:v>
      </x:c>
      <x:c r="F884" s="7" t="n">
        <x:v>80</x:v>
      </x:c>
      <x:c r="G884" s="7" t="n">
        <x:v>67.5</x:v>
      </x:c>
      <x:c r="H884" s="7" t="n">
        <x:f>IF(F884=0,"n.a.",100*(F884-G884)/F884)</x:f>
        <x:v>15.625</x:v>
      </x:c>
      <x:c r="I884" s="7" t="n">
        <x:f>F884-G884</x:f>
        <x:v>12.5</x:v>
      </x:c>
      <x:c r="J884" s="8" t="n">
        <x:v>0.6305898919753088</x:v>
      </x:c>
      <x:c r="K884" s="8" t="n">
        <x:v>0.6305898919753088</x:v>
      </x:c>
      <x:c r="L884" s="8" t="n">
        <x:v>0</x:v>
      </x:c>
      <x:c r="M884" s="7" t="n">
        <x:v>18.99050000065472</x:v>
      </x:c>
      <x:c r="N884" s="2" t="str">
        <x:v>repository_particle_dynamics_on_frozen_qubo</x:v>
      </x:c>
      <x:c r="O884" s="9" t="str">
        <x:v>011001100</x:v>
      </x:c>
    </x:row>
    <x:row r="885" ht="18" customHeight="1">
      <x:c r="A885" s="2" t="str">
        <x:v>controlled_n5_separated_bottlenecks_2</x:v>
      </x:c>
      <x:c r="B885" s="2" t="str">
        <x:v>QAOA</x:v>
      </x:c>
      <x:c r="C885" s="2" t="n">
        <x:v>2026</x:v>
      </x:c>
      <x:c r="D885" s="2" t="str">
        <x:v>success</x:v>
      </x:c>
      <x:c r="E885" s="2" t="n">
        <x:v>9</x:v>
      </x:c>
      <x:c r="F885" s="7" t="n">
        <x:v>80</x:v>
      </x:c>
      <x:c r="G885" s="7" t="n">
        <x:v>67.5</x:v>
      </x:c>
      <x:c r="H885" s="7" t="n">
        <x:f>IF(F885=0,"n.a.",100*(F885-G885)/F885)</x:f>
        <x:v>15.625</x:v>
      </x:c>
      <x:c r="I885" s="7" t="n">
        <x:f>F885-G885</x:f>
        <x:v>12.5</x:v>
      </x:c>
      <x:c r="J885" s="8" t="n">
        <x:v>0.6305898919753088</x:v>
      </x:c>
      <x:c r="K885" s="8" t="n">
        <x:v>0.6305898919753088</x:v>
      </x:c>
      <x:c r="L885" s="8" t="n">
        <x:v>0</x:v>
      </x:c>
      <x:c r="M885" s="7" t="n">
        <x:v>572.2067999886349</x:v>
      </x:c>
      <x:c r="N885" s="2" t="str">
        <x:v>qiskit.primitives.StatevectorSampler</x:v>
      </x:c>
      <x:c r="O885" s="9" t="str">
        <x:v>001010011</x:v>
      </x:c>
    </x:row>
    <x:row r="886" ht="18" customHeight="1">
      <x:c r="A886" s="2" t="str">
        <x:v>controlled_n5_separated_bottlenecks_3</x:v>
      </x:c>
      <x:c r="B886" s="2" t="str">
        <x:v>Unmanaged</x:v>
      </x:c>
      <x:c r="C886" s="2"/>
      <x:c r="D886" s="2" t="str">
        <x:v>baseline</x:v>
      </x:c>
      <x:c r="E886" s="2" t="n">
        <x:v>10</x:v>
      </x:c>
      <x:c r="F886" s="7" t="n">
        <x:v>95</x:v>
      </x:c>
      <x:c r="G886" s="7" t="n">
        <x:v>95</x:v>
      </x:c>
      <x:c r="H886" s="7" t="n">
        <x:f>IF(F886=0,"n.a.",100*(F886-G886)/F886)</x:f>
        <x:v>0</x:v>
      </x:c>
      <x:c r="I886" s="7" t="n">
        <x:f>F886-G886</x:f>
        <x:v>0</x:v>
      </x:c>
      <x:c r="J886" s="8"/>
      <x:c r="K886" s="8" t="n">
        <x:v>1.0223550347222221</x:v>
      </x:c>
      <x:c r="L886" s="8"/>
      <x:c r="M886" s="7"/>
      <x:c r="N886" s="2" t="str">
        <x:v>unmanaged_input</x:v>
      </x:c>
      <x:c r="O886" s="9"/>
    </x:row>
    <x:row r="887" ht="18" customHeight="1">
      <x:c r="A887" s="2" t="str">
        <x:v>controlled_n5_separated_bottlenecks_3</x:v>
      </x:c>
      <x:c r="B887" s="2" t="str">
        <x:v>Exact J</x:v>
      </x:c>
      <x:c r="C887" s="2"/>
      <x:c r="D887" s="2" t="str">
        <x:v>success</x:v>
      </x:c>
      <x:c r="E887" s="2" t="n">
        <x:v>10</x:v>
      </x:c>
      <x:c r="F887" s="7" t="n">
        <x:v>95</x:v>
      </x:c>
      <x:c r="G887" s="7" t="n">
        <x:v>76.25</x:v>
      </x:c>
      <x:c r="H887" s="7" t="n">
        <x:f>IF(F887=0,"n.a.",100*(F887-G887)/F887)</x:f>
        <x:v>19.736842105263158</x:v>
      </x:c>
      <x:c r="I887" s="7" t="n">
        <x:f>F887-G887</x:f>
        <x:v>18.75</x:v>
      </x:c>
      <x:c r="J887" s="8" t="n">
        <x:v>1.0223550347222221</x:v>
      </x:c>
      <x:c r="K887" s="8" t="n">
        <x:v>1.0223550347222221</x:v>
      </x:c>
      <x:c r="L887" s="8" t="n">
        <x:v>0</x:v>
      </x:c>
      <x:c r="M887" s="7"/>
      <x:c r="N887" s="2" t="str">
        <x:v>exhaustive_enumeration</x:v>
      </x:c>
      <x:c r="O887" s="9" t="str">
        <x:v>0000011111</x:v>
      </x:c>
    </x:row>
    <x:row r="888" ht="18" customHeight="1">
      <x:c r="A888" s="2" t="str">
        <x:v>controlled_n5_separated_bottlenecks_3</x:v>
      </x:c>
      <x:c r="B888" s="2" t="str">
        <x:v>Exact peak</x:v>
      </x:c>
      <x:c r="C888" s="2"/>
      <x:c r="D888" s="2" t="str">
        <x:v>success</x:v>
      </x:c>
      <x:c r="E888" s="2" t="n">
        <x:v>10</x:v>
      </x:c>
      <x:c r="F888" s="7" t="n">
        <x:v>95</x:v>
      </x:c>
      <x:c r="G888" s="7" t="n">
        <x:v>76.25</x:v>
      </x:c>
      <x:c r="H888" s="7" t="n">
        <x:f>IF(F888=0,"n.a.",100*(F888-G888)/F888)</x:f>
        <x:v>19.736842105263158</x:v>
      </x:c>
      <x:c r="I888" s="7" t="n">
        <x:f>F888-G888</x:f>
        <x:v>18.75</x:v>
      </x:c>
      <x:c r="J888" s="8" t="n">
        <x:v>1.0223550347222221</x:v>
      </x:c>
      <x:c r="K888" s="8" t="n">
        <x:v>1.0223550347222221</x:v>
      </x:c>
      <x:c r="L888" s="8" t="n">
        <x:v>0</x:v>
      </x:c>
      <x:c r="M888" s="7"/>
      <x:c r="N888" s="2" t="str">
        <x:v>exhaustive_enumeration</x:v>
      </x:c>
      <x:c r="O888" s="9" t="str">
        <x:v>0000011111</x:v>
      </x:c>
    </x:row>
    <x:row r="889" ht="18" customHeight="1">
      <x:c r="A889" s="2" t="str">
        <x:v>controlled_n5_separated_bottlenecks_3</x:v>
      </x:c>
      <x:c r="B889" s="2" t="str">
        <x:v>BPSO</x:v>
      </x:c>
      <x:c r="C889" s="2" t="n">
        <x:v>42</x:v>
      </x:c>
      <x:c r="D889" s="2" t="str">
        <x:v>success</x:v>
      </x:c>
      <x:c r="E889" s="2" t="n">
        <x:v>10</x:v>
      </x:c>
      <x:c r="F889" s="7" t="n">
        <x:v>95</x:v>
      </x:c>
      <x:c r="G889" s="7" t="n">
        <x:v>76.25</x:v>
      </x:c>
      <x:c r="H889" s="7" t="n">
        <x:f>IF(F889=0,"n.a.",100*(F889-G889)/F889)</x:f>
        <x:v>19.736842105263158</x:v>
      </x:c>
      <x:c r="I889" s="7" t="n">
        <x:f>F889-G889</x:f>
        <x:v>18.75</x:v>
      </x:c>
      <x:c r="J889" s="8" t="n">
        <x:v>1.0223550347222221</x:v>
      </x:c>
      <x:c r="K889" s="8" t="n">
        <x:v>1.0223550347222221</x:v>
      </x:c>
      <x:c r="L889" s="8" t="n">
        <x:v>0</x:v>
      </x:c>
      <x:c r="M889" s="7" t="n">
        <x:v>21.531799997319467</x:v>
      </x:c>
      <x:c r="N889" s="2" t="str">
        <x:v>repository_particle_dynamics_on_frozen_qubo</x:v>
      </x:c>
      <x:c r="O889" s="9" t="str">
        <x:v>1000001111</x:v>
      </x:c>
    </x:row>
    <x:row r="890" ht="18" customHeight="1">
      <x:c r="A890" s="2" t="str">
        <x:v>controlled_n5_separated_bottlenecks_3</x:v>
      </x:c>
      <x:c r="B890" s="2" t="str">
        <x:v>QAOA</x:v>
      </x:c>
      <x:c r="C890" s="2" t="n">
        <x:v>42</x:v>
      </x:c>
      <x:c r="D890" s="2" t="str">
        <x:v>success</x:v>
      </x:c>
      <x:c r="E890" s="2" t="n">
        <x:v>10</x:v>
      </x:c>
      <x:c r="F890" s="7" t="n">
        <x:v>95</x:v>
      </x:c>
      <x:c r="G890" s="7" t="n">
        <x:v>76.25</x:v>
      </x:c>
      <x:c r="H890" s="7" t="n">
        <x:f>IF(F890=0,"n.a.",100*(F890-G890)/F890)</x:f>
        <x:v>19.736842105263158</x:v>
      </x:c>
      <x:c r="I890" s="7" t="n">
        <x:f>F890-G890</x:f>
        <x:v>18.75</x:v>
      </x:c>
      <x:c r="J890" s="8" t="n">
        <x:v>1.0223550347222221</x:v>
      </x:c>
      <x:c r="K890" s="8" t="n">
        <x:v>1.0223550347222221</x:v>
      </x:c>
      <x:c r="L890" s="8" t="n">
        <x:v>0</x:v>
      </x:c>
      <x:c r="M890" s="7" t="n">
        <x:v>835.2458000008482</x:v>
      </x:c>
      <x:c r="N890" s="2" t="str">
        <x:v>qiskit.primitives.StatevectorSampler</x:v>
      </x:c>
      <x:c r="O890" s="9" t="str">
        <x:v>1010100011</x:v>
      </x:c>
    </x:row>
    <x:row r="891" ht="18" customHeight="1">
      <x:c r="A891" s="2" t="str">
        <x:v>controlled_n5_separated_bottlenecks_3</x:v>
      </x:c>
      <x:c r="B891" s="2" t="str">
        <x:v>BPSO</x:v>
      </x:c>
      <x:c r="C891" s="2" t="n">
        <x:v>123</x:v>
      </x:c>
      <x:c r="D891" s="2" t="str">
        <x:v>success</x:v>
      </x:c>
      <x:c r="E891" s="2" t="n">
        <x:v>10</x:v>
      </x:c>
      <x:c r="F891" s="7" t="n">
        <x:v>95</x:v>
      </x:c>
      <x:c r="G891" s="7" t="n">
        <x:v>76.25</x:v>
      </x:c>
      <x:c r="H891" s="7" t="n">
        <x:f>IF(F891=0,"n.a.",100*(F891-G891)/F891)</x:f>
        <x:v>19.736842105263158</x:v>
      </x:c>
      <x:c r="I891" s="7" t="n">
        <x:f>F891-G891</x:f>
        <x:v>18.75</x:v>
      </x:c>
      <x:c r="J891" s="8" t="n">
        <x:v>1.0223550347222221</x:v>
      </x:c>
      <x:c r="K891" s="8" t="n">
        <x:v>1.0223550347222221</x:v>
      </x:c>
      <x:c r="L891" s="8" t="n">
        <x:v>0</x:v>
      </x:c>
      <x:c r="M891" s="7" t="n">
        <x:v>20.7661000022199</x:v>
      </x:c>
      <x:c r="N891" s="2" t="str">
        <x:v>repository_particle_dynamics_on_frozen_qubo</x:v>
      </x:c>
      <x:c r="O891" s="9" t="str">
        <x:v>1000011011</x:v>
      </x:c>
    </x:row>
    <x:row r="892" ht="18" customHeight="1">
      <x:c r="A892" s="2" t="str">
        <x:v>controlled_n5_separated_bottlenecks_3</x:v>
      </x:c>
      <x:c r="B892" s="2" t="str">
        <x:v>QAOA</x:v>
      </x:c>
      <x:c r="C892" s="2" t="n">
        <x:v>123</x:v>
      </x:c>
      <x:c r="D892" s="2" t="str">
        <x:v>success</x:v>
      </x:c>
      <x:c r="E892" s="2" t="n">
        <x:v>10</x:v>
      </x:c>
      <x:c r="F892" s="7" t="n">
        <x:v>95</x:v>
      </x:c>
      <x:c r="G892" s="7" t="n">
        <x:v>76.25</x:v>
      </x:c>
      <x:c r="H892" s="7" t="n">
        <x:f>IF(F892=0,"n.a.",100*(F892-G892)/F892)</x:f>
        <x:v>19.736842105263158</x:v>
      </x:c>
      <x:c r="I892" s="7" t="n">
        <x:f>F892-G892</x:f>
        <x:v>18.75</x:v>
      </x:c>
      <x:c r="J892" s="8" t="n">
        <x:v>1.0223550347222221</x:v>
      </x:c>
      <x:c r="K892" s="8" t="n">
        <x:v>1.0223550347222221</x:v>
      </x:c>
      <x:c r="L892" s="8" t="n">
        <x:v>0</x:v>
      </x:c>
      <x:c r="M892" s="7" t="n">
        <x:v>819.5922000013525</x:v>
      </x:c>
      <x:c r="N892" s="2" t="str">
        <x:v>qiskit.primitives.StatevectorSampler</x:v>
      </x:c>
      <x:c r="O892" s="9" t="str">
        <x:v>0010110011</x:v>
      </x:c>
    </x:row>
    <x:row r="893" ht="18" customHeight="1">
      <x:c r="A893" s="2" t="str">
        <x:v>controlled_n5_separated_bottlenecks_3</x:v>
      </x:c>
      <x:c r="B893" s="2" t="str">
        <x:v>BPSO</x:v>
      </x:c>
      <x:c r="C893" s="2" t="n">
        <x:v>456</x:v>
      </x:c>
      <x:c r="D893" s="2" t="str">
        <x:v>success</x:v>
      </x:c>
      <x:c r="E893" s="2" t="n">
        <x:v>10</x:v>
      </x:c>
      <x:c r="F893" s="7" t="n">
        <x:v>95</x:v>
      </x:c>
      <x:c r="G893" s="7" t="n">
        <x:v>76.25</x:v>
      </x:c>
      <x:c r="H893" s="7" t="n">
        <x:f>IF(F893=0,"n.a.",100*(F893-G893)/F893)</x:f>
        <x:v>19.736842105263158</x:v>
      </x:c>
      <x:c r="I893" s="7" t="n">
        <x:f>F893-G893</x:f>
        <x:v>18.75</x:v>
      </x:c>
      <x:c r="J893" s="8" t="n">
        <x:v>1.0223550347222221</x:v>
      </x:c>
      <x:c r="K893" s="8" t="n">
        <x:v>1.0223550347222221</x:v>
      </x:c>
      <x:c r="L893" s="8" t="n">
        <x:v>0</x:v>
      </x:c>
      <x:c r="M893" s="7" t="n">
        <x:v>20.75900000636466</x:v>
      </x:c>
      <x:c r="N893" s="2" t="str">
        <x:v>repository_particle_dynamics_on_frozen_qubo</x:v>
      </x:c>
      <x:c r="O893" s="9" t="str">
        <x:v>1000010111</x:v>
      </x:c>
    </x:row>
    <x:row r="894" ht="18" customHeight="1">
      <x:c r="A894" s="2" t="str">
        <x:v>controlled_n5_separated_bottlenecks_3</x:v>
      </x:c>
      <x:c r="B894" s="2" t="str">
        <x:v>QAOA</x:v>
      </x:c>
      <x:c r="C894" s="2" t="n">
        <x:v>456</x:v>
      </x:c>
      <x:c r="D894" s="2" t="str">
        <x:v>success</x:v>
      </x:c>
      <x:c r="E894" s="2" t="n">
        <x:v>10</x:v>
      </x:c>
      <x:c r="F894" s="7" t="n">
        <x:v>95</x:v>
      </x:c>
      <x:c r="G894" s="7" t="n">
        <x:v>76.25</x:v>
      </x:c>
      <x:c r="H894" s="7" t="n">
        <x:f>IF(F894=0,"n.a.",100*(F894-G894)/F894)</x:f>
        <x:v>19.736842105263158</x:v>
      </x:c>
      <x:c r="I894" s="7" t="n">
        <x:f>F894-G894</x:f>
        <x:v>18.75</x:v>
      </x:c>
      <x:c r="J894" s="8" t="n">
        <x:v>1.0223550347222221</x:v>
      </x:c>
      <x:c r="K894" s="8" t="n">
        <x:v>1.0223550347222221</x:v>
      </x:c>
      <x:c r="L894" s="8" t="n">
        <x:v>0</x:v>
      </x:c>
      <x:c r="M894" s="7" t="n">
        <x:v>694.4248000072548</x:v>
      </x:c>
      <x:c r="N894" s="2" t="str">
        <x:v>qiskit.primitives.StatevectorSampler</x:v>
      </x:c>
      <x:c r="O894" s="9" t="str">
        <x:v>0011010011</x:v>
      </x:c>
    </x:row>
    <x:row r="895" ht="18" customHeight="1">
      <x:c r="A895" s="2" t="str">
        <x:v>controlled_n5_separated_bottlenecks_3</x:v>
      </x:c>
      <x:c r="B895" s="2" t="str">
        <x:v>BPSO</x:v>
      </x:c>
      <x:c r="C895" s="2" t="n">
        <x:v>789</x:v>
      </x:c>
      <x:c r="D895" s="2" t="str">
        <x:v>success</x:v>
      </x:c>
      <x:c r="E895" s="2" t="n">
        <x:v>10</x:v>
      </x:c>
      <x:c r="F895" s="7" t="n">
        <x:v>95</x:v>
      </x:c>
      <x:c r="G895" s="7" t="n">
        <x:v>76.25</x:v>
      </x:c>
      <x:c r="H895" s="7" t="n">
        <x:f>IF(F895=0,"n.a.",100*(F895-G895)/F895)</x:f>
        <x:v>19.736842105263158</x:v>
      </x:c>
      <x:c r="I895" s="7" t="n">
        <x:f>F895-G895</x:f>
        <x:v>18.75</x:v>
      </x:c>
      <x:c r="J895" s="8" t="n">
        <x:v>1.0223550347222221</x:v>
      </x:c>
      <x:c r="K895" s="8" t="n">
        <x:v>1.0223550347222221</x:v>
      </x:c>
      <x:c r="L895" s="8" t="n">
        <x:v>0</x:v>
      </x:c>
      <x:c r="M895" s="7" t="n">
        <x:v>20.395500003360212</x:v>
      </x:c>
      <x:c r="N895" s="2" t="str">
        <x:v>repository_particle_dynamics_on_frozen_qubo</x:v>
      </x:c>
      <x:c r="O895" s="9" t="str">
        <x:v>0010011011</x:v>
      </x:c>
    </x:row>
    <x:row r="896" ht="18" customHeight="1">
      <x:c r="A896" s="2" t="str">
        <x:v>controlled_n5_separated_bottlenecks_3</x:v>
      </x:c>
      <x:c r="B896" s="2" t="str">
        <x:v>QAOA</x:v>
      </x:c>
      <x:c r="C896" s="2" t="n">
        <x:v>789</x:v>
      </x:c>
      <x:c r="D896" s="2" t="str">
        <x:v>success</x:v>
      </x:c>
      <x:c r="E896" s="2" t="n">
        <x:v>10</x:v>
      </x:c>
      <x:c r="F896" s="7" t="n">
        <x:v>95</x:v>
      </x:c>
      <x:c r="G896" s="7" t="n">
        <x:v>76.25</x:v>
      </x:c>
      <x:c r="H896" s="7" t="n">
        <x:f>IF(F896=0,"n.a.",100*(F896-G896)/F896)</x:f>
        <x:v>19.736842105263158</x:v>
      </x:c>
      <x:c r="I896" s="7" t="n">
        <x:f>F896-G896</x:f>
        <x:v>18.75</x:v>
      </x:c>
      <x:c r="J896" s="8" t="n">
        <x:v>1.0223550347222221</x:v>
      </x:c>
      <x:c r="K896" s="8" t="n">
        <x:v>1.0223550347222221</x:v>
      </x:c>
      <x:c r="L896" s="8" t="n">
        <x:v>0</x:v>
      </x:c>
      <x:c r="M896" s="7" t="n">
        <x:v>755.1251999975648</x:v>
      </x:c>
      <x:c r="N896" s="2" t="str">
        <x:v>qiskit.primitives.StatevectorSampler</x:v>
      </x:c>
      <x:c r="O896" s="9" t="str">
        <x:v>1100100011</x:v>
      </x:c>
    </x:row>
    <x:row r="897" ht="18" customHeight="1">
      <x:c r="A897" s="2" t="str">
        <x:v>controlled_n5_separated_bottlenecks_3</x:v>
      </x:c>
      <x:c r="B897" s="2" t="str">
        <x:v>BPSO</x:v>
      </x:c>
      <x:c r="C897" s="2" t="n">
        <x:v>2026</x:v>
      </x:c>
      <x:c r="D897" s="2" t="str">
        <x:v>success</x:v>
      </x:c>
      <x:c r="E897" s="2" t="n">
        <x:v>10</x:v>
      </x:c>
      <x:c r="F897" s="7" t="n">
        <x:v>95</x:v>
      </x:c>
      <x:c r="G897" s="7" t="n">
        <x:v>76.25</x:v>
      </x:c>
      <x:c r="H897" s="7" t="n">
        <x:f>IF(F897=0,"n.a.",100*(F897-G897)/F897)</x:f>
        <x:v>19.736842105263158</x:v>
      </x:c>
      <x:c r="I897" s="7" t="n">
        <x:f>F897-G897</x:f>
        <x:v>18.75</x:v>
      </x:c>
      <x:c r="J897" s="8" t="n">
        <x:v>1.0223550347222221</x:v>
      </x:c>
      <x:c r="K897" s="8" t="n">
        <x:v>1.0223550347222221</x:v>
      </x:c>
      <x:c r="L897" s="8" t="n">
        <x:v>0</x:v>
      </x:c>
      <x:c r="M897" s="7" t="n">
        <x:v>21.87670000421349</x:v>
      </x:c>
      <x:c r="N897" s="2" t="str">
        <x:v>repository_particle_dynamics_on_frozen_qubo</x:v>
      </x:c>
      <x:c r="O897" s="9" t="str">
        <x:v>1001001011</x:v>
      </x:c>
    </x:row>
    <x:row r="898" ht="18" customHeight="1">
      <x:c r="A898" s="2" t="str">
        <x:v>controlled_n5_separated_bottlenecks_3</x:v>
      </x:c>
      <x:c r="B898" s="2" t="str">
        <x:v>QAOA</x:v>
      </x:c>
      <x:c r="C898" s="2" t="n">
        <x:v>2026</x:v>
      </x:c>
      <x:c r="D898" s="2" t="str">
        <x:v>success</x:v>
      </x:c>
      <x:c r="E898" s="2" t="n">
        <x:v>10</x:v>
      </x:c>
      <x:c r="F898" s="7" t="n">
        <x:v>95</x:v>
      </x:c>
      <x:c r="G898" s="7" t="n">
        <x:v>76.25</x:v>
      </x:c>
      <x:c r="H898" s="7" t="n">
        <x:f>IF(F898=0,"n.a.",100*(F898-G898)/F898)</x:f>
        <x:v>19.736842105263158</x:v>
      </x:c>
      <x:c r="I898" s="7" t="n">
        <x:f>F898-G898</x:f>
        <x:v>18.75</x:v>
      </x:c>
      <x:c r="J898" s="8" t="n">
        <x:v>1.0302904128086419</x:v>
      </x:c>
      <x:c r="K898" s="8" t="n">
        <x:v>1.0223550347222221</x:v>
      </x:c>
      <x:c r="L898" s="8" t="n">
        <x:v>0.007935378086419753</x:v>
      </x:c>
      <x:c r="M898" s="7" t="n">
        <x:v>735.0951000116765</x:v>
      </x:c>
      <x:c r="N898" s="2" t="str">
        <x:v>qiskit.primitives.StatevectorSampler</x:v>
      </x:c>
      <x:c r="O898" s="9" t="str">
        <x:v>0010111011</x:v>
      </x:c>
    </x:row>
    <x:row r="899" ht="18" customHeight="1">
      <x:c r="A899" s="2" t="str">
        <x:v>controlled_n5_distributed_peak_1</x:v>
      </x:c>
      <x:c r="B899" s="2" t="str">
        <x:v>Unmanaged</x:v>
      </x:c>
      <x:c r="C899" s="2"/>
      <x:c r="D899" s="2" t="str">
        <x:v>baseline</x:v>
      </x:c>
      <x:c r="E899" s="2" t="n">
        <x:v>10</x:v>
      </x:c>
      <x:c r="F899" s="7" t="n">
        <x:v>85</x:v>
      </x:c>
      <x:c r="G899" s="7" t="n">
        <x:v>85</x:v>
      </x:c>
      <x:c r="H899" s="7" t="n">
        <x:f>IF(F899=0,"n.a.",100*(F899-G899)/F899)</x:f>
        <x:v>0</x:v>
      </x:c>
      <x:c r="I899" s="7" t="n">
        <x:f>F899-G899</x:f>
        <x:v>0</x:v>
      </x:c>
      <x:c r="J899" s="8"/>
      <x:c r="K899" s="8" t="n">
        <x:v>1.361008511766975</x:v>
      </x:c>
      <x:c r="L899" s="8"/>
      <x:c r="M899" s="7"/>
      <x:c r="N899" s="2" t="str">
        <x:v>unmanaged_input</x:v>
      </x:c>
      <x:c r="O899" s="9"/>
    </x:row>
    <x:row r="900" ht="18" customHeight="1">
      <x:c r="A900" s="2" t="str">
        <x:v>controlled_n5_distributed_peak_1</x:v>
      </x:c>
      <x:c r="B900" s="2" t="str">
        <x:v>Exact J</x:v>
      </x:c>
      <x:c r="C900" s="2"/>
      <x:c r="D900" s="2" t="str">
        <x:v>success</x:v>
      </x:c>
      <x:c r="E900" s="2" t="n">
        <x:v>10</x:v>
      </x:c>
      <x:c r="F900" s="7" t="n">
        <x:v>85</x:v>
      </x:c>
      <x:c r="G900" s="7" t="n">
        <x:v>85</x:v>
      </x:c>
      <x:c r="H900" s="7" t="n">
        <x:f>IF(F900=0,"n.a.",100*(F900-G900)/F900)</x:f>
        <x:v>0</x:v>
      </x:c>
      <x:c r="I900" s="7" t="n">
        <x:f>F900-G900</x:f>
        <x:v>0</x:v>
      </x:c>
      <x:c r="J900" s="8" t="n">
        <x:v>1.361008511766975</x:v>
      </x:c>
      <x:c r="K900" s="8" t="n">
        <x:v>1.361008511766975</x:v>
      </x:c>
      <x:c r="L900" s="8" t="n">
        <x:v>0</x:v>
      </x:c>
      <x:c r="M900" s="7"/>
      <x:c r="N900" s="2" t="str">
        <x:v>exhaustive_enumeration</x:v>
      </x:c>
      <x:c r="O900" s="9" t="str">
        <x:v>0000110111</x:v>
      </x:c>
    </x:row>
    <x:row r="901" ht="18" customHeight="1">
      <x:c r="A901" s="2" t="str">
        <x:v>controlled_n5_distributed_peak_1</x:v>
      </x:c>
      <x:c r="B901" s="2" t="str">
        <x:v>Exact peak</x:v>
      </x:c>
      <x:c r="C901" s="2"/>
      <x:c r="D901" s="2" t="str">
        <x:v>success</x:v>
      </x:c>
      <x:c r="E901" s="2" t="n">
        <x:v>10</x:v>
      </x:c>
      <x:c r="F901" s="7" t="n">
        <x:v>85</x:v>
      </x:c>
      <x:c r="G901" s="7" t="n">
        <x:v>85</x:v>
      </x:c>
      <x:c r="H901" s="7" t="n">
        <x:f>IF(F901=0,"n.a.",100*(F901-G901)/F901)</x:f>
        <x:v>0</x:v>
      </x:c>
      <x:c r="I901" s="7" t="n">
        <x:f>F901-G901</x:f>
        <x:v>0</x:v>
      </x:c>
      <x:c r="J901" s="8" t="n">
        <x:v>1.361008511766975</x:v>
      </x:c>
      <x:c r="K901" s="8" t="n">
        <x:v>1.361008511766975</x:v>
      </x:c>
      <x:c r="L901" s="8" t="n">
        <x:v>0</x:v>
      </x:c>
      <x:c r="M901" s="7"/>
      <x:c r="N901" s="2" t="str">
        <x:v>exhaustive_enumeration</x:v>
      </x:c>
      <x:c r="O901" s="9" t="str">
        <x:v>0000110111</x:v>
      </x:c>
    </x:row>
    <x:row r="902" ht="18" customHeight="1">
      <x:c r="A902" s="2" t="str">
        <x:v>controlled_n5_distributed_peak_1</x:v>
      </x:c>
      <x:c r="B902" s="2" t="str">
        <x:v>BPSO</x:v>
      </x:c>
      <x:c r="C902" s="2" t="n">
        <x:v>42</x:v>
      </x:c>
      <x:c r="D902" s="2" t="str">
        <x:v>success</x:v>
      </x:c>
      <x:c r="E902" s="2" t="n">
        <x:v>10</x:v>
      </x:c>
      <x:c r="F902" s="7" t="n">
        <x:v>85</x:v>
      </x:c>
      <x:c r="G902" s="7" t="n">
        <x:v>85</x:v>
      </x:c>
      <x:c r="H902" s="7" t="n">
        <x:f>IF(F902=0,"n.a.",100*(F902-G902)/F902)</x:f>
        <x:v>0</x:v>
      </x:c>
      <x:c r="I902" s="7" t="n">
        <x:f>F902-G902</x:f>
        <x:v>0</x:v>
      </x:c>
      <x:c r="J902" s="8" t="n">
        <x:v>1.361008511766975</x:v>
      </x:c>
      <x:c r="K902" s="8" t="n">
        <x:v>1.361008511766975</x:v>
      </x:c>
      <x:c r="L902" s="8" t="n">
        <x:v>0</x:v>
      </x:c>
      <x:c r="M902" s="7" t="n">
        <x:v>23.76100000401493</x:v>
      </x:c>
      <x:c r="N902" s="2" t="str">
        <x:v>repository_particle_dynamics_on_frozen_qubo</x:v>
      </x:c>
      <x:c r="O902" s="9" t="str">
        <x:v>0100101101</x:v>
      </x:c>
    </x:row>
    <x:row r="903" ht="18" customHeight="1">
      <x:c r="A903" s="2" t="str">
        <x:v>controlled_n5_distributed_peak_1</x:v>
      </x:c>
      <x:c r="B903" s="2" t="str">
        <x:v>QAOA</x:v>
      </x:c>
      <x:c r="C903" s="2" t="n">
        <x:v>42</x:v>
      </x:c>
      <x:c r="D903" s="2" t="str">
        <x:v>success</x:v>
      </x:c>
      <x:c r="E903" s="2" t="n">
        <x:v>10</x:v>
      </x:c>
      <x:c r="F903" s="7" t="n">
        <x:v>85</x:v>
      </x:c>
      <x:c r="G903" s="7" t="n">
        <x:v>85</x:v>
      </x:c>
      <x:c r="H903" s="7" t="n">
        <x:f>IF(F903=0,"n.a.",100*(F903-G903)/F903)</x:f>
        <x:v>0</x:v>
      </x:c>
      <x:c r="I903" s="7" t="n">
        <x:f>F903-G903</x:f>
        <x:v>0</x:v>
      </x:c>
      <x:c r="J903" s="8" t="n">
        <x:v>1.361008511766975</x:v>
      </x:c>
      <x:c r="K903" s="8" t="n">
        <x:v>1.361008511766975</x:v>
      </x:c>
      <x:c r="L903" s="8" t="n">
        <x:v>0</x:v>
      </x:c>
      <x:c r="M903" s="7" t="n">
        <x:v>846.2335999938659</x:v>
      </x:c>
      <x:c r="N903" s="2" t="str">
        <x:v>qiskit.primitives.StatevectorSampler</x:v>
      </x:c>
      <x:c r="O903" s="9" t="str">
        <x:v>0011001011</x:v>
      </x:c>
    </x:row>
    <x:row r="904" ht="18" customHeight="1">
      <x:c r="A904" s="2" t="str">
        <x:v>controlled_n5_distributed_peak_1</x:v>
      </x:c>
      <x:c r="B904" s="2" t="str">
        <x:v>BPSO</x:v>
      </x:c>
      <x:c r="C904" s="2" t="n">
        <x:v>123</x:v>
      </x:c>
      <x:c r="D904" s="2" t="str">
        <x:v>success</x:v>
      </x:c>
      <x:c r="E904" s="2" t="n">
        <x:v>10</x:v>
      </x:c>
      <x:c r="F904" s="7" t="n">
        <x:v>85</x:v>
      </x:c>
      <x:c r="G904" s="7" t="n">
        <x:v>85</x:v>
      </x:c>
      <x:c r="H904" s="7" t="n">
        <x:f>IF(F904=0,"n.a.",100*(F904-G904)/F904)</x:f>
        <x:v>0</x:v>
      </x:c>
      <x:c r="I904" s="7" t="n">
        <x:f>F904-G904</x:f>
        <x:v>0</x:v>
      </x:c>
      <x:c r="J904" s="8" t="n">
        <x:v>1.361008511766975</x:v>
      </x:c>
      <x:c r="K904" s="8" t="n">
        <x:v>1.361008511766975</x:v>
      </x:c>
      <x:c r="L904" s="8" t="n">
        <x:v>0</x:v>
      </x:c>
      <x:c r="M904" s="7" t="n">
        <x:v>20.349400001578033</x:v>
      </x:c>
      <x:c r="N904" s="2" t="str">
        <x:v>repository_particle_dynamics_on_frozen_qubo</x:v>
      </x:c>
      <x:c r="O904" s="9" t="str">
        <x:v>1000011011</x:v>
      </x:c>
    </x:row>
    <x:row r="905" ht="18" customHeight="1">
      <x:c r="A905" s="2" t="str">
        <x:v>controlled_n5_distributed_peak_1</x:v>
      </x:c>
      <x:c r="B905" s="2" t="str">
        <x:v>QAOA</x:v>
      </x:c>
      <x:c r="C905" s="2" t="n">
        <x:v>123</x:v>
      </x:c>
      <x:c r="D905" s="2" t="str">
        <x:v>success</x:v>
      </x:c>
      <x:c r="E905" s="2" t="n">
        <x:v>10</x:v>
      </x:c>
      <x:c r="F905" s="7" t="n">
        <x:v>85</x:v>
      </x:c>
      <x:c r="G905" s="7" t="n">
        <x:v>85</x:v>
      </x:c>
      <x:c r="H905" s="7" t="n">
        <x:f>IF(F905=0,"n.a.",100*(F905-G905)/F905)</x:f>
        <x:v>0</x:v>
      </x:c>
      <x:c r="I905" s="7" t="n">
        <x:f>F905-G905</x:f>
        <x:v>0</x:v>
      </x:c>
      <x:c r="J905" s="8" t="n">
        <x:v>1.361008511766975</x:v>
      </x:c>
      <x:c r="K905" s="8" t="n">
        <x:v>1.361008511766975</x:v>
      </x:c>
      <x:c r="L905" s="8" t="n">
        <x:v>0</x:v>
      </x:c>
      <x:c r="M905" s="7" t="n">
        <x:v>789.2802999995183</x:v>
      </x:c>
      <x:c r="N905" s="2" t="str">
        <x:v>qiskit.primitives.StatevectorSampler</x:v>
      </x:c>
      <x:c r="O905" s="9" t="str">
        <x:v>1000011101</x:v>
      </x:c>
    </x:row>
    <x:row r="906" ht="18" customHeight="1">
      <x:c r="A906" s="2" t="str">
        <x:v>controlled_n5_distributed_peak_1</x:v>
      </x:c>
      <x:c r="B906" s="2" t="str">
        <x:v>BPSO</x:v>
      </x:c>
      <x:c r="C906" s="2" t="n">
        <x:v>456</x:v>
      </x:c>
      <x:c r="D906" s="2" t="str">
        <x:v>success</x:v>
      </x:c>
      <x:c r="E906" s="2" t="n">
        <x:v>10</x:v>
      </x:c>
      <x:c r="F906" s="7" t="n">
        <x:v>85</x:v>
      </x:c>
      <x:c r="G906" s="7" t="n">
        <x:v>85</x:v>
      </x:c>
      <x:c r="H906" s="7" t="n">
        <x:f>IF(F906=0,"n.a.",100*(F906-G906)/F906)</x:f>
        <x:v>0</x:v>
      </x:c>
      <x:c r="I906" s="7" t="n">
        <x:f>F906-G906</x:f>
        <x:v>0</x:v>
      </x:c>
      <x:c r="J906" s="8" t="n">
        <x:v>1.361008511766975</x:v>
      </x:c>
      <x:c r="K906" s="8" t="n">
        <x:v>1.361008511766975</x:v>
      </x:c>
      <x:c r="L906" s="8" t="n">
        <x:v>0</x:v>
      </x:c>
      <x:c r="M906" s="7" t="n">
        <x:v>21.223800009465776</x:v>
      </x:c>
      <x:c r="N906" s="2" t="str">
        <x:v>repository_particle_dynamics_on_frozen_qubo</x:v>
      </x:c>
      <x:c r="O906" s="9" t="str">
        <x:v>0010011110</x:v>
      </x:c>
    </x:row>
    <x:row r="907" ht="18" customHeight="1">
      <x:c r="A907" s="2" t="str">
        <x:v>controlled_n5_distributed_peak_1</x:v>
      </x:c>
      <x:c r="B907" s="2" t="str">
        <x:v>QAOA</x:v>
      </x:c>
      <x:c r="C907" s="2" t="n">
        <x:v>456</x:v>
      </x:c>
      <x:c r="D907" s="2" t="str">
        <x:v>success</x:v>
      </x:c>
      <x:c r="E907" s="2" t="n">
        <x:v>10</x:v>
      </x:c>
      <x:c r="F907" s="7" t="n">
        <x:v>85</x:v>
      </x:c>
      <x:c r="G907" s="7" t="n">
        <x:v>85</x:v>
      </x:c>
      <x:c r="H907" s="7" t="n">
        <x:f>IF(F907=0,"n.a.",100*(F907-G907)/F907)</x:f>
        <x:v>0</x:v>
      </x:c>
      <x:c r="I907" s="7" t="n">
        <x:f>F907-G907</x:f>
        <x:v>0</x:v>
      </x:c>
      <x:c r="J907" s="8" t="n">
        <x:v>1.361008511766975</x:v>
      </x:c>
      <x:c r="K907" s="8" t="n">
        <x:v>1.361008511766975</x:v>
      </x:c>
      <x:c r="L907" s="8" t="n">
        <x:v>0</x:v>
      </x:c>
      <x:c r="M907" s="7" t="n">
        <x:v>692.0945000019856</x:v>
      </x:c>
      <x:c r="N907" s="2" t="str">
        <x:v>qiskit.primitives.StatevectorSampler</x:v>
      </x:c>
      <x:c r="O907" s="9" t="str">
        <x:v>0010010111</x:v>
      </x:c>
    </x:row>
    <x:row r="908" ht="18" customHeight="1">
      <x:c r="A908" s="2" t="str">
        <x:v>controlled_n5_distributed_peak_1</x:v>
      </x:c>
      <x:c r="B908" s="2" t="str">
        <x:v>BPSO</x:v>
      </x:c>
      <x:c r="C908" s="2" t="n">
        <x:v>789</x:v>
      </x:c>
      <x:c r="D908" s="2" t="str">
        <x:v>success</x:v>
      </x:c>
      <x:c r="E908" s="2" t="n">
        <x:v>10</x:v>
      </x:c>
      <x:c r="F908" s="7" t="n">
        <x:v>85</x:v>
      </x:c>
      <x:c r="G908" s="7" t="n">
        <x:v>85</x:v>
      </x:c>
      <x:c r="H908" s="7" t="n">
        <x:f>IF(F908=0,"n.a.",100*(F908-G908)/F908)</x:f>
        <x:v>0</x:v>
      </x:c>
      <x:c r="I908" s="7" t="n">
        <x:f>F908-G908</x:f>
        <x:v>0</x:v>
      </x:c>
      <x:c r="J908" s="8" t="n">
        <x:v>1.361008511766975</x:v>
      </x:c>
      <x:c r="K908" s="8" t="n">
        <x:v>1.361008511766975</x:v>
      </x:c>
      <x:c r="L908" s="8" t="n">
        <x:v>0</x:v>
      </x:c>
      <x:c r="M908" s="7" t="n">
        <x:v>20.710199998575263</x:v>
      </x:c>
      <x:c r="N908" s="2" t="str">
        <x:v>repository_particle_dynamics_on_frozen_qubo</x:v>
      </x:c>
      <x:c r="O908" s="9" t="str">
        <x:v>0010011011</x:v>
      </x:c>
    </x:row>
    <x:row r="909" ht="18" customHeight="1">
      <x:c r="A909" s="2" t="str">
        <x:v>controlled_n5_distributed_peak_1</x:v>
      </x:c>
      <x:c r="B909" s="2" t="str">
        <x:v>QAOA</x:v>
      </x:c>
      <x:c r="C909" s="2" t="n">
        <x:v>789</x:v>
      </x:c>
      <x:c r="D909" s="2" t="str">
        <x:v>success</x:v>
      </x:c>
      <x:c r="E909" s="2" t="n">
        <x:v>10</x:v>
      </x:c>
      <x:c r="F909" s="7" t="n">
        <x:v>85</x:v>
      </x:c>
      <x:c r="G909" s="7" t="n">
        <x:v>85</x:v>
      </x:c>
      <x:c r="H909" s="7" t="n">
        <x:f>IF(F909=0,"n.a.",100*(F909-G909)/F909)</x:f>
        <x:v>0</x:v>
      </x:c>
      <x:c r="I909" s="7" t="n">
        <x:f>F909-G909</x:f>
        <x:v>0</x:v>
      </x:c>
      <x:c r="J909" s="8" t="n">
        <x:v>1.361008511766975</x:v>
      </x:c>
      <x:c r="K909" s="8" t="n">
        <x:v>1.361008511766975</x:v>
      </x:c>
      <x:c r="L909" s="8" t="n">
        <x:v>0</x:v>
      </x:c>
      <x:c r="M909" s="7" t="n">
        <x:v>683.4490000037476</x:v>
      </x:c>
      <x:c r="N909" s="2" t="str">
        <x:v>qiskit.primitives.StatevectorSampler</x:v>
      </x:c>
      <x:c r="O909" s="9" t="str">
        <x:v>0001010111</x:v>
      </x:c>
    </x:row>
    <x:row r="910" ht="18" customHeight="1">
      <x:c r="A910" s="2" t="str">
        <x:v>controlled_n5_distributed_peak_1</x:v>
      </x:c>
      <x:c r="B910" s="2" t="str">
        <x:v>BPSO</x:v>
      </x:c>
      <x:c r="C910" s="2" t="n">
        <x:v>2026</x:v>
      </x:c>
      <x:c r="D910" s="2" t="str">
        <x:v>success</x:v>
      </x:c>
      <x:c r="E910" s="2" t="n">
        <x:v>10</x:v>
      </x:c>
      <x:c r="F910" s="7" t="n">
        <x:v>85</x:v>
      </x:c>
      <x:c r="G910" s="7" t="n">
        <x:v>85</x:v>
      </x:c>
      <x:c r="H910" s="7" t="n">
        <x:f>IF(F910=0,"n.a.",100*(F910-G910)/F910)</x:f>
        <x:v>0</x:v>
      </x:c>
      <x:c r="I910" s="7" t="n">
        <x:f>F910-G910</x:f>
        <x:v>0</x:v>
      </x:c>
      <x:c r="J910" s="8" t="n">
        <x:v>1.361008511766975</x:v>
      </x:c>
      <x:c r="K910" s="8" t="n">
        <x:v>1.361008511766975</x:v>
      </x:c>
      <x:c r="L910" s="8" t="n">
        <x:v>0</x:v>
      </x:c>
      <x:c r="M910" s="7" t="n">
        <x:v>20.348699996247888</x:v>
      </x:c>
      <x:c r="N910" s="2" t="str">
        <x:v>repository_particle_dynamics_on_frozen_qubo</x:v>
      </x:c>
      <x:c r="O910" s="9" t="str">
        <x:v>1001001011</x:v>
      </x:c>
    </x:row>
    <x:row r="911" ht="18" customHeight="1">
      <x:c r="A911" s="2" t="str">
        <x:v>controlled_n5_distributed_peak_1</x:v>
      </x:c>
      <x:c r="B911" s="2" t="str">
        <x:v>QAOA</x:v>
      </x:c>
      <x:c r="C911" s="2" t="n">
        <x:v>2026</x:v>
      </x:c>
      <x:c r="D911" s="2" t="str">
        <x:v>success</x:v>
      </x:c>
      <x:c r="E911" s="2" t="n">
        <x:v>10</x:v>
      </x:c>
      <x:c r="F911" s="7" t="n">
        <x:v>85</x:v>
      </x:c>
      <x:c r="G911" s="7" t="n">
        <x:v>85</x:v>
      </x:c>
      <x:c r="H911" s="7" t="n">
        <x:f>IF(F911=0,"n.a.",100*(F911-G911)/F911)</x:f>
        <x:v>0</x:v>
      </x:c>
      <x:c r="I911" s="7" t="n">
        <x:f>F911-G911</x:f>
        <x:v>0</x:v>
      </x:c>
      <x:c r="J911" s="8" t="n">
        <x:v>1.361008511766975</x:v>
      </x:c>
      <x:c r="K911" s="8" t="n">
        <x:v>1.361008511766975</x:v>
      </x:c>
      <x:c r="L911" s="8" t="n">
        <x:v>0</x:v>
      </x:c>
      <x:c r="M911" s="7" t="n">
        <x:v>672.8715999925043</x:v>
      </x:c>
      <x:c r="N911" s="2" t="str">
        <x:v>qiskit.primitives.StatevectorSampler</x:v>
      </x:c>
      <x:c r="O911" s="9" t="str">
        <x:v>0101001011</x:v>
      </x:c>
    </x:row>
    <x:row r="912" ht="18" customHeight="1">
      <x:c r="A912" s="2" t="str">
        <x:v>controlled_n5_distributed_peak_2</x:v>
      </x:c>
      <x:c r="B912" s="2" t="str">
        <x:v>Unmanaged</x:v>
      </x:c>
      <x:c r="C912" s="2"/>
      <x:c r="D912" s="2" t="str">
        <x:v>baseline</x:v>
      </x:c>
      <x:c r="E912" s="2" t="n">
        <x:v>10</x:v>
      </x:c>
      <x:c r="F912" s="7" t="n">
        <x:v>85</x:v>
      </x:c>
      <x:c r="G912" s="7" t="n">
        <x:v>85</x:v>
      </x:c>
      <x:c r="H912" s="7" t="n">
        <x:f>IF(F912=0,"n.a.",100*(F912-G912)/F912)</x:f>
        <x:v>0</x:v>
      </x:c>
      <x:c r="I912" s="7" t="n">
        <x:f>F912-G912</x:f>
        <x:v>0</x:v>
      </x:c>
      <x:c r="J912" s="8"/>
      <x:c r="K912" s="8" t="n">
        <x:v>1.9009565972222218</x:v>
      </x:c>
      <x:c r="L912" s="8"/>
      <x:c r="M912" s="7"/>
      <x:c r="N912" s="2" t="str">
        <x:v>unmanaged_input</x:v>
      </x:c>
      <x:c r="O912" s="9"/>
    </x:row>
    <x:row r="913" ht="18" customHeight="1">
      <x:c r="A913" s="2" t="str">
        <x:v>controlled_n5_distributed_peak_2</x:v>
      </x:c>
      <x:c r="B913" s="2" t="str">
        <x:v>Exact J</x:v>
      </x:c>
      <x:c r="C913" s="2"/>
      <x:c r="D913" s="2" t="str">
        <x:v>success</x:v>
      </x:c>
      <x:c r="E913" s="2" t="n">
        <x:v>10</x:v>
      </x:c>
      <x:c r="F913" s="7" t="n">
        <x:v>85</x:v>
      </x:c>
      <x:c r="G913" s="7" t="n">
        <x:v>87.5</x:v>
      </x:c>
      <x:c r="H913" s="7" t="n">
        <x:f>IF(F913=0,"n.a.",100*(F913-G913)/F913)</x:f>
        <x:v>-2.9411764705882355</x:v>
      </x:c>
      <x:c r="I913" s="7" t="n">
        <x:f>F913-G913</x:f>
        <x:v>-2.5</x:v>
      </x:c>
      <x:c r="J913" s="8" t="n">
        <x:v>1.9009565972222218</x:v>
      </x:c>
      <x:c r="K913" s="8" t="n">
        <x:v>1.9009565972222218</x:v>
      </x:c>
      <x:c r="L913" s="8" t="n">
        <x:v>0</x:v>
      </x:c>
      <x:c r="M913" s="7"/>
      <x:c r="N913" s="2" t="str">
        <x:v>exhaustive_enumeration</x:v>
      </x:c>
      <x:c r="O913" s="9" t="str">
        <x:v>0001110111</x:v>
      </x:c>
    </x:row>
    <x:row r="914" ht="18" customHeight="1">
      <x:c r="A914" s="2" t="str">
        <x:v>controlled_n5_distributed_peak_2</x:v>
      </x:c>
      <x:c r="B914" s="2" t="str">
        <x:v>Exact peak</x:v>
      </x:c>
      <x:c r="C914" s="2"/>
      <x:c r="D914" s="2" t="str">
        <x:v>success</x:v>
      </x:c>
      <x:c r="E914" s="2" t="n">
        <x:v>10</x:v>
      </x:c>
      <x:c r="F914" s="7" t="n">
        <x:v>85</x:v>
      </x:c>
      <x:c r="G914" s="7" t="n">
        <x:v>87.5</x:v>
      </x:c>
      <x:c r="H914" s="7" t="n">
        <x:f>IF(F914=0,"n.a.",100*(F914-G914)/F914)</x:f>
        <x:v>-2.9411764705882355</x:v>
      </x:c>
      <x:c r="I914" s="7" t="n">
        <x:f>F914-G914</x:f>
        <x:v>-2.5</x:v>
      </x:c>
      <x:c r="J914" s="8" t="n">
        <x:v>1.9009565972222218</x:v>
      </x:c>
      <x:c r="K914" s="8" t="n">
        <x:v>1.9009565972222218</x:v>
      </x:c>
      <x:c r="L914" s="8" t="n">
        <x:v>0</x:v>
      </x:c>
      <x:c r="M914" s="7"/>
      <x:c r="N914" s="2" t="str">
        <x:v>exhaustive_enumeration</x:v>
      </x:c>
      <x:c r="O914" s="9" t="str">
        <x:v>0001110111</x:v>
      </x:c>
    </x:row>
    <x:row r="915" ht="18" customHeight="1">
      <x:c r="A915" s="2" t="str">
        <x:v>controlled_n5_distributed_peak_2</x:v>
      </x:c>
      <x:c r="B915" s="2" t="str">
        <x:v>BPSO</x:v>
      </x:c>
      <x:c r="C915" s="2" t="n">
        <x:v>42</x:v>
      </x:c>
      <x:c r="D915" s="2" t="str">
        <x:v>success</x:v>
      </x:c>
      <x:c r="E915" s="2" t="n">
        <x:v>10</x:v>
      </x:c>
      <x:c r="F915" s="7" t="n">
        <x:v>85</x:v>
      </x:c>
      <x:c r="G915" s="7" t="n">
        <x:v>87.5</x:v>
      </x:c>
      <x:c r="H915" s="7" t="n">
        <x:f>IF(F915=0,"n.a.",100*(F915-G915)/F915)</x:f>
        <x:v>-2.9411764705882355</x:v>
      </x:c>
      <x:c r="I915" s="7" t="n">
        <x:f>F915-G915</x:f>
        <x:v>-2.5</x:v>
      </x:c>
      <x:c r="J915" s="8" t="n">
        <x:v>1.9009565972222218</x:v>
      </x:c>
      <x:c r="K915" s="8" t="n">
        <x:v>1.9009565972222218</x:v>
      </x:c>
      <x:c r="L915" s="8" t="n">
        <x:v>0</x:v>
      </x:c>
      <x:c r="M915" s="7" t="n">
        <x:v>20.440599997527897</x:v>
      </x:c>
      <x:c r="N915" s="2" t="str">
        <x:v>repository_particle_dynamics_on_frozen_qubo</x:v>
      </x:c>
      <x:c r="O915" s="9" t="str">
        <x:v>1010011101</x:v>
      </x:c>
    </x:row>
    <x:row r="916" ht="18" customHeight="1">
      <x:c r="A916" s="2" t="str">
        <x:v>controlled_n5_distributed_peak_2</x:v>
      </x:c>
      <x:c r="B916" s="2" t="str">
        <x:v>QAOA</x:v>
      </x:c>
      <x:c r="C916" s="2" t="n">
        <x:v>42</x:v>
      </x:c>
      <x:c r="D916" s="2" t="str">
        <x:v>success</x:v>
      </x:c>
      <x:c r="E916" s="2" t="n">
        <x:v>10</x:v>
      </x:c>
      <x:c r="F916" s="7" t="n">
        <x:v>85</x:v>
      </x:c>
      <x:c r="G916" s="7" t="n">
        <x:v>87.5</x:v>
      </x:c>
      <x:c r="H916" s="7" t="n">
        <x:f>IF(F916=0,"n.a.",100*(F916-G916)/F916)</x:f>
        <x:v>-2.9411764705882355</x:v>
      </x:c>
      <x:c r="I916" s="7" t="n">
        <x:f>F916-G916</x:f>
        <x:v>-2.5</x:v>
      </x:c>
      <x:c r="J916" s="8" t="n">
        <x:v>1.900956597222222</x:v>
      </x:c>
      <x:c r="K916" s="8" t="n">
        <x:v>1.9009565972222218</x:v>
      </x:c>
      <x:c r="L916" s="8" t="n">
        <x:v>2.220446049250313e-16</x:v>
      </x:c>
      <x:c r="M916" s="7" t="n">
        <x:v>808.1590999936452</x:v>
      </x:c>
      <x:c r="N916" s="2" t="str">
        <x:v>qiskit.primitives.StatevectorSampler</x:v>
      </x:c>
      <x:c r="O916" s="9" t="str">
        <x:v>1100101110</x:v>
      </x:c>
    </x:row>
    <x:row r="917" ht="18" customHeight="1">
      <x:c r="A917" s="2" t="str">
        <x:v>controlled_n5_distributed_peak_2</x:v>
      </x:c>
      <x:c r="B917" s="2" t="str">
        <x:v>BPSO</x:v>
      </x:c>
      <x:c r="C917" s="2" t="n">
        <x:v>123</x:v>
      </x:c>
      <x:c r="D917" s="2" t="str">
        <x:v>success</x:v>
      </x:c>
      <x:c r="E917" s="2" t="n">
        <x:v>10</x:v>
      </x:c>
      <x:c r="F917" s="7" t="n">
        <x:v>85</x:v>
      </x:c>
      <x:c r="G917" s="7" t="n">
        <x:v>87.5</x:v>
      </x:c>
      <x:c r="H917" s="7" t="n">
        <x:f>IF(F917=0,"n.a.",100*(F917-G917)/F917)</x:f>
        <x:v>-2.9411764705882355</x:v>
      </x:c>
      <x:c r="I917" s="7" t="n">
        <x:f>F917-G917</x:f>
        <x:v>-2.5</x:v>
      </x:c>
      <x:c r="J917" s="8" t="n">
        <x:v>1.9009565972222218</x:v>
      </x:c>
      <x:c r="K917" s="8" t="n">
        <x:v>1.9009565972222218</x:v>
      </x:c>
      <x:c r="L917" s="8" t="n">
        <x:v>0</x:v>
      </x:c>
      <x:c r="M917" s="7" t="n">
        <x:v>20.89430000341963</x:v>
      </x:c>
      <x:c r="N917" s="2" t="str">
        <x:v>repository_particle_dynamics_on_frozen_qubo</x:v>
      </x:c>
      <x:c r="O917" s="9" t="str">
        <x:v>1101001011</x:v>
      </x:c>
    </x:row>
    <x:row r="918" ht="18" customHeight="1">
      <x:c r="A918" s="2" t="str">
        <x:v>controlled_n5_distributed_peak_2</x:v>
      </x:c>
      <x:c r="B918" s="2" t="str">
        <x:v>QAOA</x:v>
      </x:c>
      <x:c r="C918" s="2" t="n">
        <x:v>123</x:v>
      </x:c>
      <x:c r="D918" s="2" t="str">
        <x:v>success</x:v>
      </x:c>
      <x:c r="E918" s="2" t="n">
        <x:v>10</x:v>
      </x:c>
      <x:c r="F918" s="7" t="n">
        <x:v>85</x:v>
      </x:c>
      <x:c r="G918" s="7" t="n">
        <x:v>87.5</x:v>
      </x:c>
      <x:c r="H918" s="7" t="n">
        <x:f>IF(F918=0,"n.a.",100*(F918-G918)/F918)</x:f>
        <x:v>-2.9411764705882355</x:v>
      </x:c>
      <x:c r="I918" s="7" t="n">
        <x:f>F918-G918</x:f>
        <x:v>-2.5</x:v>
      </x:c>
      <x:c r="J918" s="8" t="n">
        <x:v>1.900956597222222</x:v>
      </x:c>
      <x:c r="K918" s="8" t="n">
        <x:v>1.9009565972222218</x:v>
      </x:c>
      <x:c r="L918" s="8" t="n">
        <x:v>2.220446049250313e-16</x:v>
      </x:c>
      <x:c r="M918" s="7" t="n">
        <x:v>960.8148000115762</x:v>
      </x:c>
      <x:c r="N918" s="2" t="str">
        <x:v>qiskit.primitives.StatevectorSampler</x:v>
      </x:c>
      <x:c r="O918" s="9" t="str">
        <x:v>1000111011</x:v>
      </x:c>
    </x:row>
    <x:row r="919" ht="18" customHeight="1">
      <x:c r="A919" s="2" t="str">
        <x:v>controlled_n5_distributed_peak_2</x:v>
      </x:c>
      <x:c r="B919" s="2" t="str">
        <x:v>BPSO</x:v>
      </x:c>
      <x:c r="C919" s="2" t="n">
        <x:v>456</x:v>
      </x:c>
      <x:c r="D919" s="2" t="str">
        <x:v>success</x:v>
      </x:c>
      <x:c r="E919" s="2" t="n">
        <x:v>10</x:v>
      </x:c>
      <x:c r="F919" s="7" t="n">
        <x:v>85</x:v>
      </x:c>
      <x:c r="G919" s="7" t="n">
        <x:v>87.5</x:v>
      </x:c>
      <x:c r="H919" s="7" t="n">
        <x:f>IF(F919=0,"n.a.",100*(F919-G919)/F919)</x:f>
        <x:v>-2.9411764705882355</x:v>
      </x:c>
      <x:c r="I919" s="7" t="n">
        <x:f>F919-G919</x:f>
        <x:v>-2.5</x:v>
      </x:c>
      <x:c r="J919" s="8" t="n">
        <x:v>1.9009565972222218</x:v>
      </x:c>
      <x:c r="K919" s="8" t="n">
        <x:v>1.9009565972222218</x:v>
      </x:c>
      <x:c r="L919" s="8" t="n">
        <x:v>0</x:v>
      </x:c>
      <x:c r="M919" s="7" t="n">
        <x:v>22.335000001476146</x:v>
      </x:c>
      <x:c r="N919" s="2" t="str">
        <x:v>repository_particle_dynamics_on_frozen_qubo</x:v>
      </x:c>
      <x:c r="O919" s="9" t="str">
        <x:v>1101001110</x:v>
      </x:c>
    </x:row>
    <x:row r="920" ht="18" customHeight="1">
      <x:c r="A920" s="2" t="str">
        <x:v>controlled_n5_distributed_peak_2</x:v>
      </x:c>
      <x:c r="B920" s="2" t="str">
        <x:v>QAOA</x:v>
      </x:c>
      <x:c r="C920" s="2" t="n">
        <x:v>456</x:v>
      </x:c>
      <x:c r="D920" s="2" t="str">
        <x:v>success</x:v>
      </x:c>
      <x:c r="E920" s="2" t="n">
        <x:v>10</x:v>
      </x:c>
      <x:c r="F920" s="7" t="n">
        <x:v>85</x:v>
      </x:c>
      <x:c r="G920" s="7" t="n">
        <x:v>87.5</x:v>
      </x:c>
      <x:c r="H920" s="7" t="n">
        <x:f>IF(F920=0,"n.a.",100*(F920-G920)/F920)</x:f>
        <x:v>-2.9411764705882355</x:v>
      </x:c>
      <x:c r="I920" s="7" t="n">
        <x:f>F920-G920</x:f>
        <x:v>-2.5</x:v>
      </x:c>
      <x:c r="J920" s="8" t="n">
        <x:v>1.900956597222222</x:v>
      </x:c>
      <x:c r="K920" s="8" t="n">
        <x:v>1.9009565972222218</x:v>
      </x:c>
      <x:c r="L920" s="8" t="n">
        <x:v>2.220446049250313e-16</x:v>
      </x:c>
      <x:c r="M920" s="7" t="n">
        <x:v>785.2684999961639</x:v>
      </x:c>
      <x:c r="N920" s="2" t="str">
        <x:v>qiskit.primitives.StatevectorSampler</x:v>
      </x:c>
      <x:c r="O920" s="9" t="str">
        <x:v>1010101011</x:v>
      </x:c>
    </x:row>
    <x:row r="921" ht="18" customHeight="1">
      <x:c r="A921" s="2" t="str">
        <x:v>controlled_n5_distributed_peak_2</x:v>
      </x:c>
      <x:c r="B921" s="2" t="str">
        <x:v>BPSO</x:v>
      </x:c>
      <x:c r="C921" s="2" t="n">
        <x:v>789</x:v>
      </x:c>
      <x:c r="D921" s="2" t="str">
        <x:v>success</x:v>
      </x:c>
      <x:c r="E921" s="2" t="n">
        <x:v>10</x:v>
      </x:c>
      <x:c r="F921" s="7" t="n">
        <x:v>85</x:v>
      </x:c>
      <x:c r="G921" s="7" t="n">
        <x:v>87.5</x:v>
      </x:c>
      <x:c r="H921" s="7" t="n">
        <x:f>IF(F921=0,"n.a.",100*(F921-G921)/F921)</x:f>
        <x:v>-2.9411764705882355</x:v>
      </x:c>
      <x:c r="I921" s="7" t="n">
        <x:f>F921-G921</x:f>
        <x:v>-2.5</x:v>
      </x:c>
      <x:c r="J921" s="8" t="n">
        <x:v>1.9009565972222218</x:v>
      </x:c>
      <x:c r="K921" s="8" t="n">
        <x:v>1.9009565972222218</x:v>
      </x:c>
      <x:c r="L921" s="8" t="n">
        <x:v>0</x:v>
      </x:c>
      <x:c r="M921" s="7" t="n">
        <x:v>20.45380001072772</x:v>
      </x:c>
      <x:c r="N921" s="2" t="str">
        <x:v>repository_particle_dynamics_on_frozen_qubo</x:v>
      </x:c>
      <x:c r="O921" s="9" t="str">
        <x:v>0100111101</x:v>
      </x:c>
    </x:row>
    <x:row r="922" ht="18" customHeight="1">
      <x:c r="A922" s="2" t="str">
        <x:v>controlled_n5_distributed_peak_2</x:v>
      </x:c>
      <x:c r="B922" s="2" t="str">
        <x:v>QAOA</x:v>
      </x:c>
      <x:c r="C922" s="2" t="n">
        <x:v>789</x:v>
      </x:c>
      <x:c r="D922" s="2" t="str">
        <x:v>success</x:v>
      </x:c>
      <x:c r="E922" s="2" t="n">
        <x:v>10</x:v>
      </x:c>
      <x:c r="F922" s="7" t="n">
        <x:v>85</x:v>
      </x:c>
      <x:c r="G922" s="7" t="n">
        <x:v>87.5</x:v>
      </x:c>
      <x:c r="H922" s="7" t="n">
        <x:f>IF(F922=0,"n.a.",100*(F922-G922)/F922)</x:f>
        <x:v>-2.9411764705882355</x:v>
      </x:c>
      <x:c r="I922" s="7" t="n">
        <x:f>F922-G922</x:f>
        <x:v>-2.5</x:v>
      </x:c>
      <x:c r="J922" s="8" t="n">
        <x:v>1.900956597222222</x:v>
      </x:c>
      <x:c r="K922" s="8" t="n">
        <x:v>1.9009565972222218</x:v>
      </x:c>
      <x:c r="L922" s="8" t="n">
        <x:v>2.220446049250313e-16</x:v>
      </x:c>
      <x:c r="M922" s="7" t="n">
        <x:v>869.3938000069465</x:v>
      </x:c>
      <x:c r="N922" s="2" t="str">
        <x:v>qiskit.primitives.StatevectorSampler</x:v>
      </x:c>
      <x:c r="O922" s="9" t="str">
        <x:v>1110001101</x:v>
      </x:c>
    </x:row>
    <x:row r="923" ht="18" customHeight="1">
      <x:c r="A923" s="2" t="str">
        <x:v>controlled_n5_distributed_peak_2</x:v>
      </x:c>
      <x:c r="B923" s="2" t="str">
        <x:v>BPSO</x:v>
      </x:c>
      <x:c r="C923" s="2" t="n">
        <x:v>2026</x:v>
      </x:c>
      <x:c r="D923" s="2" t="str">
        <x:v>success</x:v>
      </x:c>
      <x:c r="E923" s="2" t="n">
        <x:v>10</x:v>
      </x:c>
      <x:c r="F923" s="7" t="n">
        <x:v>85</x:v>
      </x:c>
      <x:c r="G923" s="7" t="n">
        <x:v>87.5</x:v>
      </x:c>
      <x:c r="H923" s="7" t="n">
        <x:f>IF(F923=0,"n.a.",100*(F923-G923)/F923)</x:f>
        <x:v>-2.9411764705882355</x:v>
      </x:c>
      <x:c r="I923" s="7" t="n">
        <x:f>F923-G923</x:f>
        <x:v>-2.5</x:v>
      </x:c>
      <x:c r="J923" s="8" t="n">
        <x:v>1.9009565972222218</x:v>
      </x:c>
      <x:c r="K923" s="8" t="n">
        <x:v>1.9009565972222218</x:v>
      </x:c>
      <x:c r="L923" s="8" t="n">
        <x:v>0</x:v>
      </x:c>
      <x:c r="M923" s="7" t="n">
        <x:v>20.46379999956116</x:v>
      </x:c>
      <x:c r="N923" s="2" t="str">
        <x:v>repository_particle_dynamics_on_frozen_qubo</x:v>
      </x:c>
      <x:c r="O923" s="9" t="str">
        <x:v>1010101110</x:v>
      </x:c>
    </x:row>
    <x:row r="924" ht="18" customHeight="1">
      <x:c r="A924" s="2" t="str">
        <x:v>controlled_n5_distributed_peak_2</x:v>
      </x:c>
      <x:c r="B924" s="2" t="str">
        <x:v>QAOA</x:v>
      </x:c>
      <x:c r="C924" s="2" t="n">
        <x:v>2026</x:v>
      </x:c>
      <x:c r="D924" s="2" t="str">
        <x:v>success</x:v>
      </x:c>
      <x:c r="E924" s="2" t="n">
        <x:v>10</x:v>
      </x:c>
      <x:c r="F924" s="7" t="n">
        <x:v>85</x:v>
      </x:c>
      <x:c r="G924" s="7" t="n">
        <x:v>87.5</x:v>
      </x:c>
      <x:c r="H924" s="7" t="n">
        <x:f>IF(F924=0,"n.a.",100*(F924-G924)/F924)</x:f>
        <x:v>-2.9411764705882355</x:v>
      </x:c>
      <x:c r="I924" s="7" t="n">
        <x:f>F924-G924</x:f>
        <x:v>-2.5</x:v>
      </x:c>
      <x:c r="J924" s="8" t="n">
        <x:v>1.900956597222222</x:v>
      </x:c>
      <x:c r="K924" s="8" t="n">
        <x:v>1.9009565972222218</x:v>
      </x:c>
      <x:c r="L924" s="8" t="n">
        <x:v>2.220446049250313e-16</x:v>
      </x:c>
      <x:c r="M924" s="7" t="n">
        <x:v>688.8323000021046</x:v>
      </x:c>
      <x:c r="N924" s="2" t="str">
        <x:v>qiskit.primitives.StatevectorSampler</x:v>
      </x:c>
      <x:c r="O924" s="9" t="str">
        <x:v>1001101110</x:v>
      </x:c>
    </x:row>
    <x:row r="925" ht="18" customHeight="1">
      <x:c r="A925" s="2" t="str">
        <x:v>controlled_n5_distributed_peak_3</x:v>
      </x:c>
      <x:c r="B925" s="2" t="str">
        <x:v>Unmanaged</x:v>
      </x:c>
      <x:c r="C925" s="2"/>
      <x:c r="D925" s="2" t="str">
        <x:v>baseline</x:v>
      </x:c>
      <x:c r="E925" s="2" t="n">
        <x:v>10</x:v>
      </x:c>
      <x:c r="F925" s="7" t="n">
        <x:v>85</x:v>
      </x:c>
      <x:c r="G925" s="7" t="n">
        <x:v>85</x:v>
      </x:c>
      <x:c r="H925" s="7" t="n">
        <x:f>IF(F925=0,"n.a.",100*(F925-G925)/F925)</x:f>
        <x:v>0</x:v>
      </x:c>
      <x:c r="I925" s="7" t="n">
        <x:f>F925-G925</x:f>
        <x:v>0</x:v>
      </x:c>
      <x:c r="J925" s="8"/>
      <x:c r="K925" s="8" t="n">
        <x:v>4.250772472993827</x:v>
      </x:c>
      <x:c r="L925" s="8"/>
      <x:c r="M925" s="7"/>
      <x:c r="N925" s="2" t="str">
        <x:v>unmanaged_input</x:v>
      </x:c>
      <x:c r="O925" s="9"/>
    </x:row>
    <x:row r="926" ht="18" customHeight="1">
      <x:c r="A926" s="2" t="str">
        <x:v>controlled_n5_distributed_peak_3</x:v>
      </x:c>
      <x:c r="B926" s="2" t="str">
        <x:v>Exact J</x:v>
      </x:c>
      <x:c r="C926" s="2"/>
      <x:c r="D926" s="2" t="str">
        <x:v>success</x:v>
      </x:c>
      <x:c r="E926" s="2" t="n">
        <x:v>10</x:v>
      </x:c>
      <x:c r="F926" s="7" t="n">
        <x:v>85</x:v>
      </x:c>
      <x:c r="G926" s="7" t="n">
        <x:v>120</x:v>
      </x:c>
      <x:c r="H926" s="7" t="n">
        <x:f>IF(F926=0,"n.a.",100*(F926-G926)/F926)</x:f>
        <x:v>-41.1764705882353</x:v>
      </x:c>
      <x:c r="I926" s="7" t="n">
        <x:f>F926-G926</x:f>
        <x:v>-35</x:v>
      </x:c>
      <x:c r="J926" s="8" t="n">
        <x:v>4.250772472993827</x:v>
      </x:c>
      <x:c r="K926" s="8" t="n">
        <x:v>4.250772472993827</x:v>
      </x:c>
      <x:c r="L926" s="8" t="n">
        <x:v>0</x:v>
      </x:c>
      <x:c r="M926" s="7"/>
      <x:c r="N926" s="2" t="str">
        <x:v>exhaustive_enumeration</x:v>
      </x:c>
      <x:c r="O926" s="9" t="str">
        <x:v>0011111111</x:v>
      </x:c>
    </x:row>
    <x:row r="927" ht="18" customHeight="1">
      <x:c r="A927" s="2" t="str">
        <x:v>controlled_n5_distributed_peak_3</x:v>
      </x:c>
      <x:c r="B927" s="2" t="str">
        <x:v>Exact peak</x:v>
      </x:c>
      <x:c r="C927" s="2"/>
      <x:c r="D927" s="2" t="str">
        <x:v>success</x:v>
      </x:c>
      <x:c r="E927" s="2" t="n">
        <x:v>10</x:v>
      </x:c>
      <x:c r="F927" s="7" t="n">
        <x:v>85</x:v>
      </x:c>
      <x:c r="G927" s="7" t="n">
        <x:v>107.5</x:v>
      </x:c>
      <x:c r="H927" s="7" t="n">
        <x:f>IF(F927=0,"n.a.",100*(F927-G927)/F927)</x:f>
        <x:v>-26.470588235294116</x:v>
      </x:c>
      <x:c r="I927" s="7" t="n">
        <x:f>F927-G927</x:f>
        <x:v>-22.5</x:v>
      </x:c>
      <x:c r="J927" s="8" t="n">
        <x:v>4.46281674382716</x:v>
      </x:c>
      <x:c r="K927" s="8" t="n">
        <x:v>4.250772472993827</x:v>
      </x:c>
      <x:c r="L927" s="8" t="n">
        <x:v>0.21204427083333321</x:v>
      </x:c>
      <x:c r="M927" s="7"/>
      <x:c r="N927" s="2" t="str">
        <x:v>exhaustive_enumeration</x:v>
      </x:c>
      <x:c r="O927" s="9" t="str">
        <x:v>0011110011</x:v>
      </x:c>
    </x:row>
    <x:row r="928" ht="18" customHeight="1">
      <x:c r="A928" s="2" t="str">
        <x:v>controlled_n5_distributed_peak_3</x:v>
      </x:c>
      <x:c r="B928" s="2" t="str">
        <x:v>BPSO</x:v>
      </x:c>
      <x:c r="C928" s="2" t="n">
        <x:v>42</x:v>
      </x:c>
      <x:c r="D928" s="2" t="str">
        <x:v>success</x:v>
      </x:c>
      <x:c r="E928" s="2" t="n">
        <x:v>10</x:v>
      </x:c>
      <x:c r="F928" s="7" t="n">
        <x:v>85</x:v>
      </x:c>
      <x:c r="G928" s="7" t="n">
        <x:v>120</x:v>
      </x:c>
      <x:c r="H928" s="7" t="n">
        <x:f>IF(F928=0,"n.a.",100*(F928-G928)/F928)</x:f>
        <x:v>-41.1764705882353</x:v>
      </x:c>
      <x:c r="I928" s="7" t="n">
        <x:f>F928-G928</x:f>
        <x:v>-35</x:v>
      </x:c>
      <x:c r="J928" s="8" t="n">
        <x:v>4.250772472993827</x:v>
      </x:c>
      <x:c r="K928" s="8" t="n">
        <x:v>4.250772472993827</x:v>
      </x:c>
      <x:c r="L928" s="8" t="n">
        <x:v>0</x:v>
      </x:c>
      <x:c r="M928" s="7" t="n">
        <x:v>21.159100011573173</x:v>
      </x:c>
      <x:c r="N928" s="2" t="str">
        <x:v>repository_particle_dynamics_on_frozen_qubo</x:v>
      </x:c>
      <x:c r="O928" s="9" t="str">
        <x:v>1011101111</x:v>
      </x:c>
    </x:row>
    <x:row r="929" ht="18" customHeight="1">
      <x:c r="A929" s="2" t="str">
        <x:v>controlled_n5_distributed_peak_3</x:v>
      </x:c>
      <x:c r="B929" s="2" t="str">
        <x:v>QAOA</x:v>
      </x:c>
      <x:c r="C929" s="2" t="n">
        <x:v>42</x:v>
      </x:c>
      <x:c r="D929" s="2" t="str">
        <x:v>success</x:v>
      </x:c>
      <x:c r="E929" s="2" t="n">
        <x:v>10</x:v>
      </x:c>
      <x:c r="F929" s="7" t="n">
        <x:v>85</x:v>
      </x:c>
      <x:c r="G929" s="7" t="n">
        <x:v>120</x:v>
      </x:c>
      <x:c r="H929" s="7" t="n">
        <x:f>IF(F929=0,"n.a.",100*(F929-G929)/F929)</x:f>
        <x:v>-41.1764705882353</x:v>
      </x:c>
      <x:c r="I929" s="7" t="n">
        <x:f>F929-G929</x:f>
        <x:v>-35</x:v>
      </x:c>
      <x:c r="J929" s="8" t="n">
        <x:v>4.250772472993827</x:v>
      </x:c>
      <x:c r="K929" s="8" t="n">
        <x:v>4.250772472993827</x:v>
      </x:c>
      <x:c r="L929" s="8" t="n">
        <x:v>0</x:v>
      </x:c>
      <x:c r="M929" s="7" t="n">
        <x:v>511.3944999902742</x:v>
      </x:c>
      <x:c r="N929" s="2" t="str">
        <x:v>qiskit.primitives.StatevectorSampler</x:v>
      </x:c>
      <x:c r="O929" s="9" t="str">
        <x:v>1010111111</x:v>
      </x:c>
    </x:row>
    <x:row r="930" ht="18" customHeight="1">
      <x:c r="A930" s="2" t="str">
        <x:v>controlled_n5_distributed_peak_3</x:v>
      </x:c>
      <x:c r="B930" s="2" t="str">
        <x:v>BPSO</x:v>
      </x:c>
      <x:c r="C930" s="2" t="n">
        <x:v>123</x:v>
      </x:c>
      <x:c r="D930" s="2" t="str">
        <x:v>success</x:v>
      </x:c>
      <x:c r="E930" s="2" t="n">
        <x:v>10</x:v>
      </x:c>
      <x:c r="F930" s="7" t="n">
        <x:v>85</x:v>
      </x:c>
      <x:c r="G930" s="7" t="n">
        <x:v>120</x:v>
      </x:c>
      <x:c r="H930" s="7" t="n">
        <x:f>IF(F930=0,"n.a.",100*(F930-G930)/F930)</x:f>
        <x:v>-41.1764705882353</x:v>
      </x:c>
      <x:c r="I930" s="7" t="n">
        <x:f>F930-G930</x:f>
        <x:v>-35</x:v>
      </x:c>
      <x:c r="J930" s="8" t="n">
        <x:v>4.250772472993827</x:v>
      </x:c>
      <x:c r="K930" s="8" t="n">
        <x:v>4.250772472993827</x:v>
      </x:c>
      <x:c r="L930" s="8" t="n">
        <x:v>0</x:v>
      </x:c>
      <x:c r="M930" s="7" t="n">
        <x:v>20.344400007161312</x:v>
      </x:c>
      <x:c r="N930" s="2" t="str">
        <x:v>repository_particle_dynamics_on_frozen_qubo</x:v>
      </x:c>
      <x:c r="O930" s="9" t="str">
        <x:v>1001111111</x:v>
      </x:c>
    </x:row>
    <x:row r="931" ht="18" customHeight="1">
      <x:c r="A931" s="2" t="str">
        <x:v>controlled_n5_distributed_peak_3</x:v>
      </x:c>
      <x:c r="B931" s="2" t="str">
        <x:v>QAOA</x:v>
      </x:c>
      <x:c r="C931" s="2" t="n">
        <x:v>123</x:v>
      </x:c>
      <x:c r="D931" s="2" t="str">
        <x:v>success</x:v>
      </x:c>
      <x:c r="E931" s="2" t="n">
        <x:v>10</x:v>
      </x:c>
      <x:c r="F931" s="7" t="n">
        <x:v>85</x:v>
      </x:c>
      <x:c r="G931" s="7" t="n">
        <x:v>120</x:v>
      </x:c>
      <x:c r="H931" s="7" t="n">
        <x:f>IF(F931=0,"n.a.",100*(F931-G931)/F931)</x:f>
        <x:v>-41.1764705882353</x:v>
      </x:c>
      <x:c r="I931" s="7" t="n">
        <x:f>F931-G931</x:f>
        <x:v>-35</x:v>
      </x:c>
      <x:c r="J931" s="8" t="n">
        <x:v>4.250772472993827</x:v>
      </x:c>
      <x:c r="K931" s="8" t="n">
        <x:v>4.250772472993827</x:v>
      </x:c>
      <x:c r="L931" s="8" t="n">
        <x:v>0</x:v>
      </x:c>
      <x:c r="M931" s="7" t="n">
        <x:v>678.0918000004021</x:v>
      </x:c>
      <x:c r="N931" s="2" t="str">
        <x:v>qiskit.primitives.StatevectorSampler</x:v>
      </x:c>
      <x:c r="O931" s="9" t="str">
        <x:v>1001111111</x:v>
      </x:c>
    </x:row>
    <x:row r="932" ht="18" customHeight="1">
      <x:c r="A932" s="2" t="str">
        <x:v>controlled_n5_distributed_peak_3</x:v>
      </x:c>
      <x:c r="B932" s="2" t="str">
        <x:v>BPSO</x:v>
      </x:c>
      <x:c r="C932" s="2" t="n">
        <x:v>456</x:v>
      </x:c>
      <x:c r="D932" s="2" t="str">
        <x:v>success</x:v>
      </x:c>
      <x:c r="E932" s="2" t="n">
        <x:v>10</x:v>
      </x:c>
      <x:c r="F932" s="7" t="n">
        <x:v>85</x:v>
      </x:c>
      <x:c r="G932" s="7" t="n">
        <x:v>120</x:v>
      </x:c>
      <x:c r="H932" s="7" t="n">
        <x:f>IF(F932=0,"n.a.",100*(F932-G932)/F932)</x:f>
        <x:v>-41.1764705882353</x:v>
      </x:c>
      <x:c r="I932" s="7" t="n">
        <x:f>F932-G932</x:f>
        <x:v>-35</x:v>
      </x:c>
      <x:c r="J932" s="8" t="n">
        <x:v>4.250772472993827</x:v>
      </x:c>
      <x:c r="K932" s="8" t="n">
        <x:v>4.250772472993827</x:v>
      </x:c>
      <x:c r="L932" s="8" t="n">
        <x:v>0</x:v>
      </x:c>
      <x:c r="M932" s="7" t="n">
        <x:v>20.452100012334995</x:v>
      </x:c>
      <x:c r="N932" s="2" t="str">
        <x:v>repository_particle_dynamics_on_frozen_qubo</x:v>
      </x:c>
      <x:c r="O932" s="9" t="str">
        <x:v>0111101111</x:v>
      </x:c>
    </x:row>
    <x:row r="933" ht="18" customHeight="1">
      <x:c r="A933" s="2" t="str">
        <x:v>controlled_n5_distributed_peak_3</x:v>
      </x:c>
      <x:c r="B933" s="2" t="str">
        <x:v>QAOA</x:v>
      </x:c>
      <x:c r="C933" s="2" t="n">
        <x:v>456</x:v>
      </x:c>
      <x:c r="D933" s="2" t="str">
        <x:v>success</x:v>
      </x:c>
      <x:c r="E933" s="2" t="n">
        <x:v>10</x:v>
      </x:c>
      <x:c r="F933" s="7" t="n">
        <x:v>85</x:v>
      </x:c>
      <x:c r="G933" s="7" t="n">
        <x:v>120</x:v>
      </x:c>
      <x:c r="H933" s="7" t="n">
        <x:f>IF(F933=0,"n.a.",100*(F933-G933)/F933)</x:f>
        <x:v>-41.1764705882353</x:v>
      </x:c>
      <x:c r="I933" s="7" t="n">
        <x:f>F933-G933</x:f>
        <x:v>-35</x:v>
      </x:c>
      <x:c r="J933" s="8" t="n">
        <x:v>4.250772472993827</x:v>
      </x:c>
      <x:c r="K933" s="8" t="n">
        <x:v>4.250772472993827</x:v>
      </x:c>
      <x:c r="L933" s="8" t="n">
        <x:v>0</x:v>
      </x:c>
      <x:c r="M933" s="7" t="n">
        <x:v>723.8171000062721</x:v>
      </x:c>
      <x:c r="N933" s="2" t="str">
        <x:v>qiskit.primitives.StatevectorSampler</x:v>
      </x:c>
      <x:c r="O933" s="9" t="str">
        <x:v>1110101111</x:v>
      </x:c>
    </x:row>
    <x:row r="934" ht="18" customHeight="1">
      <x:c r="A934" s="2" t="str">
        <x:v>controlled_n5_distributed_peak_3</x:v>
      </x:c>
      <x:c r="B934" s="2" t="str">
        <x:v>BPSO</x:v>
      </x:c>
      <x:c r="C934" s="2" t="n">
        <x:v>789</x:v>
      </x:c>
      <x:c r="D934" s="2" t="str">
        <x:v>success</x:v>
      </x:c>
      <x:c r="E934" s="2" t="n">
        <x:v>10</x:v>
      </x:c>
      <x:c r="F934" s="7" t="n">
        <x:v>85</x:v>
      </x:c>
      <x:c r="G934" s="7" t="n">
        <x:v>120</x:v>
      </x:c>
      <x:c r="H934" s="7" t="n">
        <x:f>IF(F934=0,"n.a.",100*(F934-G934)/F934)</x:f>
        <x:v>-41.1764705882353</x:v>
      </x:c>
      <x:c r="I934" s="7" t="n">
        <x:f>F934-G934</x:f>
        <x:v>-35</x:v>
      </x:c>
      <x:c r="J934" s="8" t="n">
        <x:v>4.250772472993827</x:v>
      </x:c>
      <x:c r="K934" s="8" t="n">
        <x:v>4.250772472993827</x:v>
      </x:c>
      <x:c r="L934" s="8" t="n">
        <x:v>0</x:v>
      </x:c>
      <x:c r="M934" s="7" t="n">
        <x:v>20.859199998085387</x:v>
      </x:c>
      <x:c r="N934" s="2" t="str">
        <x:v>repository_particle_dynamics_on_frozen_qubo</x:v>
      </x:c>
      <x:c r="O934" s="9" t="str">
        <x:v>1111001111</x:v>
      </x:c>
    </x:row>
    <x:row r="935" ht="18" customHeight="1">
      <x:c r="A935" s="2" t="str">
        <x:v>controlled_n5_distributed_peak_3</x:v>
      </x:c>
      <x:c r="B935" s="2" t="str">
        <x:v>QAOA</x:v>
      </x:c>
      <x:c r="C935" s="2" t="n">
        <x:v>789</x:v>
      </x:c>
      <x:c r="D935" s="2" t="str">
        <x:v>success</x:v>
      </x:c>
      <x:c r="E935" s="2" t="n">
        <x:v>10</x:v>
      </x:c>
      <x:c r="F935" s="7" t="n">
        <x:v>85</x:v>
      </x:c>
      <x:c r="G935" s="7" t="n">
        <x:v>120</x:v>
      </x:c>
      <x:c r="H935" s="7" t="n">
        <x:f>IF(F935=0,"n.a.",100*(F935-G935)/F935)</x:f>
        <x:v>-41.1764705882353</x:v>
      </x:c>
      <x:c r="I935" s="7" t="n">
        <x:f>F935-G935</x:f>
        <x:v>-35</x:v>
      </x:c>
      <x:c r="J935" s="8" t="n">
        <x:v>4.250772472993827</x:v>
      </x:c>
      <x:c r="K935" s="8" t="n">
        <x:v>4.250772472993827</x:v>
      </x:c>
      <x:c r="L935" s="8" t="n">
        <x:v>0</x:v>
      </x:c>
      <x:c r="M935" s="7" t="n">
        <x:v>821.5509000001475</x:v>
      </x:c>
      <x:c r="N935" s="2" t="str">
        <x:v>qiskit.primitives.StatevectorSampler</x:v>
      </x:c>
      <x:c r="O935" s="9" t="str">
        <x:v>1110011111</x:v>
      </x:c>
    </x:row>
    <x:row r="936" ht="18" customHeight="1">
      <x:c r="A936" s="2" t="str">
        <x:v>controlled_n5_distributed_peak_3</x:v>
      </x:c>
      <x:c r="B936" s="2" t="str">
        <x:v>BPSO</x:v>
      </x:c>
      <x:c r="C936" s="2" t="n">
        <x:v>2026</x:v>
      </x:c>
      <x:c r="D936" s="2" t="str">
        <x:v>success</x:v>
      </x:c>
      <x:c r="E936" s="2" t="n">
        <x:v>10</x:v>
      </x:c>
      <x:c r="F936" s="7" t="n">
        <x:v>85</x:v>
      </x:c>
      <x:c r="G936" s="7" t="n">
        <x:v>120</x:v>
      </x:c>
      <x:c r="H936" s="7" t="n">
        <x:f>IF(F936=0,"n.a.",100*(F936-G936)/F936)</x:f>
        <x:v>-41.1764705882353</x:v>
      </x:c>
      <x:c r="I936" s="7" t="n">
        <x:f>F936-G936</x:f>
        <x:v>-35</x:v>
      </x:c>
      <x:c r="J936" s="8" t="n">
        <x:v>4.250772472993827</x:v>
      </x:c>
      <x:c r="K936" s="8" t="n">
        <x:v>4.250772472993827</x:v>
      </x:c>
      <x:c r="L936" s="8" t="n">
        <x:v>0</x:v>
      </x:c>
      <x:c r="M936" s="7" t="n">
        <x:v>21.29899999999907</x:v>
      </x:c>
      <x:c r="N936" s="2" t="str">
        <x:v>repository_particle_dynamics_on_frozen_qubo</x:v>
      </x:c>
      <x:c r="O936" s="9" t="str">
        <x:v>1001111111</x:v>
      </x:c>
    </x:row>
    <x:row r="937" ht="18" customHeight="1">
      <x:c r="A937" s="2" t="str">
        <x:v>controlled_n5_distributed_peak_3</x:v>
      </x:c>
      <x:c r="B937" s="2" t="str">
        <x:v>QAOA</x:v>
      </x:c>
      <x:c r="C937" s="2" t="n">
        <x:v>2026</x:v>
      </x:c>
      <x:c r="D937" s="2" t="str">
        <x:v>success</x:v>
      </x:c>
      <x:c r="E937" s="2" t="n">
        <x:v>10</x:v>
      </x:c>
      <x:c r="F937" s="7" t="n">
        <x:v>85</x:v>
      </x:c>
      <x:c r="G937" s="7" t="n">
        <x:v>120</x:v>
      </x:c>
      <x:c r="H937" s="7" t="n">
        <x:f>IF(F937=0,"n.a.",100*(F937-G937)/F937)</x:f>
        <x:v>-41.1764705882353</x:v>
      </x:c>
      <x:c r="I937" s="7" t="n">
        <x:f>F937-G937</x:f>
        <x:v>-35</x:v>
      </x:c>
      <x:c r="J937" s="8" t="n">
        <x:v>4.250772472993827</x:v>
      </x:c>
      <x:c r="K937" s="8" t="n">
        <x:v>4.250772472993827</x:v>
      </x:c>
      <x:c r="L937" s="8" t="n">
        <x:v>0</x:v>
      </x:c>
      <x:c r="M937" s="7" t="n">
        <x:v>641.3657999946736</x:v>
      </x:c>
      <x:c r="N937" s="2" t="str">
        <x:v>qiskit.primitives.StatevectorSampler</x:v>
      </x:c>
      <x:c r="O937" s="9" t="str">
        <x:v>1101011111</x:v>
      </x:c>
    </x:row>
    <x:row r="938" ht="18" customHeight="1">
      <x:c r="A938" s="2" t="str">
        <x:v>controlled_n5_lane_closure_1</x:v>
      </x:c>
      <x:c r="B938" s="2" t="str">
        <x:v>Unmanaged</x:v>
      </x:c>
      <x:c r="C938" s="2"/>
      <x:c r="D938" s="2" t="str">
        <x:v>baseline</x:v>
      </x:c>
      <x:c r="E938" s="2" t="n">
        <x:v>0</x:v>
      </x:c>
      <x:c r="F938" s="7" t="n">
        <x:v>55.00000000000001</x:v>
      </x:c>
      <x:c r="G938" s="7" t="n">
        <x:v>55.00000000000001</x:v>
      </x:c>
      <x:c r="H938" s="7" t="n">
        <x:f>IF(F938=0,"n.a.",100*(F938-G938)/F938)</x:f>
        <x:v>0</x:v>
      </x:c>
      <x:c r="I938" s="7" t="n">
        <x:f>F938-G938</x:f>
        <x:v>0</x:v>
      </x:c>
      <x:c r="J938" s="8"/>
      <x:c r="K938" s="8" t="n">
        <x:v>0.07805555555555568</x:v>
      </x:c>
      <x:c r="L938" s="8"/>
      <x:c r="M938" s="7"/>
      <x:c r="N938" s="2" t="str">
        <x:v>unmanaged_input</x:v>
      </x:c>
      <x:c r="O938" s="9"/>
    </x:row>
    <x:row r="939" ht="18" customHeight="1">
      <x:c r="A939" s="2" t="str">
        <x:v>controlled_n5_lane_closure_1</x:v>
      </x:c>
      <x:c r="B939" s="2" t="str">
        <x:v>Exact J</x:v>
      </x:c>
      <x:c r="C939" s="2"/>
      <x:c r="D939" s="2" t="str">
        <x:v>no_congestion</x:v>
      </x:c>
      <x:c r="E939" s="2" t="n">
        <x:v>0</x:v>
      </x:c>
      <x:c r="F939" s="7" t="n">
        <x:v>55.00000000000001</x:v>
      </x:c>
      <x:c r="G939" s="7" t="n">
        <x:v>55.00000000000001</x:v>
      </x:c>
      <x:c r="H939" s="7" t="n">
        <x:f>IF(F939=0,"n.a.",100*(F939-G939)/F939)</x:f>
        <x:v>0</x:v>
      </x:c>
      <x:c r="I939" s="7" t="n">
        <x:f>F939-G939</x:f>
        <x:v>0</x:v>
      </x:c>
      <x:c r="J939" s="8" t="n">
        <x:v>0.07805555555555568</x:v>
      </x:c>
      <x:c r="K939" s="8" t="n">
        <x:v>0.07805555555555568</x:v>
      </x:c>
      <x:c r="L939" s="8" t="n">
        <x:v>0</x:v>
      </x:c>
      <x:c r="M939" s="7" t="n">
        <x:v>0</x:v>
      </x:c>
      <x:c r="N939" s="2" t="str">
        <x:v>not_invoked</x:v>
      </x:c>
      <x:c r="O939" s="9" t="str"/>
    </x:row>
    <x:row r="940" ht="18" customHeight="1">
      <x:c r="A940" s="2" t="str">
        <x:v>controlled_n5_lane_closure_1</x:v>
      </x:c>
      <x:c r="B940" s="2" t="str">
        <x:v>Exact peak</x:v>
      </x:c>
      <x:c r="C940" s="2"/>
      <x:c r="D940" s="2" t="str">
        <x:v>no_congestion</x:v>
      </x:c>
      <x:c r="E940" s="2" t="n">
        <x:v>0</x:v>
      </x:c>
      <x:c r="F940" s="7" t="n">
        <x:v>55.00000000000001</x:v>
      </x:c>
      <x:c r="G940" s="7" t="n">
        <x:v>55.00000000000001</x:v>
      </x:c>
      <x:c r="H940" s="7" t="n">
        <x:f>IF(F940=0,"n.a.",100*(F940-G940)/F940)</x:f>
        <x:v>0</x:v>
      </x:c>
      <x:c r="I940" s="7" t="n">
        <x:f>F940-G940</x:f>
        <x:v>0</x:v>
      </x:c>
      <x:c r="J940" s="8" t="n">
        <x:v>0.07805555555555568</x:v>
      </x:c>
      <x:c r="K940" s="8" t="n">
        <x:v>0.07805555555555568</x:v>
      </x:c>
      <x:c r="L940" s="8" t="n">
        <x:v>0</x:v>
      </x:c>
      <x:c r="M940" s="7" t="n">
        <x:v>0</x:v>
      </x:c>
      <x:c r="N940" s="2" t="str">
        <x:v>not_invoked</x:v>
      </x:c>
      <x:c r="O940" s="9" t="str"/>
    </x:row>
    <x:row r="941" ht="18" customHeight="1">
      <x:c r="A941" s="2" t="str">
        <x:v>controlled_n5_lane_closure_1</x:v>
      </x:c>
      <x:c r="B941" s="2" t="str">
        <x:v>BPSO</x:v>
      </x:c>
      <x:c r="C941" s="2" t="n">
        <x:v>42</x:v>
      </x:c>
      <x:c r="D941" s="2" t="str">
        <x:v>no_congestion</x:v>
      </x:c>
      <x:c r="E941" s="2" t="n">
        <x:v>0</x:v>
      </x:c>
      <x:c r="F941" s="7" t="n">
        <x:v>55.00000000000001</x:v>
      </x:c>
      <x:c r="G941" s="7" t="n">
        <x:v>55.00000000000001</x:v>
      </x:c>
      <x:c r="H941" s="7" t="n">
        <x:f>IF(F941=0,"n.a.",100*(F941-G941)/F941)</x:f>
        <x:v>0</x:v>
      </x:c>
      <x:c r="I941" s="7" t="n">
        <x:f>F941-G941</x:f>
        <x:v>0</x:v>
      </x:c>
      <x:c r="J941" s="8" t="n">
        <x:v>0.07805555555555568</x:v>
      </x:c>
      <x:c r="K941" s="8" t="n">
        <x:v>0.07805555555555568</x:v>
      </x:c>
      <x:c r="L941" s="8" t="n">
        <x:v>0</x:v>
      </x:c>
      <x:c r="M941" s="7" t="n">
        <x:v>0</x:v>
      </x:c>
      <x:c r="N941" s="2" t="str">
        <x:v>not_invoked</x:v>
      </x:c>
      <x:c r="O941" s="9" t="str"/>
    </x:row>
    <x:row r="942" ht="18" customHeight="1">
      <x:c r="A942" s="2" t="str">
        <x:v>controlled_n5_lane_closure_1</x:v>
      </x:c>
      <x:c r="B942" s="2" t="str">
        <x:v>QAOA</x:v>
      </x:c>
      <x:c r="C942" s="2" t="n">
        <x:v>42</x:v>
      </x:c>
      <x:c r="D942" s="2" t="str">
        <x:v>no_congestion</x:v>
      </x:c>
      <x:c r="E942" s="2" t="n">
        <x:v>0</x:v>
      </x:c>
      <x:c r="F942" s="7" t="n">
        <x:v>55.00000000000001</x:v>
      </x:c>
      <x:c r="G942" s="7" t="n">
        <x:v>55.00000000000001</x:v>
      </x:c>
      <x:c r="H942" s="7" t="n">
        <x:f>IF(F942=0,"n.a.",100*(F942-G942)/F942)</x:f>
        <x:v>0</x:v>
      </x:c>
      <x:c r="I942" s="7" t="n">
        <x:f>F942-G942</x:f>
        <x:v>0</x:v>
      </x:c>
      <x:c r="J942" s="8" t="n">
        <x:v>0.07805555555555568</x:v>
      </x:c>
      <x:c r="K942" s="8" t="n">
        <x:v>0.07805555555555568</x:v>
      </x:c>
      <x:c r="L942" s="8" t="n">
        <x:v>0</x:v>
      </x:c>
      <x:c r="M942" s="7" t="n">
        <x:v>0</x:v>
      </x:c>
      <x:c r="N942" s="2" t="str">
        <x:v>not_invoked</x:v>
      </x:c>
      <x:c r="O942" s="9" t="str"/>
    </x:row>
    <x:row r="943" ht="18" customHeight="1">
      <x:c r="A943" s="2" t="str">
        <x:v>controlled_n5_lane_closure_1</x:v>
      </x:c>
      <x:c r="B943" s="2" t="str">
        <x:v>BPSO</x:v>
      </x:c>
      <x:c r="C943" s="2" t="n">
        <x:v>123</x:v>
      </x:c>
      <x:c r="D943" s="2" t="str">
        <x:v>no_congestion</x:v>
      </x:c>
      <x:c r="E943" s="2" t="n">
        <x:v>0</x:v>
      </x:c>
      <x:c r="F943" s="7" t="n">
        <x:v>55.00000000000001</x:v>
      </x:c>
      <x:c r="G943" s="7" t="n">
        <x:v>55.00000000000001</x:v>
      </x:c>
      <x:c r="H943" s="7" t="n">
        <x:f>IF(F943=0,"n.a.",100*(F943-G943)/F943)</x:f>
        <x:v>0</x:v>
      </x:c>
      <x:c r="I943" s="7" t="n">
        <x:f>F943-G943</x:f>
        <x:v>0</x:v>
      </x:c>
      <x:c r="J943" s="8" t="n">
        <x:v>0.07805555555555568</x:v>
      </x:c>
      <x:c r="K943" s="8" t="n">
        <x:v>0.07805555555555568</x:v>
      </x:c>
      <x:c r="L943" s="8" t="n">
        <x:v>0</x:v>
      </x:c>
      <x:c r="M943" s="7" t="n">
        <x:v>0</x:v>
      </x:c>
      <x:c r="N943" s="2" t="str">
        <x:v>not_invoked</x:v>
      </x:c>
      <x:c r="O943" s="9" t="str"/>
    </x:row>
    <x:row r="944" ht="18" customHeight="1">
      <x:c r="A944" s="2" t="str">
        <x:v>controlled_n5_lane_closure_1</x:v>
      </x:c>
      <x:c r="B944" s="2" t="str">
        <x:v>QAOA</x:v>
      </x:c>
      <x:c r="C944" s="2" t="n">
        <x:v>123</x:v>
      </x:c>
      <x:c r="D944" s="2" t="str">
        <x:v>no_congestion</x:v>
      </x:c>
      <x:c r="E944" s="2" t="n">
        <x:v>0</x:v>
      </x:c>
      <x:c r="F944" s="7" t="n">
        <x:v>55.00000000000001</x:v>
      </x:c>
      <x:c r="G944" s="7" t="n">
        <x:v>55.00000000000001</x:v>
      </x:c>
      <x:c r="H944" s="7" t="n">
        <x:f>IF(F944=0,"n.a.",100*(F944-G944)/F944)</x:f>
        <x:v>0</x:v>
      </x:c>
      <x:c r="I944" s="7" t="n">
        <x:f>F944-G944</x:f>
        <x:v>0</x:v>
      </x:c>
      <x:c r="J944" s="8" t="n">
        <x:v>0.07805555555555568</x:v>
      </x:c>
      <x:c r="K944" s="8" t="n">
        <x:v>0.07805555555555568</x:v>
      </x:c>
      <x:c r="L944" s="8" t="n">
        <x:v>0</x:v>
      </x:c>
      <x:c r="M944" s="7" t="n">
        <x:v>0</x:v>
      </x:c>
      <x:c r="N944" s="2" t="str">
        <x:v>not_invoked</x:v>
      </x:c>
      <x:c r="O944" s="9" t="str"/>
    </x:row>
    <x:row r="945" ht="18" customHeight="1">
      <x:c r="A945" s="2" t="str">
        <x:v>controlled_n5_lane_closure_1</x:v>
      </x:c>
      <x:c r="B945" s="2" t="str">
        <x:v>BPSO</x:v>
      </x:c>
      <x:c r="C945" s="2" t="n">
        <x:v>456</x:v>
      </x:c>
      <x:c r="D945" s="2" t="str">
        <x:v>no_congestion</x:v>
      </x:c>
      <x:c r="E945" s="2" t="n">
        <x:v>0</x:v>
      </x:c>
      <x:c r="F945" s="7" t="n">
        <x:v>55.00000000000001</x:v>
      </x:c>
      <x:c r="G945" s="7" t="n">
        <x:v>55.00000000000001</x:v>
      </x:c>
      <x:c r="H945" s="7" t="n">
        <x:f>IF(F945=0,"n.a.",100*(F945-G945)/F945)</x:f>
        <x:v>0</x:v>
      </x:c>
      <x:c r="I945" s="7" t="n">
        <x:f>F945-G945</x:f>
        <x:v>0</x:v>
      </x:c>
      <x:c r="J945" s="8" t="n">
        <x:v>0.07805555555555568</x:v>
      </x:c>
      <x:c r="K945" s="8" t="n">
        <x:v>0.07805555555555568</x:v>
      </x:c>
      <x:c r="L945" s="8" t="n">
        <x:v>0</x:v>
      </x:c>
      <x:c r="M945" s="7" t="n">
        <x:v>0</x:v>
      </x:c>
      <x:c r="N945" s="2" t="str">
        <x:v>not_invoked</x:v>
      </x:c>
      <x:c r="O945" s="9" t="str"/>
    </x:row>
    <x:row r="946" ht="18" customHeight="1">
      <x:c r="A946" s="2" t="str">
        <x:v>controlled_n5_lane_closure_1</x:v>
      </x:c>
      <x:c r="B946" s="2" t="str">
        <x:v>QAOA</x:v>
      </x:c>
      <x:c r="C946" s="2" t="n">
        <x:v>456</x:v>
      </x:c>
      <x:c r="D946" s="2" t="str">
        <x:v>no_congestion</x:v>
      </x:c>
      <x:c r="E946" s="2" t="n">
        <x:v>0</x:v>
      </x:c>
      <x:c r="F946" s="7" t="n">
        <x:v>55.00000000000001</x:v>
      </x:c>
      <x:c r="G946" s="7" t="n">
        <x:v>55.00000000000001</x:v>
      </x:c>
      <x:c r="H946" s="7" t="n">
        <x:f>IF(F946=0,"n.a.",100*(F946-G946)/F946)</x:f>
        <x:v>0</x:v>
      </x:c>
      <x:c r="I946" s="7" t="n">
        <x:f>F946-G946</x:f>
        <x:v>0</x:v>
      </x:c>
      <x:c r="J946" s="8" t="n">
        <x:v>0.07805555555555568</x:v>
      </x:c>
      <x:c r="K946" s="8" t="n">
        <x:v>0.07805555555555568</x:v>
      </x:c>
      <x:c r="L946" s="8" t="n">
        <x:v>0</x:v>
      </x:c>
      <x:c r="M946" s="7" t="n">
        <x:v>0</x:v>
      </x:c>
      <x:c r="N946" s="2" t="str">
        <x:v>not_invoked</x:v>
      </x:c>
      <x:c r="O946" s="9" t="str"/>
    </x:row>
    <x:row r="947" ht="18" customHeight="1">
      <x:c r="A947" s="2" t="str">
        <x:v>controlled_n5_lane_closure_1</x:v>
      </x:c>
      <x:c r="B947" s="2" t="str">
        <x:v>BPSO</x:v>
      </x:c>
      <x:c r="C947" s="2" t="n">
        <x:v>789</x:v>
      </x:c>
      <x:c r="D947" s="2" t="str">
        <x:v>no_congestion</x:v>
      </x:c>
      <x:c r="E947" s="2" t="n">
        <x:v>0</x:v>
      </x:c>
      <x:c r="F947" s="7" t="n">
        <x:v>55.00000000000001</x:v>
      </x:c>
      <x:c r="G947" s="7" t="n">
        <x:v>55.00000000000001</x:v>
      </x:c>
      <x:c r="H947" s="7" t="n">
        <x:f>IF(F947=0,"n.a.",100*(F947-G947)/F947)</x:f>
        <x:v>0</x:v>
      </x:c>
      <x:c r="I947" s="7" t="n">
        <x:f>F947-G947</x:f>
        <x:v>0</x:v>
      </x:c>
      <x:c r="J947" s="8" t="n">
        <x:v>0.07805555555555568</x:v>
      </x:c>
      <x:c r="K947" s="8" t="n">
        <x:v>0.07805555555555568</x:v>
      </x:c>
      <x:c r="L947" s="8" t="n">
        <x:v>0</x:v>
      </x:c>
      <x:c r="M947" s="7" t="n">
        <x:v>0</x:v>
      </x:c>
      <x:c r="N947" s="2" t="str">
        <x:v>not_invoked</x:v>
      </x:c>
      <x:c r="O947" s="9" t="str"/>
    </x:row>
    <x:row r="948" ht="18" customHeight="1">
      <x:c r="A948" s="2" t="str">
        <x:v>controlled_n5_lane_closure_1</x:v>
      </x:c>
      <x:c r="B948" s="2" t="str">
        <x:v>QAOA</x:v>
      </x:c>
      <x:c r="C948" s="2" t="n">
        <x:v>789</x:v>
      </x:c>
      <x:c r="D948" s="2" t="str">
        <x:v>no_congestion</x:v>
      </x:c>
      <x:c r="E948" s="2" t="n">
        <x:v>0</x:v>
      </x:c>
      <x:c r="F948" s="7" t="n">
        <x:v>55.00000000000001</x:v>
      </x:c>
      <x:c r="G948" s="7" t="n">
        <x:v>55.00000000000001</x:v>
      </x:c>
      <x:c r="H948" s="7" t="n">
        <x:f>IF(F948=0,"n.a.",100*(F948-G948)/F948)</x:f>
        <x:v>0</x:v>
      </x:c>
      <x:c r="I948" s="7" t="n">
        <x:f>F948-G948</x:f>
        <x:v>0</x:v>
      </x:c>
      <x:c r="J948" s="8" t="n">
        <x:v>0.07805555555555568</x:v>
      </x:c>
      <x:c r="K948" s="8" t="n">
        <x:v>0.07805555555555568</x:v>
      </x:c>
      <x:c r="L948" s="8" t="n">
        <x:v>0</x:v>
      </x:c>
      <x:c r="M948" s="7" t="n">
        <x:v>0</x:v>
      </x:c>
      <x:c r="N948" s="2" t="str">
        <x:v>not_invoked</x:v>
      </x:c>
      <x:c r="O948" s="9" t="str"/>
    </x:row>
    <x:row r="949" ht="18" customHeight="1">
      <x:c r="A949" s="2" t="str">
        <x:v>controlled_n5_lane_closure_1</x:v>
      </x:c>
      <x:c r="B949" s="2" t="str">
        <x:v>BPSO</x:v>
      </x:c>
      <x:c r="C949" s="2" t="n">
        <x:v>2026</x:v>
      </x:c>
      <x:c r="D949" s="2" t="str">
        <x:v>no_congestion</x:v>
      </x:c>
      <x:c r="E949" s="2" t="n">
        <x:v>0</x:v>
      </x:c>
      <x:c r="F949" s="7" t="n">
        <x:v>55.00000000000001</x:v>
      </x:c>
      <x:c r="G949" s="7" t="n">
        <x:v>55.00000000000001</x:v>
      </x:c>
      <x:c r="H949" s="7" t="n">
        <x:f>IF(F949=0,"n.a.",100*(F949-G949)/F949)</x:f>
        <x:v>0</x:v>
      </x:c>
      <x:c r="I949" s="7" t="n">
        <x:f>F949-G949</x:f>
        <x:v>0</x:v>
      </x:c>
      <x:c r="J949" s="8" t="n">
        <x:v>0.07805555555555568</x:v>
      </x:c>
      <x:c r="K949" s="8" t="n">
        <x:v>0.07805555555555568</x:v>
      </x:c>
      <x:c r="L949" s="8" t="n">
        <x:v>0</x:v>
      </x:c>
      <x:c r="M949" s="7" t="n">
        <x:v>0</x:v>
      </x:c>
      <x:c r="N949" s="2" t="str">
        <x:v>not_invoked</x:v>
      </x:c>
      <x:c r="O949" s="9" t="str"/>
    </x:row>
    <x:row r="950" ht="18" customHeight="1">
      <x:c r="A950" s="2" t="str">
        <x:v>controlled_n5_lane_closure_1</x:v>
      </x:c>
      <x:c r="B950" s="2" t="str">
        <x:v>QAOA</x:v>
      </x:c>
      <x:c r="C950" s="2" t="n">
        <x:v>2026</x:v>
      </x:c>
      <x:c r="D950" s="2" t="str">
        <x:v>no_congestion</x:v>
      </x:c>
      <x:c r="E950" s="2" t="n">
        <x:v>0</x:v>
      </x:c>
      <x:c r="F950" s="7" t="n">
        <x:v>55.00000000000001</x:v>
      </x:c>
      <x:c r="G950" s="7" t="n">
        <x:v>55.00000000000001</x:v>
      </x:c>
      <x:c r="H950" s="7" t="n">
        <x:f>IF(F950=0,"n.a.",100*(F950-G950)/F950)</x:f>
        <x:v>0</x:v>
      </x:c>
      <x:c r="I950" s="7" t="n">
        <x:f>F950-G950</x:f>
        <x:v>0</x:v>
      </x:c>
      <x:c r="J950" s="8" t="n">
        <x:v>0.07805555555555568</x:v>
      </x:c>
      <x:c r="K950" s="8" t="n">
        <x:v>0.07805555555555568</x:v>
      </x:c>
      <x:c r="L950" s="8" t="n">
        <x:v>0</x:v>
      </x:c>
      <x:c r="M950" s="7" t="n">
        <x:v>0</x:v>
      </x:c>
      <x:c r="N950" s="2" t="str">
        <x:v>not_invoked</x:v>
      </x:c>
      <x:c r="O950" s="9" t="str"/>
    </x:row>
    <x:row r="951" ht="18" customHeight="1">
      <x:c r="A951" s="2" t="str">
        <x:v>controlled_n5_lane_closure_2</x:v>
      </x:c>
      <x:c r="B951" s="2" t="str">
        <x:v>Unmanaged</x:v>
      </x:c>
      <x:c r="C951" s="2"/>
      <x:c r="D951" s="2" t="str">
        <x:v>baseline</x:v>
      </x:c>
      <x:c r="E951" s="2" t="n">
        <x:v>3</x:v>
      </x:c>
      <x:c r="F951" s="7" t="n">
        <x:v>73.33333333333333</x:v>
      </x:c>
      <x:c r="G951" s="7" t="n">
        <x:v>73.33333333333333</x:v>
      </x:c>
      <x:c r="H951" s="7" t="n">
        <x:f>IF(F951=0,"n.a.",100*(F951-G951)/F951)</x:f>
        <x:v>0</x:v>
      </x:c>
      <x:c r="I951" s="7" t="n">
        <x:f>F951-G951</x:f>
        <x:v>0</x:v>
      </x:c>
      <x:c r="J951" s="8"/>
      <x:c r="K951" s="8" t="n">
        <x:v>0.35676763117283966</x:v>
      </x:c>
      <x:c r="L951" s="8"/>
      <x:c r="M951" s="7"/>
      <x:c r="N951" s="2" t="str">
        <x:v>unmanaged_input</x:v>
      </x:c>
      <x:c r="O951" s="9"/>
    </x:row>
    <x:row r="952" ht="18" customHeight="1">
      <x:c r="A952" s="2" t="str">
        <x:v>controlled_n5_lane_closure_2</x:v>
      </x:c>
      <x:c r="B952" s="2" t="str">
        <x:v>Exact J</x:v>
      </x:c>
      <x:c r="C952" s="2"/>
      <x:c r="D952" s="2" t="str">
        <x:v>success</x:v>
      </x:c>
      <x:c r="E952" s="2" t="n">
        <x:v>3</x:v>
      </x:c>
      <x:c r="F952" s="7" t="n">
        <x:v>73.33333333333333</x:v>
      </x:c>
      <x:c r="G952" s="7" t="n">
        <x:v>70</x:v>
      </x:c>
      <x:c r="H952" s="7" t="n">
        <x:f>IF(F952=0,"n.a.",100*(F952-G952)/F952)</x:f>
        <x:v>4.54545454545454</x:v>
      </x:c>
      <x:c r="I952" s="7" t="n">
        <x:f>F952-G952</x:f>
        <x:v>3.3333333333333286</x:v>
      </x:c>
      <x:c r="J952" s="8" t="n">
        <x:v>0.35676763117283966</x:v>
      </x:c>
      <x:c r="K952" s="8" t="n">
        <x:v>0.35676763117283966</x:v>
      </x:c>
      <x:c r="L952" s="8" t="n">
        <x:v>0</x:v>
      </x:c>
      <x:c r="M952" s="7"/>
      <x:c r="N952" s="2" t="str">
        <x:v>exhaustive_enumeration</x:v>
      </x:c>
      <x:c r="O952" s="9" t="str">
        <x:v>001</x:v>
      </x:c>
    </x:row>
    <x:row r="953" ht="18" customHeight="1">
      <x:c r="A953" s="2" t="str">
        <x:v>controlled_n5_lane_closure_2</x:v>
      </x:c>
      <x:c r="B953" s="2" t="str">
        <x:v>Exact peak</x:v>
      </x:c>
      <x:c r="C953" s="2"/>
      <x:c r="D953" s="2" t="str">
        <x:v>success</x:v>
      </x:c>
      <x:c r="E953" s="2" t="n">
        <x:v>3</x:v>
      </x:c>
      <x:c r="F953" s="7" t="n">
        <x:v>73.33333333333333</x:v>
      </x:c>
      <x:c r="G953" s="7" t="n">
        <x:v>70</x:v>
      </x:c>
      <x:c r="H953" s="7" t="n">
        <x:f>IF(F953=0,"n.a.",100*(F953-G953)/F953)</x:f>
        <x:v>4.54545454545454</x:v>
      </x:c>
      <x:c r="I953" s="7" t="n">
        <x:f>F953-G953</x:f>
        <x:v>3.3333333333333286</x:v>
      </x:c>
      <x:c r="J953" s="8" t="n">
        <x:v>0.35676763117283966</x:v>
      </x:c>
      <x:c r="K953" s="8" t="n">
        <x:v>0.35676763117283966</x:v>
      </x:c>
      <x:c r="L953" s="8" t="n">
        <x:v>0</x:v>
      </x:c>
      <x:c r="M953" s="7"/>
      <x:c r="N953" s="2" t="str">
        <x:v>exhaustive_enumeration</x:v>
      </x:c>
      <x:c r="O953" s="9" t="str">
        <x:v>001</x:v>
      </x:c>
    </x:row>
    <x:row r="954" ht="18" customHeight="1">
      <x:c r="A954" s="2" t="str">
        <x:v>controlled_n5_lane_closure_2</x:v>
      </x:c>
      <x:c r="B954" s="2" t="str">
        <x:v>BPSO</x:v>
      </x:c>
      <x:c r="C954" s="2" t="n">
        <x:v>42</x:v>
      </x:c>
      <x:c r="D954" s="2" t="str">
        <x:v>success</x:v>
      </x:c>
      <x:c r="E954" s="2" t="n">
        <x:v>3</x:v>
      </x:c>
      <x:c r="F954" s="7" t="n">
        <x:v>73.33333333333333</x:v>
      </x:c>
      <x:c r="G954" s="7" t="n">
        <x:v>70</x:v>
      </x:c>
      <x:c r="H954" s="7" t="n">
        <x:f>IF(F954=0,"n.a.",100*(F954-G954)/F954)</x:f>
        <x:v>4.54545454545454</x:v>
      </x:c>
      <x:c r="I954" s="7" t="n">
        <x:f>F954-G954</x:f>
        <x:v>3.3333333333333286</x:v>
      </x:c>
      <x:c r="J954" s="8" t="n">
        <x:v>0.35676763117283966</x:v>
      </x:c>
      <x:c r="K954" s="8" t="n">
        <x:v>0.35676763117283966</x:v>
      </x:c>
      <x:c r="L954" s="8" t="n">
        <x:v>0</x:v>
      </x:c>
      <x:c r="M954" s="7" t="n">
        <x:v>13.864900000044145</x:v>
      </x:c>
      <x:c r="N954" s="2" t="str">
        <x:v>repository_particle_dynamics_on_frozen_qubo</x:v>
      </x:c>
      <x:c r="O954" s="9" t="str">
        <x:v>100</x:v>
      </x:c>
    </x:row>
    <x:row r="955" ht="18" customHeight="1">
      <x:c r="A955" s="2" t="str">
        <x:v>controlled_n5_lane_closure_2</x:v>
      </x:c>
      <x:c r="B955" s="2" t="str">
        <x:v>QAOA</x:v>
      </x:c>
      <x:c r="C955" s="2" t="n">
        <x:v>42</x:v>
      </x:c>
      <x:c r="D955" s="2" t="str">
        <x:v>success</x:v>
      </x:c>
      <x:c r="E955" s="2" t="n">
        <x:v>3</x:v>
      </x:c>
      <x:c r="F955" s="7" t="n">
        <x:v>73.33333333333333</x:v>
      </x:c>
      <x:c r="G955" s="7" t="n">
        <x:v>70</x:v>
      </x:c>
      <x:c r="H955" s="7" t="n">
        <x:f>IF(F955=0,"n.a.",100*(F955-G955)/F955)</x:f>
        <x:v>4.54545454545454</x:v>
      </x:c>
      <x:c r="I955" s="7" t="n">
        <x:f>F955-G955</x:f>
        <x:v>3.3333333333333286</x:v>
      </x:c>
      <x:c r="J955" s="8" t="n">
        <x:v>0.35676763117283966</x:v>
      </x:c>
      <x:c r="K955" s="8" t="n">
        <x:v>0.35676763117283966</x:v>
      </x:c>
      <x:c r="L955" s="8" t="n">
        <x:v>0</x:v>
      </x:c>
      <x:c r="M955" s="7" t="n">
        <x:v>155.3979000018444</x:v>
      </x:c>
      <x:c r="N955" s="2" t="str">
        <x:v>qiskit.primitives.StatevectorSampler</x:v>
      </x:c>
      <x:c r="O955" s="9" t="str">
        <x:v>100</x:v>
      </x:c>
    </x:row>
    <x:row r="956" ht="18" customHeight="1">
      <x:c r="A956" s="2" t="str">
        <x:v>controlled_n5_lane_closure_2</x:v>
      </x:c>
      <x:c r="B956" s="2" t="str">
        <x:v>BPSO</x:v>
      </x:c>
      <x:c r="C956" s="2" t="n">
        <x:v>123</x:v>
      </x:c>
      <x:c r="D956" s="2" t="str">
        <x:v>success</x:v>
      </x:c>
      <x:c r="E956" s="2" t="n">
        <x:v>3</x:v>
      </x:c>
      <x:c r="F956" s="7" t="n">
        <x:v>73.33333333333333</x:v>
      </x:c>
      <x:c r="G956" s="7" t="n">
        <x:v>70</x:v>
      </x:c>
      <x:c r="H956" s="7" t="n">
        <x:f>IF(F956=0,"n.a.",100*(F956-G956)/F956)</x:f>
        <x:v>4.54545454545454</x:v>
      </x:c>
      <x:c r="I956" s="7" t="n">
        <x:f>F956-G956</x:f>
        <x:v>3.3333333333333286</x:v>
      </x:c>
      <x:c r="J956" s="8" t="n">
        <x:v>0.35676763117283966</x:v>
      </x:c>
      <x:c r="K956" s="8" t="n">
        <x:v>0.35676763117283966</x:v>
      </x:c>
      <x:c r="L956" s="8" t="n">
        <x:v>0</x:v>
      </x:c>
      <x:c r="M956" s="7" t="n">
        <x:v>13.414400003966875</x:v>
      </x:c>
      <x:c r="N956" s="2" t="str">
        <x:v>repository_particle_dynamics_on_frozen_qubo</x:v>
      </x:c>
      <x:c r="O956" s="9" t="str">
        <x:v>100</x:v>
      </x:c>
    </x:row>
    <x:row r="957" ht="18" customHeight="1">
      <x:c r="A957" s="2" t="str">
        <x:v>controlled_n5_lane_closure_2</x:v>
      </x:c>
      <x:c r="B957" s="2" t="str">
        <x:v>QAOA</x:v>
      </x:c>
      <x:c r="C957" s="2" t="n">
        <x:v>123</x:v>
      </x:c>
      <x:c r="D957" s="2" t="str">
        <x:v>success</x:v>
      </x:c>
      <x:c r="E957" s="2" t="n">
        <x:v>3</x:v>
      </x:c>
      <x:c r="F957" s="7" t="n">
        <x:v>73.33333333333333</x:v>
      </x:c>
      <x:c r="G957" s="7" t="n">
        <x:v>70</x:v>
      </x:c>
      <x:c r="H957" s="7" t="n">
        <x:f>IF(F957=0,"n.a.",100*(F957-G957)/F957)</x:f>
        <x:v>4.54545454545454</x:v>
      </x:c>
      <x:c r="I957" s="7" t="n">
        <x:f>F957-G957</x:f>
        <x:v>3.3333333333333286</x:v>
      </x:c>
      <x:c r="J957" s="8" t="n">
        <x:v>0.35676763117283966</x:v>
      </x:c>
      <x:c r="K957" s="8" t="n">
        <x:v>0.35676763117283966</x:v>
      </x:c>
      <x:c r="L957" s="8" t="n">
        <x:v>0</x:v>
      </x:c>
      <x:c r="M957" s="7" t="n">
        <x:v>204.66079999459907</x:v>
      </x:c>
      <x:c r="N957" s="2" t="str">
        <x:v>qiskit.primitives.StatevectorSampler</x:v>
      </x:c>
      <x:c r="O957" s="9" t="str">
        <x:v>001</x:v>
      </x:c>
    </x:row>
    <x:row r="958" ht="18" customHeight="1">
      <x:c r="A958" s="2" t="str">
        <x:v>controlled_n5_lane_closure_2</x:v>
      </x:c>
      <x:c r="B958" s="2" t="str">
        <x:v>BPSO</x:v>
      </x:c>
      <x:c r="C958" s="2" t="n">
        <x:v>456</x:v>
      </x:c>
      <x:c r="D958" s="2" t="str">
        <x:v>success</x:v>
      </x:c>
      <x:c r="E958" s="2" t="n">
        <x:v>3</x:v>
      </x:c>
      <x:c r="F958" s="7" t="n">
        <x:v>73.33333333333333</x:v>
      </x:c>
      <x:c r="G958" s="7" t="n">
        <x:v>70</x:v>
      </x:c>
      <x:c r="H958" s="7" t="n">
        <x:f>IF(F958=0,"n.a.",100*(F958-G958)/F958)</x:f>
        <x:v>4.54545454545454</x:v>
      </x:c>
      <x:c r="I958" s="7" t="n">
        <x:f>F958-G958</x:f>
        <x:v>3.3333333333333286</x:v>
      </x:c>
      <x:c r="J958" s="8" t="n">
        <x:v>0.35676763117283966</x:v>
      </x:c>
      <x:c r="K958" s="8" t="n">
        <x:v>0.35676763117283966</x:v>
      </x:c>
      <x:c r="L958" s="8" t="n">
        <x:v>0</x:v>
      </x:c>
      <x:c r="M958" s="7" t="n">
        <x:v>13.185399991925806</x:v>
      </x:c>
      <x:c r="N958" s="2" t="str">
        <x:v>repository_particle_dynamics_on_frozen_qubo</x:v>
      </x:c>
      <x:c r="O958" s="9" t="str">
        <x:v>010</x:v>
      </x:c>
    </x:row>
    <x:row r="959" ht="18" customHeight="1">
      <x:c r="A959" s="2" t="str">
        <x:v>controlled_n5_lane_closure_2</x:v>
      </x:c>
      <x:c r="B959" s="2" t="str">
        <x:v>QAOA</x:v>
      </x:c>
      <x:c r="C959" s="2" t="n">
        <x:v>456</x:v>
      </x:c>
      <x:c r="D959" s="2" t="str">
        <x:v>success</x:v>
      </x:c>
      <x:c r="E959" s="2" t="n">
        <x:v>3</x:v>
      </x:c>
      <x:c r="F959" s="7" t="n">
        <x:v>73.33333333333333</x:v>
      </x:c>
      <x:c r="G959" s="7" t="n">
        <x:v>70</x:v>
      </x:c>
      <x:c r="H959" s="7" t="n">
        <x:f>IF(F959=0,"n.a.",100*(F959-G959)/F959)</x:f>
        <x:v>4.54545454545454</x:v>
      </x:c>
      <x:c r="I959" s="7" t="n">
        <x:f>F959-G959</x:f>
        <x:v>3.3333333333333286</x:v>
      </x:c>
      <x:c r="J959" s="8" t="n">
        <x:v>0.35676763117283966</x:v>
      </x:c>
      <x:c r="K959" s="8" t="n">
        <x:v>0.35676763117283966</x:v>
      </x:c>
      <x:c r="L959" s="8" t="n">
        <x:v>0</x:v>
      </x:c>
      <x:c r="M959" s="7" t="n">
        <x:v>133.23170000512619</x:v>
      </x:c>
      <x:c r="N959" s="2" t="str">
        <x:v>qiskit.primitives.StatevectorSampler</x:v>
      </x:c>
      <x:c r="O959" s="9" t="str">
        <x:v>100</x:v>
      </x:c>
    </x:row>
    <x:row r="960" ht="18" customHeight="1">
      <x:c r="A960" s="2" t="str">
        <x:v>controlled_n5_lane_closure_2</x:v>
      </x:c>
      <x:c r="B960" s="2" t="str">
        <x:v>BPSO</x:v>
      </x:c>
      <x:c r="C960" s="2" t="n">
        <x:v>789</x:v>
      </x:c>
      <x:c r="D960" s="2" t="str">
        <x:v>success</x:v>
      </x:c>
      <x:c r="E960" s="2" t="n">
        <x:v>3</x:v>
      </x:c>
      <x:c r="F960" s="7" t="n">
        <x:v>73.33333333333333</x:v>
      </x:c>
      <x:c r="G960" s="7" t="n">
        <x:v>70</x:v>
      </x:c>
      <x:c r="H960" s="7" t="n">
        <x:f>IF(F960=0,"n.a.",100*(F960-G960)/F960)</x:f>
        <x:v>4.54545454545454</x:v>
      </x:c>
      <x:c r="I960" s="7" t="n">
        <x:f>F960-G960</x:f>
        <x:v>3.3333333333333286</x:v>
      </x:c>
      <x:c r="J960" s="8" t="n">
        <x:v>0.35676763117283966</x:v>
      </x:c>
      <x:c r="K960" s="8" t="n">
        <x:v>0.35676763117283966</x:v>
      </x:c>
      <x:c r="L960" s="8" t="n">
        <x:v>0</x:v>
      </x:c>
      <x:c r="M960" s="7" t="n">
        <x:v>13.520599997718818</x:v>
      </x:c>
      <x:c r="N960" s="2" t="str">
        <x:v>repository_particle_dynamics_on_frozen_qubo</x:v>
      </x:c>
      <x:c r="O960" s="9" t="str">
        <x:v>001</x:v>
      </x:c>
    </x:row>
    <x:row r="961" ht="18" customHeight="1">
      <x:c r="A961" s="2" t="str">
        <x:v>controlled_n5_lane_closure_2</x:v>
      </x:c>
      <x:c r="B961" s="2" t="str">
        <x:v>QAOA</x:v>
      </x:c>
      <x:c r="C961" s="2" t="n">
        <x:v>789</x:v>
      </x:c>
      <x:c r="D961" s="2" t="str">
        <x:v>success</x:v>
      </x:c>
      <x:c r="E961" s="2" t="n">
        <x:v>3</x:v>
      </x:c>
      <x:c r="F961" s="7" t="n">
        <x:v>73.33333333333333</x:v>
      </x:c>
      <x:c r="G961" s="7" t="n">
        <x:v>70</x:v>
      </x:c>
      <x:c r="H961" s="7" t="n">
        <x:f>IF(F961=0,"n.a.",100*(F961-G961)/F961)</x:f>
        <x:v>4.54545454545454</x:v>
      </x:c>
      <x:c r="I961" s="7" t="n">
        <x:f>F961-G961</x:f>
        <x:v>3.3333333333333286</x:v>
      </x:c>
      <x:c r="J961" s="8" t="n">
        <x:v>0.35676763117283966</x:v>
      </x:c>
      <x:c r="K961" s="8" t="n">
        <x:v>0.35676763117283966</x:v>
      </x:c>
      <x:c r="L961" s="8" t="n">
        <x:v>0</x:v>
      </x:c>
      <x:c r="M961" s="7" t="n">
        <x:v>126.77170000097249</x:v>
      </x:c>
      <x:c r="N961" s="2" t="str">
        <x:v>qiskit.primitives.StatevectorSampler</x:v>
      </x:c>
      <x:c r="O961" s="9" t="str">
        <x:v>100</x:v>
      </x:c>
    </x:row>
    <x:row r="962" ht="18" customHeight="1">
      <x:c r="A962" s="2" t="str">
        <x:v>controlled_n5_lane_closure_2</x:v>
      </x:c>
      <x:c r="B962" s="2" t="str">
        <x:v>BPSO</x:v>
      </x:c>
      <x:c r="C962" s="2" t="n">
        <x:v>2026</x:v>
      </x:c>
      <x:c r="D962" s="2" t="str">
        <x:v>success</x:v>
      </x:c>
      <x:c r="E962" s="2" t="n">
        <x:v>3</x:v>
      </x:c>
      <x:c r="F962" s="7" t="n">
        <x:v>73.33333333333333</x:v>
      </x:c>
      <x:c r="G962" s="7" t="n">
        <x:v>70</x:v>
      </x:c>
      <x:c r="H962" s="7" t="n">
        <x:f>IF(F962=0,"n.a.",100*(F962-G962)/F962)</x:f>
        <x:v>4.54545454545454</x:v>
      </x:c>
      <x:c r="I962" s="7" t="n">
        <x:f>F962-G962</x:f>
        <x:v>3.3333333333333286</x:v>
      </x:c>
      <x:c r="J962" s="8" t="n">
        <x:v>0.35676763117283966</x:v>
      </x:c>
      <x:c r="K962" s="8" t="n">
        <x:v>0.35676763117283966</x:v>
      </x:c>
      <x:c r="L962" s="8" t="n">
        <x:v>0</x:v>
      </x:c>
      <x:c r="M962" s="7" t="n">
        <x:v>13.422399992123246</x:v>
      </x:c>
      <x:c r="N962" s="2" t="str">
        <x:v>repository_particle_dynamics_on_frozen_qubo</x:v>
      </x:c>
      <x:c r="O962" s="9" t="str">
        <x:v>010</x:v>
      </x:c>
    </x:row>
    <x:row r="963" ht="18" customHeight="1">
      <x:c r="A963" s="2" t="str">
        <x:v>controlled_n5_lane_closure_2</x:v>
      </x:c>
      <x:c r="B963" s="2" t="str">
        <x:v>QAOA</x:v>
      </x:c>
      <x:c r="C963" s="2" t="n">
        <x:v>2026</x:v>
      </x:c>
      <x:c r="D963" s="2" t="str">
        <x:v>success</x:v>
      </x:c>
      <x:c r="E963" s="2" t="n">
        <x:v>3</x:v>
      </x:c>
      <x:c r="F963" s="7" t="n">
        <x:v>73.33333333333333</x:v>
      </x:c>
      <x:c r="G963" s="7" t="n">
        <x:v>70</x:v>
      </x:c>
      <x:c r="H963" s="7" t="n">
        <x:f>IF(F963=0,"n.a.",100*(F963-G963)/F963)</x:f>
        <x:v>4.54545454545454</x:v>
      </x:c>
      <x:c r="I963" s="7" t="n">
        <x:f>F963-G963</x:f>
        <x:v>3.3333333333333286</x:v>
      </x:c>
      <x:c r="J963" s="8" t="n">
        <x:v>0.35676763117283966</x:v>
      </x:c>
      <x:c r="K963" s="8" t="n">
        <x:v>0.35676763117283966</x:v>
      </x:c>
      <x:c r="L963" s="8" t="n">
        <x:v>0</x:v>
      </x:c>
      <x:c r="M963" s="7" t="n">
        <x:v>177.07949999021366</x:v>
      </x:c>
      <x:c r="N963" s="2" t="str">
        <x:v>qiskit.primitives.StatevectorSampler</x:v>
      </x:c>
      <x:c r="O963" s="9" t="str">
        <x:v>100</x:v>
      </x:c>
    </x:row>
    <x:row r="964" ht="18" customHeight="1">
      <x:c r="A964" s="2" t="str">
        <x:v>controlled_n5_lane_closure_3</x:v>
      </x:c>
      <x:c r="B964" s="2" t="str">
        <x:v>Unmanaged</x:v>
      </x:c>
      <x:c r="C964" s="2"/>
      <x:c r="D964" s="2" t="str">
        <x:v>baseline</x:v>
      </x:c>
      <x:c r="E964" s="2" t="n">
        <x:v>5</x:v>
      </x:c>
      <x:c r="F964" s="7" t="n">
        <x:v>110.00000000000001</x:v>
      </x:c>
      <x:c r="G964" s="7" t="n">
        <x:v>110.00000000000001</x:v>
      </x:c>
      <x:c r="H964" s="7" t="n">
        <x:f>IF(F964=0,"n.a.",100*(F964-G964)/F964)</x:f>
        <x:v>0</x:v>
      </x:c>
      <x:c r="I964" s="7" t="n">
        <x:f>F964-G964</x:f>
        <x:v>0</x:v>
      </x:c>
      <x:c r="J964" s="8"/>
      <x:c r="K964" s="8" t="n">
        <x:v>0.7037758294753091</x:v>
      </x:c>
      <x:c r="L964" s="8"/>
      <x:c r="M964" s="7"/>
      <x:c r="N964" s="2" t="str">
        <x:v>unmanaged_input</x:v>
      </x:c>
      <x:c r="O964" s="9"/>
    </x:row>
    <x:row r="965" ht="18" customHeight="1">
      <x:c r="A965" s="2" t="str">
        <x:v>controlled_n5_lane_closure_3</x:v>
      </x:c>
      <x:c r="B965" s="2" t="str">
        <x:v>Exact J</x:v>
      </x:c>
      <x:c r="C965" s="2"/>
      <x:c r="D965" s="2" t="str">
        <x:v>success</x:v>
      </x:c>
      <x:c r="E965" s="2" t="n">
        <x:v>5</x:v>
      </x:c>
      <x:c r="F965" s="7" t="n">
        <x:v>110.00000000000001</x:v>
      </x:c>
      <x:c r="G965" s="7" t="n">
        <x:v>77.5</x:v>
      </x:c>
      <x:c r="H965" s="7" t="n">
        <x:f>IF(F965=0,"n.a.",100*(F965-G965)/F965)</x:f>
        <x:v>29.545454545454554</x:v>
      </x:c>
      <x:c r="I965" s="7" t="n">
        <x:f>F965-G965</x:f>
        <x:v>32.500000000000014</x:v>
      </x:c>
      <x:c r="J965" s="8" t="n">
        <x:v>0.7037758294753091</x:v>
      </x:c>
      <x:c r="K965" s="8" t="n">
        <x:v>0.7037758294753091</x:v>
      </x:c>
      <x:c r="L965" s="8" t="n">
        <x:v>0</x:v>
      </x:c>
      <x:c r="M965" s="7"/>
      <x:c r="N965" s="2" t="str">
        <x:v>exhaustive_enumeration</x:v>
      </x:c>
      <x:c r="O965" s="9" t="str">
        <x:v>00011</x:v>
      </x:c>
    </x:row>
    <x:row r="966" ht="18" customHeight="1">
      <x:c r="A966" s="2" t="str">
        <x:v>controlled_n5_lane_closure_3</x:v>
      </x:c>
      <x:c r="B966" s="2" t="str">
        <x:v>Exact peak</x:v>
      </x:c>
      <x:c r="C966" s="2"/>
      <x:c r="D966" s="2" t="str">
        <x:v>success</x:v>
      </x:c>
      <x:c r="E966" s="2" t="n">
        <x:v>5</x:v>
      </x:c>
      <x:c r="F966" s="7" t="n">
        <x:v>110.00000000000001</x:v>
      </x:c>
      <x:c r="G966" s="7" t="n">
        <x:v>77.5</x:v>
      </x:c>
      <x:c r="H966" s="7" t="n">
        <x:f>IF(F966=0,"n.a.",100*(F966-G966)/F966)</x:f>
        <x:v>29.545454545454554</x:v>
      </x:c>
      <x:c r="I966" s="7" t="n">
        <x:f>F966-G966</x:f>
        <x:v>32.500000000000014</x:v>
      </x:c>
      <x:c r="J966" s="8" t="n">
        <x:v>0.7037758294753091</x:v>
      </x:c>
      <x:c r="K966" s="8" t="n">
        <x:v>0.7037758294753091</x:v>
      </x:c>
      <x:c r="L966" s="8" t="n">
        <x:v>0</x:v>
      </x:c>
      <x:c r="M966" s="7"/>
      <x:c r="N966" s="2" t="str">
        <x:v>exhaustive_enumeration</x:v>
      </x:c>
      <x:c r="O966" s="9" t="str">
        <x:v>00011</x:v>
      </x:c>
    </x:row>
    <x:row r="967" ht="18" customHeight="1">
      <x:c r="A967" s="2" t="str">
        <x:v>controlled_n5_lane_closure_3</x:v>
      </x:c>
      <x:c r="B967" s="2" t="str">
        <x:v>BPSO</x:v>
      </x:c>
      <x:c r="C967" s="2" t="n">
        <x:v>42</x:v>
      </x:c>
      <x:c r="D967" s="2" t="str">
        <x:v>success</x:v>
      </x:c>
      <x:c r="E967" s="2" t="n">
        <x:v>5</x:v>
      </x:c>
      <x:c r="F967" s="7" t="n">
        <x:v>110.00000000000001</x:v>
      </x:c>
      <x:c r="G967" s="7" t="n">
        <x:v>77.5</x:v>
      </x:c>
      <x:c r="H967" s="7" t="n">
        <x:f>IF(F967=0,"n.a.",100*(F967-G967)/F967)</x:f>
        <x:v>29.545454545454554</x:v>
      </x:c>
      <x:c r="I967" s="7" t="n">
        <x:f>F967-G967</x:f>
        <x:v>32.500000000000014</x:v>
      </x:c>
      <x:c r="J967" s="8" t="n">
        <x:v>0.7037758294753091</x:v>
      </x:c>
      <x:c r="K967" s="8" t="n">
        <x:v>0.7037758294753091</x:v>
      </x:c>
      <x:c r="L967" s="8" t="n">
        <x:v>0</x:v>
      </x:c>
      <x:c r="M967" s="7" t="n">
        <x:v>15.268200004356913</x:v>
      </x:c>
      <x:c r="N967" s="2" t="str">
        <x:v>repository_particle_dynamics_on_frozen_qubo</x:v>
      </x:c>
      <x:c r="O967" s="9" t="str">
        <x:v>11000</x:v>
      </x:c>
    </x:row>
    <x:row r="968" ht="18" customHeight="1">
      <x:c r="A968" s="2" t="str">
        <x:v>controlled_n5_lane_closure_3</x:v>
      </x:c>
      <x:c r="B968" s="2" t="str">
        <x:v>QAOA</x:v>
      </x:c>
      <x:c r="C968" s="2" t="n">
        <x:v>42</x:v>
      </x:c>
      <x:c r="D968" s="2" t="str">
        <x:v>success</x:v>
      </x:c>
      <x:c r="E968" s="2" t="n">
        <x:v>5</x:v>
      </x:c>
      <x:c r="F968" s="7" t="n">
        <x:v>110.00000000000001</x:v>
      </x:c>
      <x:c r="G968" s="7" t="n">
        <x:v>77.5</x:v>
      </x:c>
      <x:c r="H968" s="7" t="n">
        <x:f>IF(F968=0,"n.a.",100*(F968-G968)/F968)</x:f>
        <x:v>29.545454545454554</x:v>
      </x:c>
      <x:c r="I968" s="7" t="n">
        <x:f>F968-G968</x:f>
        <x:v>32.500000000000014</x:v>
      </x:c>
      <x:c r="J968" s="8" t="n">
        <x:v>0.7037758294753091</x:v>
      </x:c>
      <x:c r="K968" s="8" t="n">
        <x:v>0.7037758294753091</x:v>
      </x:c>
      <x:c r="L968" s="8" t="n">
        <x:v>0</x:v>
      </x:c>
      <x:c r="M968" s="7" t="n">
        <x:v>275.29420000792015</x:v>
      </x:c>
      <x:c r="N968" s="2" t="str">
        <x:v>qiskit.primitives.StatevectorSampler</x:v>
      </x:c>
      <x:c r="O968" s="9" t="str">
        <x:v>01100</x:v>
      </x:c>
    </x:row>
    <x:row r="969" ht="18" customHeight="1">
      <x:c r="A969" s="2" t="str">
        <x:v>controlled_n5_lane_closure_3</x:v>
      </x:c>
      <x:c r="B969" s="2" t="str">
        <x:v>BPSO</x:v>
      </x:c>
      <x:c r="C969" s="2" t="n">
        <x:v>123</x:v>
      </x:c>
      <x:c r="D969" s="2" t="str">
        <x:v>success</x:v>
      </x:c>
      <x:c r="E969" s="2" t="n">
        <x:v>5</x:v>
      </x:c>
      <x:c r="F969" s="7" t="n">
        <x:v>110.00000000000001</x:v>
      </x:c>
      <x:c r="G969" s="7" t="n">
        <x:v>77.5</x:v>
      </x:c>
      <x:c r="H969" s="7" t="n">
        <x:f>IF(F969=0,"n.a.",100*(F969-G969)/F969)</x:f>
        <x:v>29.545454545454554</x:v>
      </x:c>
      <x:c r="I969" s="7" t="n">
        <x:f>F969-G969</x:f>
        <x:v>32.500000000000014</x:v>
      </x:c>
      <x:c r="J969" s="8" t="n">
        <x:v>0.7037758294753091</x:v>
      </x:c>
      <x:c r="K969" s="8" t="n">
        <x:v>0.7037758294753091</x:v>
      </x:c>
      <x:c r="L969" s="8" t="n">
        <x:v>0</x:v>
      </x:c>
      <x:c r="M969" s="7" t="n">
        <x:v>14.77829999930691</x:v>
      </x:c>
      <x:c r="N969" s="2" t="str">
        <x:v>repository_particle_dynamics_on_frozen_qubo</x:v>
      </x:c>
      <x:c r="O969" s="9" t="str">
        <x:v>01010</x:v>
      </x:c>
    </x:row>
    <x:row r="970" ht="18" customHeight="1">
      <x:c r="A970" s="2" t="str">
        <x:v>controlled_n5_lane_closure_3</x:v>
      </x:c>
      <x:c r="B970" s="2" t="str">
        <x:v>QAOA</x:v>
      </x:c>
      <x:c r="C970" s="2" t="n">
        <x:v>123</x:v>
      </x:c>
      <x:c r="D970" s="2" t="str">
        <x:v>success</x:v>
      </x:c>
      <x:c r="E970" s="2" t="n">
        <x:v>5</x:v>
      </x:c>
      <x:c r="F970" s="7" t="n">
        <x:v>110.00000000000001</x:v>
      </x:c>
      <x:c r="G970" s="7" t="n">
        <x:v>77.5</x:v>
      </x:c>
      <x:c r="H970" s="7" t="n">
        <x:f>IF(F970=0,"n.a.",100*(F970-G970)/F970)</x:f>
        <x:v>29.545454545454554</x:v>
      </x:c>
      <x:c r="I970" s="7" t="n">
        <x:f>F970-G970</x:f>
        <x:v>32.500000000000014</x:v>
      </x:c>
      <x:c r="J970" s="8" t="n">
        <x:v>0.7037758294753091</x:v>
      </x:c>
      <x:c r="K970" s="8" t="n">
        <x:v>0.7037758294753091</x:v>
      </x:c>
      <x:c r="L970" s="8" t="n">
        <x:v>0</x:v>
      </x:c>
      <x:c r="M970" s="7" t="n">
        <x:v>226.75280000839848</x:v>
      </x:c>
      <x:c r="N970" s="2" t="str">
        <x:v>qiskit.primitives.StatevectorSampler</x:v>
      </x:c>
      <x:c r="O970" s="9" t="str">
        <x:v>01100</x:v>
      </x:c>
    </x:row>
    <x:row r="971" ht="18" customHeight="1">
      <x:c r="A971" s="2" t="str">
        <x:v>controlled_n5_lane_closure_3</x:v>
      </x:c>
      <x:c r="B971" s="2" t="str">
        <x:v>BPSO</x:v>
      </x:c>
      <x:c r="C971" s="2" t="n">
        <x:v>456</x:v>
      </x:c>
      <x:c r="D971" s="2" t="str">
        <x:v>success</x:v>
      </x:c>
      <x:c r="E971" s="2" t="n">
        <x:v>5</x:v>
      </x:c>
      <x:c r="F971" s="7" t="n">
        <x:v>110.00000000000001</x:v>
      </x:c>
      <x:c r="G971" s="7" t="n">
        <x:v>77.5</x:v>
      </x:c>
      <x:c r="H971" s="7" t="n">
        <x:f>IF(F971=0,"n.a.",100*(F971-G971)/F971)</x:f>
        <x:v>29.545454545454554</x:v>
      </x:c>
      <x:c r="I971" s="7" t="n">
        <x:f>F971-G971</x:f>
        <x:v>32.500000000000014</x:v>
      </x:c>
      <x:c r="J971" s="8" t="n">
        <x:v>0.7037758294753091</x:v>
      </x:c>
      <x:c r="K971" s="8" t="n">
        <x:v>0.7037758294753091</x:v>
      </x:c>
      <x:c r="L971" s="8" t="n">
        <x:v>0</x:v>
      </x:c>
      <x:c r="M971" s="7" t="n">
        <x:v>14.708899994730018</x:v>
      </x:c>
      <x:c r="N971" s="2" t="str">
        <x:v>repository_particle_dynamics_on_frozen_qubo</x:v>
      </x:c>
      <x:c r="O971" s="9" t="str">
        <x:v>00011</x:v>
      </x:c>
    </x:row>
    <x:row r="972" ht="18" customHeight="1">
      <x:c r="A972" s="2" t="str">
        <x:v>controlled_n5_lane_closure_3</x:v>
      </x:c>
      <x:c r="B972" s="2" t="str">
        <x:v>QAOA</x:v>
      </x:c>
      <x:c r="C972" s="2" t="n">
        <x:v>456</x:v>
      </x:c>
      <x:c r="D972" s="2" t="str">
        <x:v>success</x:v>
      </x:c>
      <x:c r="E972" s="2" t="n">
        <x:v>5</x:v>
      </x:c>
      <x:c r="F972" s="7" t="n">
        <x:v>110.00000000000001</x:v>
      </x:c>
      <x:c r="G972" s="7" t="n">
        <x:v>77.5</x:v>
      </x:c>
      <x:c r="H972" s="7" t="n">
        <x:f>IF(F972=0,"n.a.",100*(F972-G972)/F972)</x:f>
        <x:v>29.545454545454554</x:v>
      </x:c>
      <x:c r="I972" s="7" t="n">
        <x:f>F972-G972</x:f>
        <x:v>32.500000000000014</x:v>
      </x:c>
      <x:c r="J972" s="8" t="n">
        <x:v>0.7037758294753091</x:v>
      </x:c>
      <x:c r="K972" s="8" t="n">
        <x:v>0.7037758294753091</x:v>
      </x:c>
      <x:c r="L972" s="8" t="n">
        <x:v>0</x:v>
      </x:c>
      <x:c r="M972" s="7" t="n">
        <x:v>212.6594000001205</x:v>
      </x:c>
      <x:c r="N972" s="2" t="str">
        <x:v>qiskit.primitives.StatevectorSampler</x:v>
      </x:c>
      <x:c r="O972" s="9" t="str">
        <x:v>10001</x:v>
      </x:c>
    </x:row>
    <x:row r="973" ht="18" customHeight="1">
      <x:c r="A973" s="2" t="str">
        <x:v>controlled_n5_lane_closure_3</x:v>
      </x:c>
      <x:c r="B973" s="2" t="str">
        <x:v>BPSO</x:v>
      </x:c>
      <x:c r="C973" s="2" t="n">
        <x:v>789</x:v>
      </x:c>
      <x:c r="D973" s="2" t="str">
        <x:v>success</x:v>
      </x:c>
      <x:c r="E973" s="2" t="n">
        <x:v>5</x:v>
      </x:c>
      <x:c r="F973" s="7" t="n">
        <x:v>110.00000000000001</x:v>
      </x:c>
      <x:c r="G973" s="7" t="n">
        <x:v>77.5</x:v>
      </x:c>
      <x:c r="H973" s="7" t="n">
        <x:f>IF(F973=0,"n.a.",100*(F973-G973)/F973)</x:f>
        <x:v>29.545454545454554</x:v>
      </x:c>
      <x:c r="I973" s="7" t="n">
        <x:f>F973-G973</x:f>
        <x:v>32.500000000000014</x:v>
      </x:c>
      <x:c r="J973" s="8" t="n">
        <x:v>0.7037758294753091</x:v>
      </x:c>
      <x:c r="K973" s="8" t="n">
        <x:v>0.7037758294753091</x:v>
      </x:c>
      <x:c r="L973" s="8" t="n">
        <x:v>0</x:v>
      </x:c>
      <x:c r="M973" s="7" t="n">
        <x:v>14.67449999472592</x:v>
      </x:c>
      <x:c r="N973" s="2" t="str">
        <x:v>repository_particle_dynamics_on_frozen_qubo</x:v>
      </x:c>
      <x:c r="O973" s="9" t="str">
        <x:v>01100</x:v>
      </x:c>
    </x:row>
    <x:row r="974" ht="18" customHeight="1">
      <x:c r="A974" s="2" t="str">
        <x:v>controlled_n5_lane_closure_3</x:v>
      </x:c>
      <x:c r="B974" s="2" t="str">
        <x:v>QAOA</x:v>
      </x:c>
      <x:c r="C974" s="2" t="n">
        <x:v>789</x:v>
      </x:c>
      <x:c r="D974" s="2" t="str">
        <x:v>success</x:v>
      </x:c>
      <x:c r="E974" s="2" t="n">
        <x:v>5</x:v>
      </x:c>
      <x:c r="F974" s="7" t="n">
        <x:v>110.00000000000001</x:v>
      </x:c>
      <x:c r="G974" s="7" t="n">
        <x:v>77.5</x:v>
      </x:c>
      <x:c r="H974" s="7" t="n">
        <x:f>IF(F974=0,"n.a.",100*(F974-G974)/F974)</x:f>
        <x:v>29.545454545454554</x:v>
      </x:c>
      <x:c r="I974" s="7" t="n">
        <x:f>F974-G974</x:f>
        <x:v>32.500000000000014</x:v>
      </x:c>
      <x:c r="J974" s="8" t="n">
        <x:v>0.7037758294753091</x:v>
      </x:c>
      <x:c r="K974" s="8" t="n">
        <x:v>0.7037758294753091</x:v>
      </x:c>
      <x:c r="L974" s="8" t="n">
        <x:v>0</x:v>
      </x:c>
      <x:c r="M974" s="7" t="n">
        <x:v>224.19429999717977</x:v>
      </x:c>
      <x:c r="N974" s="2" t="str">
        <x:v>qiskit.primitives.StatevectorSampler</x:v>
      </x:c>
      <x:c r="O974" s="9" t="str">
        <x:v>10100</x:v>
      </x:c>
    </x:row>
    <x:row r="975" ht="18" customHeight="1">
      <x:c r="A975" s="2" t="str">
        <x:v>controlled_n5_lane_closure_3</x:v>
      </x:c>
      <x:c r="B975" s="2" t="str">
        <x:v>BPSO</x:v>
      </x:c>
      <x:c r="C975" s="2" t="n">
        <x:v>2026</x:v>
      </x:c>
      <x:c r="D975" s="2" t="str">
        <x:v>success</x:v>
      </x:c>
      <x:c r="E975" s="2" t="n">
        <x:v>5</x:v>
      </x:c>
      <x:c r="F975" s="7" t="n">
        <x:v>110.00000000000001</x:v>
      </x:c>
      <x:c r="G975" s="7" t="n">
        <x:v>77.5</x:v>
      </x:c>
      <x:c r="H975" s="7" t="n">
        <x:f>IF(F975=0,"n.a.",100*(F975-G975)/F975)</x:f>
        <x:v>29.545454545454554</x:v>
      </x:c>
      <x:c r="I975" s="7" t="n">
        <x:f>F975-G975</x:f>
        <x:v>32.500000000000014</x:v>
      </x:c>
      <x:c r="J975" s="8" t="n">
        <x:v>0.7037758294753091</x:v>
      </x:c>
      <x:c r="K975" s="8" t="n">
        <x:v>0.7037758294753091</x:v>
      </x:c>
      <x:c r="L975" s="8" t="n">
        <x:v>0</x:v>
      </x:c>
      <x:c r="M975" s="7" t="n">
        <x:v>14.549000014085323</x:v>
      </x:c>
      <x:c r="N975" s="2" t="str">
        <x:v>repository_particle_dynamics_on_frozen_qubo</x:v>
      </x:c>
      <x:c r="O975" s="9" t="str">
        <x:v>10100</x:v>
      </x:c>
    </x:row>
    <x:row r="976" ht="18" customHeight="1">
      <x:c r="A976" s="2" t="str">
        <x:v>controlled_n5_lane_closure_3</x:v>
      </x:c>
      <x:c r="B976" s="2" t="str">
        <x:v>QAOA</x:v>
      </x:c>
      <x:c r="C976" s="2" t="n">
        <x:v>2026</x:v>
      </x:c>
      <x:c r="D976" s="2" t="str">
        <x:v>success</x:v>
      </x:c>
      <x:c r="E976" s="2" t="n">
        <x:v>5</x:v>
      </x:c>
      <x:c r="F976" s="7" t="n">
        <x:v>110.00000000000001</x:v>
      </x:c>
      <x:c r="G976" s="7" t="n">
        <x:v>77.5</x:v>
      </x:c>
      <x:c r="H976" s="7" t="n">
        <x:f>IF(F976=0,"n.a.",100*(F976-G976)/F976)</x:f>
        <x:v>29.545454545454554</x:v>
      </x:c>
      <x:c r="I976" s="7" t="n">
        <x:f>F976-G976</x:f>
        <x:v>32.500000000000014</x:v>
      </x:c>
      <x:c r="J976" s="8" t="n">
        <x:v>0.7037758294753091</x:v>
      </x:c>
      <x:c r="K976" s="8" t="n">
        <x:v>0.7037758294753091</x:v>
      </x:c>
      <x:c r="L976" s="8" t="n">
        <x:v>0</x:v>
      </x:c>
      <x:c r="M976" s="7" t="n">
        <x:v>248.59689999721013</x:v>
      </x:c>
      <x:c r="N976" s="2" t="str">
        <x:v>qiskit.primitives.StatevectorSampler</x:v>
      </x:c>
      <x:c r="O976" s="9" t="str">
        <x:v>10100</x:v>
      </x:c>
    </x:row>
    <x:row r="977" ht="18" customHeight="1">
      <x:c r="A977" s="2" t="str">
        <x:v>controlled_n5_weather_capacity_loss_1</x:v>
      </x:c>
      <x:c r="B977" s="2" t="str">
        <x:v>Unmanaged</x:v>
      </x:c>
      <x:c r="C977" s="2"/>
      <x:c r="D977" s="2" t="str">
        <x:v>baseline</x:v>
      </x:c>
      <x:c r="E977" s="2" t="n">
        <x:v>0</x:v>
      </x:c>
      <x:c r="F977" s="7" t="n">
        <x:v>55.00000000000001</x:v>
      </x:c>
      <x:c r="G977" s="7" t="n">
        <x:v>55.00000000000001</x:v>
      </x:c>
      <x:c r="H977" s="7" t="n">
        <x:f>IF(F977=0,"n.a.",100*(F977-G977)/F977)</x:f>
        <x:v>0</x:v>
      </x:c>
      <x:c r="I977" s="7" t="n">
        <x:f>F977-G977</x:f>
        <x:v>0</x:v>
      </x:c>
      <x:c r="J977" s="8"/>
      <x:c r="K977" s="8" t="n">
        <x:v>0.07805555555555568</x:v>
      </x:c>
      <x:c r="L977" s="8"/>
      <x:c r="M977" s="7"/>
      <x:c r="N977" s="2" t="str">
        <x:v>unmanaged_input</x:v>
      </x:c>
      <x:c r="O977" s="9"/>
    </x:row>
    <x:row r="978" ht="18" customHeight="1">
      <x:c r="A978" s="2" t="str">
        <x:v>controlled_n5_weather_capacity_loss_1</x:v>
      </x:c>
      <x:c r="B978" s="2" t="str">
        <x:v>Exact J</x:v>
      </x:c>
      <x:c r="C978" s="2"/>
      <x:c r="D978" s="2" t="str">
        <x:v>no_congestion</x:v>
      </x:c>
      <x:c r="E978" s="2" t="n">
        <x:v>0</x:v>
      </x:c>
      <x:c r="F978" s="7" t="n">
        <x:v>55.00000000000001</x:v>
      </x:c>
      <x:c r="G978" s="7" t="n">
        <x:v>55.00000000000001</x:v>
      </x:c>
      <x:c r="H978" s="7" t="n">
        <x:f>IF(F978=0,"n.a.",100*(F978-G978)/F978)</x:f>
        <x:v>0</x:v>
      </x:c>
      <x:c r="I978" s="7" t="n">
        <x:f>F978-G978</x:f>
        <x:v>0</x:v>
      </x:c>
      <x:c r="J978" s="8" t="n">
        <x:v>0.07805555555555568</x:v>
      </x:c>
      <x:c r="K978" s="8" t="n">
        <x:v>0.07805555555555568</x:v>
      </x:c>
      <x:c r="L978" s="8" t="n">
        <x:v>0</x:v>
      </x:c>
      <x:c r="M978" s="7" t="n">
        <x:v>0</x:v>
      </x:c>
      <x:c r="N978" s="2" t="str">
        <x:v>not_invoked</x:v>
      </x:c>
      <x:c r="O978" s="9" t="str"/>
    </x:row>
    <x:row r="979" ht="18" customHeight="1">
      <x:c r="A979" s="2" t="str">
        <x:v>controlled_n5_weather_capacity_loss_1</x:v>
      </x:c>
      <x:c r="B979" s="2" t="str">
        <x:v>Exact peak</x:v>
      </x:c>
      <x:c r="C979" s="2"/>
      <x:c r="D979" s="2" t="str">
        <x:v>no_congestion</x:v>
      </x:c>
      <x:c r="E979" s="2" t="n">
        <x:v>0</x:v>
      </x:c>
      <x:c r="F979" s="7" t="n">
        <x:v>55.00000000000001</x:v>
      </x:c>
      <x:c r="G979" s="7" t="n">
        <x:v>55.00000000000001</x:v>
      </x:c>
      <x:c r="H979" s="7" t="n">
        <x:f>IF(F979=0,"n.a.",100*(F979-G979)/F979)</x:f>
        <x:v>0</x:v>
      </x:c>
      <x:c r="I979" s="7" t="n">
        <x:f>F979-G979</x:f>
        <x:v>0</x:v>
      </x:c>
      <x:c r="J979" s="8" t="n">
        <x:v>0.07805555555555568</x:v>
      </x:c>
      <x:c r="K979" s="8" t="n">
        <x:v>0.07805555555555568</x:v>
      </x:c>
      <x:c r="L979" s="8" t="n">
        <x:v>0</x:v>
      </x:c>
      <x:c r="M979" s="7" t="n">
        <x:v>0</x:v>
      </x:c>
      <x:c r="N979" s="2" t="str">
        <x:v>not_invoked</x:v>
      </x:c>
      <x:c r="O979" s="9" t="str"/>
    </x:row>
    <x:row r="980" ht="18" customHeight="1">
      <x:c r="A980" s="2" t="str">
        <x:v>controlled_n5_weather_capacity_loss_1</x:v>
      </x:c>
      <x:c r="B980" s="2" t="str">
        <x:v>BPSO</x:v>
      </x:c>
      <x:c r="C980" s="2" t="n">
        <x:v>42</x:v>
      </x:c>
      <x:c r="D980" s="2" t="str">
        <x:v>no_congestion</x:v>
      </x:c>
      <x:c r="E980" s="2" t="n">
        <x:v>0</x:v>
      </x:c>
      <x:c r="F980" s="7" t="n">
        <x:v>55.00000000000001</x:v>
      </x:c>
      <x:c r="G980" s="7" t="n">
        <x:v>55.00000000000001</x:v>
      </x:c>
      <x:c r="H980" s="7" t="n">
        <x:f>IF(F980=0,"n.a.",100*(F980-G980)/F980)</x:f>
        <x:v>0</x:v>
      </x:c>
      <x:c r="I980" s="7" t="n">
        <x:f>F980-G980</x:f>
        <x:v>0</x:v>
      </x:c>
      <x:c r="J980" s="8" t="n">
        <x:v>0.07805555555555568</x:v>
      </x:c>
      <x:c r="K980" s="8" t="n">
        <x:v>0.07805555555555568</x:v>
      </x:c>
      <x:c r="L980" s="8" t="n">
        <x:v>0</x:v>
      </x:c>
      <x:c r="M980" s="7" t="n">
        <x:v>0</x:v>
      </x:c>
      <x:c r="N980" s="2" t="str">
        <x:v>not_invoked</x:v>
      </x:c>
      <x:c r="O980" s="9" t="str"/>
    </x:row>
    <x:row r="981" ht="18" customHeight="1">
      <x:c r="A981" s="2" t="str">
        <x:v>controlled_n5_weather_capacity_loss_1</x:v>
      </x:c>
      <x:c r="B981" s="2" t="str">
        <x:v>QAOA</x:v>
      </x:c>
      <x:c r="C981" s="2" t="n">
        <x:v>42</x:v>
      </x:c>
      <x:c r="D981" s="2" t="str">
        <x:v>no_congestion</x:v>
      </x:c>
      <x:c r="E981" s="2" t="n">
        <x:v>0</x:v>
      </x:c>
      <x:c r="F981" s="7" t="n">
        <x:v>55.00000000000001</x:v>
      </x:c>
      <x:c r="G981" s="7" t="n">
        <x:v>55.00000000000001</x:v>
      </x:c>
      <x:c r="H981" s="7" t="n">
        <x:f>IF(F981=0,"n.a.",100*(F981-G981)/F981)</x:f>
        <x:v>0</x:v>
      </x:c>
      <x:c r="I981" s="7" t="n">
        <x:f>F981-G981</x:f>
        <x:v>0</x:v>
      </x:c>
      <x:c r="J981" s="8" t="n">
        <x:v>0.07805555555555568</x:v>
      </x:c>
      <x:c r="K981" s="8" t="n">
        <x:v>0.07805555555555568</x:v>
      </x:c>
      <x:c r="L981" s="8" t="n">
        <x:v>0</x:v>
      </x:c>
      <x:c r="M981" s="7" t="n">
        <x:v>0</x:v>
      </x:c>
      <x:c r="N981" s="2" t="str">
        <x:v>not_invoked</x:v>
      </x:c>
      <x:c r="O981" s="9" t="str"/>
    </x:row>
    <x:row r="982" ht="18" customHeight="1">
      <x:c r="A982" s="2" t="str">
        <x:v>controlled_n5_weather_capacity_loss_1</x:v>
      </x:c>
      <x:c r="B982" s="2" t="str">
        <x:v>BPSO</x:v>
      </x:c>
      <x:c r="C982" s="2" t="n">
        <x:v>123</x:v>
      </x:c>
      <x:c r="D982" s="2" t="str">
        <x:v>no_congestion</x:v>
      </x:c>
      <x:c r="E982" s="2" t="n">
        <x:v>0</x:v>
      </x:c>
      <x:c r="F982" s="7" t="n">
        <x:v>55.00000000000001</x:v>
      </x:c>
      <x:c r="G982" s="7" t="n">
        <x:v>55.00000000000001</x:v>
      </x:c>
      <x:c r="H982" s="7" t="n">
        <x:f>IF(F982=0,"n.a.",100*(F982-G982)/F982)</x:f>
        <x:v>0</x:v>
      </x:c>
      <x:c r="I982" s="7" t="n">
        <x:f>F982-G982</x:f>
        <x:v>0</x:v>
      </x:c>
      <x:c r="J982" s="8" t="n">
        <x:v>0.07805555555555568</x:v>
      </x:c>
      <x:c r="K982" s="8" t="n">
        <x:v>0.07805555555555568</x:v>
      </x:c>
      <x:c r="L982" s="8" t="n">
        <x:v>0</x:v>
      </x:c>
      <x:c r="M982" s="7" t="n">
        <x:v>0</x:v>
      </x:c>
      <x:c r="N982" s="2" t="str">
        <x:v>not_invoked</x:v>
      </x:c>
      <x:c r="O982" s="9" t="str"/>
    </x:row>
    <x:row r="983" ht="18" customHeight="1">
      <x:c r="A983" s="2" t="str">
        <x:v>controlled_n5_weather_capacity_loss_1</x:v>
      </x:c>
      <x:c r="B983" s="2" t="str">
        <x:v>QAOA</x:v>
      </x:c>
      <x:c r="C983" s="2" t="n">
        <x:v>123</x:v>
      </x:c>
      <x:c r="D983" s="2" t="str">
        <x:v>no_congestion</x:v>
      </x:c>
      <x:c r="E983" s="2" t="n">
        <x:v>0</x:v>
      </x:c>
      <x:c r="F983" s="7" t="n">
        <x:v>55.00000000000001</x:v>
      </x:c>
      <x:c r="G983" s="7" t="n">
        <x:v>55.00000000000001</x:v>
      </x:c>
      <x:c r="H983" s="7" t="n">
        <x:f>IF(F983=0,"n.a.",100*(F983-G983)/F983)</x:f>
        <x:v>0</x:v>
      </x:c>
      <x:c r="I983" s="7" t="n">
        <x:f>F983-G983</x:f>
        <x:v>0</x:v>
      </x:c>
      <x:c r="J983" s="8" t="n">
        <x:v>0.07805555555555568</x:v>
      </x:c>
      <x:c r="K983" s="8" t="n">
        <x:v>0.07805555555555568</x:v>
      </x:c>
      <x:c r="L983" s="8" t="n">
        <x:v>0</x:v>
      </x:c>
      <x:c r="M983" s="7" t="n">
        <x:v>0</x:v>
      </x:c>
      <x:c r="N983" s="2" t="str">
        <x:v>not_invoked</x:v>
      </x:c>
      <x:c r="O983" s="9" t="str"/>
    </x:row>
    <x:row r="984" ht="18" customHeight="1">
      <x:c r="A984" s="2" t="str">
        <x:v>controlled_n5_weather_capacity_loss_1</x:v>
      </x:c>
      <x:c r="B984" s="2" t="str">
        <x:v>BPSO</x:v>
      </x:c>
      <x:c r="C984" s="2" t="n">
        <x:v>456</x:v>
      </x:c>
      <x:c r="D984" s="2" t="str">
        <x:v>no_congestion</x:v>
      </x:c>
      <x:c r="E984" s="2" t="n">
        <x:v>0</x:v>
      </x:c>
      <x:c r="F984" s="7" t="n">
        <x:v>55.00000000000001</x:v>
      </x:c>
      <x:c r="G984" s="7" t="n">
        <x:v>55.00000000000001</x:v>
      </x:c>
      <x:c r="H984" s="7" t="n">
        <x:f>IF(F984=0,"n.a.",100*(F984-G984)/F984)</x:f>
        <x:v>0</x:v>
      </x:c>
      <x:c r="I984" s="7" t="n">
        <x:f>F984-G984</x:f>
        <x:v>0</x:v>
      </x:c>
      <x:c r="J984" s="8" t="n">
        <x:v>0.07805555555555568</x:v>
      </x:c>
      <x:c r="K984" s="8" t="n">
        <x:v>0.07805555555555568</x:v>
      </x:c>
      <x:c r="L984" s="8" t="n">
        <x:v>0</x:v>
      </x:c>
      <x:c r="M984" s="7" t="n">
        <x:v>0</x:v>
      </x:c>
      <x:c r="N984" s="2" t="str">
        <x:v>not_invoked</x:v>
      </x:c>
      <x:c r="O984" s="9" t="str"/>
    </x:row>
    <x:row r="985" ht="18" customHeight="1">
      <x:c r="A985" s="2" t="str">
        <x:v>controlled_n5_weather_capacity_loss_1</x:v>
      </x:c>
      <x:c r="B985" s="2" t="str">
        <x:v>QAOA</x:v>
      </x:c>
      <x:c r="C985" s="2" t="n">
        <x:v>456</x:v>
      </x:c>
      <x:c r="D985" s="2" t="str">
        <x:v>no_congestion</x:v>
      </x:c>
      <x:c r="E985" s="2" t="n">
        <x:v>0</x:v>
      </x:c>
      <x:c r="F985" s="7" t="n">
        <x:v>55.00000000000001</x:v>
      </x:c>
      <x:c r="G985" s="7" t="n">
        <x:v>55.00000000000001</x:v>
      </x:c>
      <x:c r="H985" s="7" t="n">
        <x:f>IF(F985=0,"n.a.",100*(F985-G985)/F985)</x:f>
        <x:v>0</x:v>
      </x:c>
      <x:c r="I985" s="7" t="n">
        <x:f>F985-G985</x:f>
        <x:v>0</x:v>
      </x:c>
      <x:c r="J985" s="8" t="n">
        <x:v>0.07805555555555568</x:v>
      </x:c>
      <x:c r="K985" s="8" t="n">
        <x:v>0.07805555555555568</x:v>
      </x:c>
      <x:c r="L985" s="8" t="n">
        <x:v>0</x:v>
      </x:c>
      <x:c r="M985" s="7" t="n">
        <x:v>0</x:v>
      </x:c>
      <x:c r="N985" s="2" t="str">
        <x:v>not_invoked</x:v>
      </x:c>
      <x:c r="O985" s="9" t="str"/>
    </x:row>
    <x:row r="986" ht="18" customHeight="1">
      <x:c r="A986" s="2" t="str">
        <x:v>controlled_n5_weather_capacity_loss_1</x:v>
      </x:c>
      <x:c r="B986" s="2" t="str">
        <x:v>BPSO</x:v>
      </x:c>
      <x:c r="C986" s="2" t="n">
        <x:v>789</x:v>
      </x:c>
      <x:c r="D986" s="2" t="str">
        <x:v>no_congestion</x:v>
      </x:c>
      <x:c r="E986" s="2" t="n">
        <x:v>0</x:v>
      </x:c>
      <x:c r="F986" s="7" t="n">
        <x:v>55.00000000000001</x:v>
      </x:c>
      <x:c r="G986" s="7" t="n">
        <x:v>55.00000000000001</x:v>
      </x:c>
      <x:c r="H986" s="7" t="n">
        <x:f>IF(F986=0,"n.a.",100*(F986-G986)/F986)</x:f>
        <x:v>0</x:v>
      </x:c>
      <x:c r="I986" s="7" t="n">
        <x:f>F986-G986</x:f>
        <x:v>0</x:v>
      </x:c>
      <x:c r="J986" s="8" t="n">
        <x:v>0.07805555555555568</x:v>
      </x:c>
      <x:c r="K986" s="8" t="n">
        <x:v>0.07805555555555568</x:v>
      </x:c>
      <x:c r="L986" s="8" t="n">
        <x:v>0</x:v>
      </x:c>
      <x:c r="M986" s="7" t="n">
        <x:v>0</x:v>
      </x:c>
      <x:c r="N986" s="2" t="str">
        <x:v>not_invoked</x:v>
      </x:c>
      <x:c r="O986" s="9" t="str"/>
    </x:row>
    <x:row r="987" ht="18" customHeight="1">
      <x:c r="A987" s="2" t="str">
        <x:v>controlled_n5_weather_capacity_loss_1</x:v>
      </x:c>
      <x:c r="B987" s="2" t="str">
        <x:v>QAOA</x:v>
      </x:c>
      <x:c r="C987" s="2" t="n">
        <x:v>789</x:v>
      </x:c>
      <x:c r="D987" s="2" t="str">
        <x:v>no_congestion</x:v>
      </x:c>
      <x:c r="E987" s="2" t="n">
        <x:v>0</x:v>
      </x:c>
      <x:c r="F987" s="7" t="n">
        <x:v>55.00000000000001</x:v>
      </x:c>
      <x:c r="G987" s="7" t="n">
        <x:v>55.00000000000001</x:v>
      </x:c>
      <x:c r="H987" s="7" t="n">
        <x:f>IF(F987=0,"n.a.",100*(F987-G987)/F987)</x:f>
        <x:v>0</x:v>
      </x:c>
      <x:c r="I987" s="7" t="n">
        <x:f>F987-G987</x:f>
        <x:v>0</x:v>
      </x:c>
      <x:c r="J987" s="8" t="n">
        <x:v>0.07805555555555568</x:v>
      </x:c>
      <x:c r="K987" s="8" t="n">
        <x:v>0.07805555555555568</x:v>
      </x:c>
      <x:c r="L987" s="8" t="n">
        <x:v>0</x:v>
      </x:c>
      <x:c r="M987" s="7" t="n">
        <x:v>0</x:v>
      </x:c>
      <x:c r="N987" s="2" t="str">
        <x:v>not_invoked</x:v>
      </x:c>
      <x:c r="O987" s="9" t="str"/>
    </x:row>
    <x:row r="988" ht="18" customHeight="1">
      <x:c r="A988" s="2" t="str">
        <x:v>controlled_n5_weather_capacity_loss_1</x:v>
      </x:c>
      <x:c r="B988" s="2" t="str">
        <x:v>BPSO</x:v>
      </x:c>
      <x:c r="C988" s="2" t="n">
        <x:v>2026</x:v>
      </x:c>
      <x:c r="D988" s="2" t="str">
        <x:v>no_congestion</x:v>
      </x:c>
      <x:c r="E988" s="2" t="n">
        <x:v>0</x:v>
      </x:c>
      <x:c r="F988" s="7" t="n">
        <x:v>55.00000000000001</x:v>
      </x:c>
      <x:c r="G988" s="7" t="n">
        <x:v>55.00000000000001</x:v>
      </x:c>
      <x:c r="H988" s="7" t="n">
        <x:f>IF(F988=0,"n.a.",100*(F988-G988)/F988)</x:f>
        <x:v>0</x:v>
      </x:c>
      <x:c r="I988" s="7" t="n">
        <x:f>F988-G988</x:f>
        <x:v>0</x:v>
      </x:c>
      <x:c r="J988" s="8" t="n">
        <x:v>0.07805555555555568</x:v>
      </x:c>
      <x:c r="K988" s="8" t="n">
        <x:v>0.07805555555555568</x:v>
      </x:c>
      <x:c r="L988" s="8" t="n">
        <x:v>0</x:v>
      </x:c>
      <x:c r="M988" s="7" t="n">
        <x:v>0</x:v>
      </x:c>
      <x:c r="N988" s="2" t="str">
        <x:v>not_invoked</x:v>
      </x:c>
      <x:c r="O988" s="9" t="str"/>
    </x:row>
    <x:row r="989" ht="18" customHeight="1">
      <x:c r="A989" s="2" t="str">
        <x:v>controlled_n5_weather_capacity_loss_1</x:v>
      </x:c>
      <x:c r="B989" s="2" t="str">
        <x:v>QAOA</x:v>
      </x:c>
      <x:c r="C989" s="2" t="n">
        <x:v>2026</x:v>
      </x:c>
      <x:c r="D989" s="2" t="str">
        <x:v>no_congestion</x:v>
      </x:c>
      <x:c r="E989" s="2" t="n">
        <x:v>0</x:v>
      </x:c>
      <x:c r="F989" s="7" t="n">
        <x:v>55.00000000000001</x:v>
      </x:c>
      <x:c r="G989" s="7" t="n">
        <x:v>55.00000000000001</x:v>
      </x:c>
      <x:c r="H989" s="7" t="n">
        <x:f>IF(F989=0,"n.a.",100*(F989-G989)/F989)</x:f>
        <x:v>0</x:v>
      </x:c>
      <x:c r="I989" s="7" t="n">
        <x:f>F989-G989</x:f>
        <x:v>0</x:v>
      </x:c>
      <x:c r="J989" s="8" t="n">
        <x:v>0.07805555555555568</x:v>
      </x:c>
      <x:c r="K989" s="8" t="n">
        <x:v>0.07805555555555568</x:v>
      </x:c>
      <x:c r="L989" s="8" t="n">
        <x:v>0</x:v>
      </x:c>
      <x:c r="M989" s="7" t="n">
        <x:v>0</x:v>
      </x:c>
      <x:c r="N989" s="2" t="str">
        <x:v>not_invoked</x:v>
      </x:c>
      <x:c r="O989" s="9" t="str"/>
    </x:row>
    <x:row r="990" ht="18" customHeight="1">
      <x:c r="A990" s="2" t="str">
        <x:v>controlled_n5_weather_capacity_loss_2</x:v>
      </x:c>
      <x:c r="B990" s="2" t="str">
        <x:v>Unmanaged</x:v>
      </x:c>
      <x:c r="C990" s="2"/>
      <x:c r="D990" s="2" t="str">
        <x:v>baseline</x:v>
      </x:c>
      <x:c r="E990" s="2" t="n">
        <x:v>10</x:v>
      </x:c>
      <x:c r="F990" s="7" t="n">
        <x:v>68.75000000000001</x:v>
      </x:c>
      <x:c r="G990" s="7" t="n">
        <x:v>68.75000000000001</x:v>
      </x:c>
      <x:c r="H990" s="7" t="n">
        <x:f>IF(F990=0,"n.a.",100*(F990-G990)/F990)</x:f>
        <x:v>0</x:v>
      </x:c>
      <x:c r="I990" s="7" t="n">
        <x:f>F990-G990</x:f>
        <x:v>0</x:v>
      </x:c>
      <x:c r="J990" s="8"/>
      <x:c r="K990" s="8" t="n">
        <x:v>3.0830376707477347</x:v>
      </x:c>
      <x:c r="L990" s="8"/>
      <x:c r="M990" s="7"/>
      <x:c r="N990" s="2" t="str">
        <x:v>unmanaged_input</x:v>
      </x:c>
      <x:c r="O990" s="9"/>
    </x:row>
    <x:row r="991" ht="18" customHeight="1">
      <x:c r="A991" s="2" t="str">
        <x:v>controlled_n5_weather_capacity_loss_2</x:v>
      </x:c>
      <x:c r="B991" s="2" t="str">
        <x:v>Exact J</x:v>
      </x:c>
      <x:c r="C991" s="2"/>
      <x:c r="D991" s="2" t="str">
        <x:v>success</x:v>
      </x:c>
      <x:c r="E991" s="2" t="n">
        <x:v>10</x:v>
      </x:c>
      <x:c r="F991" s="7" t="n">
        <x:v>68.75000000000001</x:v>
      </x:c>
      <x:c r="G991" s="7" t="n">
        <x:v>96.875</x:v>
      </x:c>
      <x:c r="H991" s="7" t="n">
        <x:f>IF(F991=0,"n.a.",100*(F991-G991)/F991)</x:f>
        <x:v>-40.90909090909088</x:v>
      </x:c>
      <x:c r="I991" s="7" t="n">
        <x:f>F991-G991</x:f>
        <x:v>-28.124999999999986</x:v>
      </x:c>
      <x:c r="J991" s="8" t="n">
        <x:v>3.0830376707477347</x:v>
      </x:c>
      <x:c r="K991" s="8" t="n">
        <x:v>3.0830376707477347</x:v>
      </x:c>
      <x:c r="L991" s="8" t="n">
        <x:v>0</x:v>
      </x:c>
      <x:c r="M991" s="7"/>
      <x:c r="N991" s="2" t="str">
        <x:v>exhaustive_enumeration</x:v>
      </x:c>
      <x:c r="O991" s="9" t="str">
        <x:v>0010100010</x:v>
      </x:c>
    </x:row>
    <x:row r="992" ht="18" customHeight="1">
      <x:c r="A992" s="2" t="str">
        <x:v>controlled_n5_weather_capacity_loss_2</x:v>
      </x:c>
      <x:c r="B992" s="2" t="str">
        <x:v>Exact peak</x:v>
      </x:c>
      <x:c r="C992" s="2"/>
      <x:c r="D992" s="2" t="str">
        <x:v>success</x:v>
      </x:c>
      <x:c r="E992" s="2" t="n">
        <x:v>10</x:v>
      </x:c>
      <x:c r="F992" s="7" t="n">
        <x:v>68.75000000000001</x:v>
      </x:c>
      <x:c r="G992" s="7" t="n">
        <x:v>92.1875</x:v>
      </x:c>
      <x:c r="H992" s="7" t="n">
        <x:f>IF(F992=0,"n.a.",100*(F992-G992)/F992)</x:f>
        <x:v>-34.090909090909065</x:v>
      </x:c>
      <x:c r="I992" s="7" t="n">
        <x:f>F992-G992</x:f>
        <x:v>-23.437499999999986</x:v>
      </x:c>
      <x:c r="J992" s="8" t="n">
        <x:v>3.237609957471307</x:v>
      </x:c>
      <x:c r="K992" s="8" t="n">
        <x:v>3.0830376707477347</x:v>
      </x:c>
      <x:c r="L992" s="8" t="n">
        <x:v>0.15457228672357237</x:v>
      </x:c>
      <x:c r="M992" s="7"/>
      <x:c r="N992" s="2" t="str">
        <x:v>exhaustive_enumeration</x:v>
      </x:c>
      <x:c r="O992" s="9" t="str">
        <x:v>0000100110</x:v>
      </x:c>
    </x:row>
    <x:row r="993" ht="18" customHeight="1">
      <x:c r="A993" s="2" t="str">
        <x:v>controlled_n5_weather_capacity_loss_2</x:v>
      </x:c>
      <x:c r="B993" s="2" t="str">
        <x:v>BPSO</x:v>
      </x:c>
      <x:c r="C993" s="2" t="n">
        <x:v>42</x:v>
      </x:c>
      <x:c r="D993" s="2" t="str">
        <x:v>success</x:v>
      </x:c>
      <x:c r="E993" s="2" t="n">
        <x:v>10</x:v>
      </x:c>
      <x:c r="F993" s="7" t="n">
        <x:v>68.75000000000001</x:v>
      </x:c>
      <x:c r="G993" s="7" t="n">
        <x:v>96.875</x:v>
      </x:c>
      <x:c r="H993" s="7" t="n">
        <x:f>IF(F993=0,"n.a.",100*(F993-G993)/F993)</x:f>
        <x:v>-40.90909090909088</x:v>
      </x:c>
      <x:c r="I993" s="7" t="n">
        <x:f>F993-G993</x:f>
        <x:v>-28.124999999999986</x:v>
      </x:c>
      <x:c r="J993" s="8" t="n">
        <x:v>3.0830376707477347</x:v>
      </x:c>
      <x:c r="K993" s="8" t="n">
        <x:v>3.0830376707477347</x:v>
      </x:c>
      <x:c r="L993" s="8" t="n">
        <x:v>0</x:v>
      </x:c>
      <x:c r="M993" s="7" t="n">
        <x:v>20.361899994895793</x:v>
      </x:c>
      <x:c r="N993" s="2" t="str">
        <x:v>repository_particle_dynamics_on_frozen_qubo</x:v>
      </x:c>
      <x:c r="O993" s="9" t="str">
        <x:v>0011000100</x:v>
      </x:c>
    </x:row>
    <x:row r="994" ht="18" customHeight="1">
      <x:c r="A994" s="2" t="str">
        <x:v>controlled_n5_weather_capacity_loss_2</x:v>
      </x:c>
      <x:c r="B994" s="2" t="str">
        <x:v>QAOA</x:v>
      </x:c>
      <x:c r="C994" s="2" t="n">
        <x:v>42</x:v>
      </x:c>
      <x:c r="D994" s="2" t="str">
        <x:v>success</x:v>
      </x:c>
      <x:c r="E994" s="2" t="n">
        <x:v>10</x:v>
      </x:c>
      <x:c r="F994" s="7" t="n">
        <x:v>68.75000000000001</x:v>
      </x:c>
      <x:c r="G994" s="7" t="n">
        <x:v>96.875</x:v>
      </x:c>
      <x:c r="H994" s="7" t="n">
        <x:f>IF(F994=0,"n.a.",100*(F994-G994)/F994)</x:f>
        <x:v>-40.90909090909088</x:v>
      </x:c>
      <x:c r="I994" s="7" t="n">
        <x:f>F994-G994</x:f>
        <x:v>-28.124999999999986</x:v>
      </x:c>
      <x:c r="J994" s="8" t="n">
        <x:v>3.0830376707477347</x:v>
      </x:c>
      <x:c r="K994" s="8" t="n">
        <x:v>3.0830376707477347</x:v>
      </x:c>
      <x:c r="L994" s="8" t="n">
        <x:v>0</x:v>
      </x:c>
      <x:c r="M994" s="7" t="n">
        <x:v>761.379699993995</x:v>
      </x:c>
      <x:c r="N994" s="2" t="str">
        <x:v>qiskit.primitives.StatevectorSampler</x:v>
      </x:c>
      <x:c r="O994" s="9" t="str">
        <x:v>0100100010</x:v>
      </x:c>
    </x:row>
    <x:row r="995" ht="18" customHeight="1">
      <x:c r="A995" s="2" t="str">
        <x:v>controlled_n5_weather_capacity_loss_2</x:v>
      </x:c>
      <x:c r="B995" s="2" t="str">
        <x:v>BPSO</x:v>
      </x:c>
      <x:c r="C995" s="2" t="n">
        <x:v>123</x:v>
      </x:c>
      <x:c r="D995" s="2" t="str">
        <x:v>success</x:v>
      </x:c>
      <x:c r="E995" s="2" t="n">
        <x:v>10</x:v>
      </x:c>
      <x:c r="F995" s="7" t="n">
        <x:v>68.75000000000001</x:v>
      </x:c>
      <x:c r="G995" s="7" t="n">
        <x:v>96.875</x:v>
      </x:c>
      <x:c r="H995" s="7" t="n">
        <x:f>IF(F995=0,"n.a.",100*(F995-G995)/F995)</x:f>
        <x:v>-40.90909090909088</x:v>
      </x:c>
      <x:c r="I995" s="7" t="n">
        <x:f>F995-G995</x:f>
        <x:v>-28.124999999999986</x:v>
      </x:c>
      <x:c r="J995" s="8" t="n">
        <x:v>3.0830376707477347</x:v>
      </x:c>
      <x:c r="K995" s="8" t="n">
        <x:v>3.0830376707477347</x:v>
      </x:c>
      <x:c r="L995" s="8" t="n">
        <x:v>0</x:v>
      </x:c>
      <x:c r="M995" s="7" t="n">
        <x:v>20.34780000394676</x:v>
      </x:c>
      <x:c r="N995" s="2" t="str">
        <x:v>repository_particle_dynamics_on_frozen_qubo</x:v>
      </x:c>
      <x:c r="O995" s="9" t="str">
        <x:v>1010010010</x:v>
      </x:c>
    </x:row>
    <x:row r="996" ht="18" customHeight="1">
      <x:c r="A996" s="2" t="str">
        <x:v>controlled_n5_weather_capacity_loss_2</x:v>
      </x:c>
      <x:c r="B996" s="2" t="str">
        <x:v>QAOA</x:v>
      </x:c>
      <x:c r="C996" s="2" t="n">
        <x:v>123</x:v>
      </x:c>
      <x:c r="D996" s="2" t="str">
        <x:v>success</x:v>
      </x:c>
      <x:c r="E996" s="2" t="n">
        <x:v>10</x:v>
      </x:c>
      <x:c r="F996" s="7" t="n">
        <x:v>68.75000000000001</x:v>
      </x:c>
      <x:c r="G996" s="7" t="n">
        <x:v>96.875</x:v>
      </x:c>
      <x:c r="H996" s="7" t="n">
        <x:f>IF(F996=0,"n.a.",100*(F996-G996)/F996)</x:f>
        <x:v>-40.90909090909088</x:v>
      </x:c>
      <x:c r="I996" s="7" t="n">
        <x:f>F996-G996</x:f>
        <x:v>-28.124999999999986</x:v>
      </x:c>
      <x:c r="J996" s="8" t="n">
        <x:v>3.0830376707477347</x:v>
      </x:c>
      <x:c r="K996" s="8" t="n">
        <x:v>3.0830376707477347</x:v>
      </x:c>
      <x:c r="L996" s="8" t="n">
        <x:v>0</x:v>
      </x:c>
      <x:c r="M996" s="7" t="n">
        <x:v>854.2728999891551</x:v>
      </x:c>
      <x:c r="N996" s="2" t="str">
        <x:v>qiskit.primitives.StatevectorSampler</x:v>
      </x:c>
      <x:c r="O996" s="9" t="str">
        <x:v>1010010100</x:v>
      </x:c>
    </x:row>
    <x:row r="997" ht="18" customHeight="1">
      <x:c r="A997" s="2" t="str">
        <x:v>controlled_n5_weather_capacity_loss_2</x:v>
      </x:c>
      <x:c r="B997" s="2" t="str">
        <x:v>BPSO</x:v>
      </x:c>
      <x:c r="C997" s="2" t="n">
        <x:v>456</x:v>
      </x:c>
      <x:c r="D997" s="2" t="str">
        <x:v>success</x:v>
      </x:c>
      <x:c r="E997" s="2" t="n">
        <x:v>10</x:v>
      </x:c>
      <x:c r="F997" s="7" t="n">
        <x:v>68.75000000000001</x:v>
      </x:c>
      <x:c r="G997" s="7" t="n">
        <x:v>96.875</x:v>
      </x:c>
      <x:c r="H997" s="7" t="n">
        <x:f>IF(F997=0,"n.a.",100*(F997-G997)/F997)</x:f>
        <x:v>-40.90909090909088</x:v>
      </x:c>
      <x:c r="I997" s="7" t="n">
        <x:f>F997-G997</x:f>
        <x:v>-28.124999999999986</x:v>
      </x:c>
      <x:c r="J997" s="8" t="n">
        <x:v>3.0830376707477347</x:v>
      </x:c>
      <x:c r="K997" s="8" t="n">
        <x:v>3.0830376707477347</x:v>
      </x:c>
      <x:c r="L997" s="8" t="n">
        <x:v>0</x:v>
      </x:c>
      <x:c r="M997" s="7" t="n">
        <x:v>20.441799992113374</x:v>
      </x:c>
      <x:c r="N997" s="2" t="str">
        <x:v>repository_particle_dynamics_on_frozen_qubo</x:v>
      </x:c>
      <x:c r="O997" s="9" t="str">
        <x:v>0101000010</x:v>
      </x:c>
    </x:row>
    <x:row r="998" ht="18" customHeight="1">
      <x:c r="A998" s="2" t="str">
        <x:v>controlled_n5_weather_capacity_loss_2</x:v>
      </x:c>
      <x:c r="B998" s="2" t="str">
        <x:v>QAOA</x:v>
      </x:c>
      <x:c r="C998" s="2" t="n">
        <x:v>456</x:v>
      </x:c>
      <x:c r="D998" s="2" t="str">
        <x:v>success</x:v>
      </x:c>
      <x:c r="E998" s="2" t="n">
        <x:v>10</x:v>
      </x:c>
      <x:c r="F998" s="7" t="n">
        <x:v>68.75000000000001</x:v>
      </x:c>
      <x:c r="G998" s="7" t="n">
        <x:v>96.875</x:v>
      </x:c>
      <x:c r="H998" s="7" t="n">
        <x:f>IF(F998=0,"n.a.",100*(F998-G998)/F998)</x:f>
        <x:v>-40.90909090909088</x:v>
      </x:c>
      <x:c r="I998" s="7" t="n">
        <x:f>F998-G998</x:f>
        <x:v>-28.124999999999986</x:v>
      </x:c>
      <x:c r="J998" s="8" t="n">
        <x:v>3.0830376707477347</x:v>
      </x:c>
      <x:c r="K998" s="8" t="n">
        <x:v>3.0830376707477347</x:v>
      </x:c>
      <x:c r="L998" s="8" t="n">
        <x:v>0</x:v>
      </x:c>
      <x:c r="M998" s="7" t="n">
        <x:v>663.5822000098415</x:v>
      </x:c>
      <x:c r="N998" s="2" t="str">
        <x:v>qiskit.primitives.StatevectorSampler</x:v>
      </x:c>
      <x:c r="O998" s="9" t="str">
        <x:v>0010100010</x:v>
      </x:c>
    </x:row>
    <x:row r="999" ht="18" customHeight="1">
      <x:c r="A999" s="2" t="str">
        <x:v>controlled_n5_weather_capacity_loss_2</x:v>
      </x:c>
      <x:c r="B999" s="2" t="str">
        <x:v>BPSO</x:v>
      </x:c>
      <x:c r="C999" s="2" t="n">
        <x:v>789</x:v>
      </x:c>
      <x:c r="D999" s="2" t="str">
        <x:v>success</x:v>
      </x:c>
      <x:c r="E999" s="2" t="n">
        <x:v>10</x:v>
      </x:c>
      <x:c r="F999" s="7" t="n">
        <x:v>68.75000000000001</x:v>
      </x:c>
      <x:c r="G999" s="7" t="n">
        <x:v>96.875</x:v>
      </x:c>
      <x:c r="H999" s="7" t="n">
        <x:f>IF(F999=0,"n.a.",100*(F999-G999)/F999)</x:f>
        <x:v>-40.90909090909088</x:v>
      </x:c>
      <x:c r="I999" s="7" t="n">
        <x:f>F999-G999</x:f>
        <x:v>-28.124999999999986</x:v>
      </x:c>
      <x:c r="J999" s="8" t="n">
        <x:v>3.0830376707477347</x:v>
      </x:c>
      <x:c r="K999" s="8" t="n">
        <x:v>3.0830376707477347</x:v>
      </x:c>
      <x:c r="L999" s="8" t="n">
        <x:v>0</x:v>
      </x:c>
      <x:c r="M999" s="7" t="n">
        <x:v>20.869200001470745</x:v>
      </x:c>
      <x:c r="N999" s="2" t="str">
        <x:v>repository_particle_dynamics_on_frozen_qubo</x:v>
      </x:c>
      <x:c r="O999" s="9" t="str">
        <x:v>0011000010</x:v>
      </x:c>
    </x:row>
    <x:row r="1000" ht="18" customHeight="1">
      <x:c r="A1000" s="2" t="str">
        <x:v>controlled_n5_weather_capacity_loss_2</x:v>
      </x:c>
      <x:c r="B1000" s="2" t="str">
        <x:v>QAOA</x:v>
      </x:c>
      <x:c r="C1000" s="2" t="n">
        <x:v>789</x:v>
      </x:c>
      <x:c r="D1000" s="2" t="str">
        <x:v>success</x:v>
      </x:c>
      <x:c r="E1000" s="2" t="n">
        <x:v>10</x:v>
      </x:c>
      <x:c r="F1000" s="7" t="n">
        <x:v>68.75000000000001</x:v>
      </x:c>
      <x:c r="G1000" s="7" t="n">
        <x:v>96.875</x:v>
      </x:c>
      <x:c r="H1000" s="7" t="n">
        <x:f>IF(F1000=0,"n.a.",100*(F1000-G1000)/F1000)</x:f>
        <x:v>-40.90909090909088</x:v>
      </x:c>
      <x:c r="I1000" s="7" t="n">
        <x:f>F1000-G1000</x:f>
        <x:v>-28.124999999999986</x:v>
      </x:c>
      <x:c r="J1000" s="8" t="n">
        <x:v>3.0830376707477347</x:v>
      </x:c>
      <x:c r="K1000" s="8" t="n">
        <x:v>3.0830376707477347</x:v>
      </x:c>
      <x:c r="L1000" s="8" t="n">
        <x:v>0</x:v>
      </x:c>
      <x:c r="M1000" s="7" t="n">
        <x:v>744.292300005327</x:v>
      </x:c>
      <x:c r="N1000" s="2" t="str">
        <x:v>qiskit.primitives.StatevectorSampler</x:v>
      </x:c>
      <x:c r="O1000" s="9" t="str">
        <x:v>0011000100</x:v>
      </x:c>
    </x:row>
    <x:row r="1001" ht="18" customHeight="1">
      <x:c r="A1001" s="2" t="str">
        <x:v>controlled_n5_weather_capacity_loss_2</x:v>
      </x:c>
      <x:c r="B1001" s="2" t="str">
        <x:v>BPSO</x:v>
      </x:c>
      <x:c r="C1001" s="2" t="n">
        <x:v>2026</x:v>
      </x:c>
      <x:c r="D1001" s="2" t="str">
        <x:v>success</x:v>
      </x:c>
      <x:c r="E1001" s="2" t="n">
        <x:v>10</x:v>
      </x:c>
      <x:c r="F1001" s="7" t="n">
        <x:v>68.75000000000001</x:v>
      </x:c>
      <x:c r="G1001" s="7" t="n">
        <x:v>96.875</x:v>
      </x:c>
      <x:c r="H1001" s="7" t="n">
        <x:f>IF(F1001=0,"n.a.",100*(F1001-G1001)/F1001)</x:f>
        <x:v>-40.90909090909088</x:v>
      </x:c>
      <x:c r="I1001" s="7" t="n">
        <x:f>F1001-G1001</x:f>
        <x:v>-28.124999999999986</x:v>
      </x:c>
      <x:c r="J1001" s="8" t="n">
        <x:v>3.0830376707477347</x:v>
      </x:c>
      <x:c r="K1001" s="8" t="n">
        <x:v>3.0830376707477347</x:v>
      </x:c>
      <x:c r="L1001" s="8" t="n">
        <x:v>0</x:v>
      </x:c>
      <x:c r="M1001" s="7" t="n">
        <x:v>20.646100005251355</x:v>
      </x:c>
      <x:c r="N1001" s="2" t="str">
        <x:v>repository_particle_dynamics_on_frozen_qubo</x:v>
      </x:c>
      <x:c r="O1001" s="9" t="str">
        <x:v>1001000100</x:v>
      </x:c>
    </x:row>
    <x:row r="1002" ht="18" customHeight="1">
      <x:c r="A1002" s="2" t="str">
        <x:v>controlled_n5_weather_capacity_loss_2</x:v>
      </x:c>
      <x:c r="B1002" s="2" t="str">
        <x:v>QAOA</x:v>
      </x:c>
      <x:c r="C1002" s="2" t="n">
        <x:v>2026</x:v>
      </x:c>
      <x:c r="D1002" s="2" t="str">
        <x:v>success</x:v>
      </x:c>
      <x:c r="E1002" s="2" t="n">
        <x:v>10</x:v>
      </x:c>
      <x:c r="F1002" s="7" t="n">
        <x:v>68.75000000000001</x:v>
      </x:c>
      <x:c r="G1002" s="7" t="n">
        <x:v>96.875</x:v>
      </x:c>
      <x:c r="H1002" s="7" t="n">
        <x:f>IF(F1002=0,"n.a.",100*(F1002-G1002)/F1002)</x:f>
        <x:v>-40.90909090909088</x:v>
      </x:c>
      <x:c r="I1002" s="7" t="n">
        <x:f>F1002-G1002</x:f>
        <x:v>-28.124999999999986</x:v>
      </x:c>
      <x:c r="J1002" s="8" t="n">
        <x:v>3.0830376707477347</x:v>
      </x:c>
      <x:c r="K1002" s="8" t="n">
        <x:v>3.0830376707477347</x:v>
      </x:c>
      <x:c r="L1002" s="8" t="n">
        <x:v>0</x:v>
      </x:c>
      <x:c r="M1002" s="7" t="n">
        <x:v>647.8103999979794</x:v>
      </x:c>
      <x:c r="N1002" s="2" t="str">
        <x:v>qiskit.primitives.StatevectorSampler</x:v>
      </x:c>
      <x:c r="O1002" s="9" t="str">
        <x:v>0011000100</x:v>
      </x:c>
    </x:row>
    <x:row r="1003" ht="18" customHeight="1">
      <x:c r="A1003" s="2" t="str">
        <x:v>controlled_n5_weather_capacity_loss_3</x:v>
      </x:c>
      <x:c r="B1003" s="2" t="str">
        <x:v>Unmanaged</x:v>
      </x:c>
      <x:c r="C1003" s="2"/>
      <x:c r="D1003" s="2" t="str">
        <x:v>baseline</x:v>
      </x:c>
      <x:c r="E1003" s="2" t="n">
        <x:v>10</x:v>
      </x:c>
      <x:c r="F1003" s="7" t="n">
        <x:v>91.66666666666667</x:v>
      </x:c>
      <x:c r="G1003" s="7" t="n">
        <x:v>91.66666666666667</x:v>
      </x:c>
      <x:c r="H1003" s="7" t="n">
        <x:f>IF(F1003=0,"n.a.",100*(F1003-G1003)/F1003)</x:f>
        <x:v>0</x:v>
      </x:c>
      <x:c r="I1003" s="7" t="n">
        <x:f>F1003-G1003</x:f>
        <x:v>0</x:v>
      </x:c>
      <x:c r="J1003" s="8"/>
      <x:c r="K1003" s="8" t="n">
        <x:v>12.422703872492285</x:v>
      </x:c>
      <x:c r="L1003" s="8"/>
      <x:c r="M1003" s="7"/>
      <x:c r="N1003" s="2" t="str">
        <x:v>unmanaged_input</x:v>
      </x:c>
      <x:c r="O1003" s="9"/>
    </x:row>
    <x:row r="1004" ht="18" customHeight="1">
      <x:c r="A1004" s="2" t="str">
        <x:v>controlled_n5_weather_capacity_loss_3</x:v>
      </x:c>
      <x:c r="B1004" s="2" t="str">
        <x:v>Exact J</x:v>
      </x:c>
      <x:c r="C1004" s="2"/>
      <x:c r="D1004" s="2" t="str">
        <x:v>success</x:v>
      </x:c>
      <x:c r="E1004" s="2" t="n">
        <x:v>10</x:v>
      </x:c>
      <x:c r="F1004" s="7" t="n">
        <x:v>91.66666666666667</x:v>
      </x:c>
      <x:c r="G1004" s="7" t="n">
        <x:v>154.16666666666669</x:v>
      </x:c>
      <x:c r="H1004" s="7" t="n">
        <x:f>IF(F1004=0,"n.a.",100*(F1004-G1004)/F1004)</x:f>
        <x:v>-68.1818181818182</x:v>
      </x:c>
      <x:c r="I1004" s="7" t="n">
        <x:f>F1004-G1004</x:f>
        <x:v>-62.500000000000014</x:v>
      </x:c>
      <x:c r="J1004" s="8" t="n">
        <x:v>12.422703872492287</x:v>
      </x:c>
      <x:c r="K1004" s="8" t="n">
        <x:v>12.422703872492285</x:v>
      </x:c>
      <x:c r="L1004" s="8" t="n">
        <x:v>1.7763568394002505e-15</x:v>
      </x:c>
      <x:c r="M1004" s="7"/>
      <x:c r="N1004" s="2" t="str">
        <x:v>exhaustive_enumeration</x:v>
      </x:c>
      <x:c r="O1004" s="9" t="str">
        <x:v>0001000100</x:v>
      </x:c>
    </x:row>
    <x:row r="1005" ht="18" customHeight="1">
      <x:c r="A1005" s="2" t="str">
        <x:v>controlled_n5_weather_capacity_loss_3</x:v>
      </x:c>
      <x:c r="B1005" s="2" t="str">
        <x:v>Exact peak</x:v>
      </x:c>
      <x:c r="C1005" s="2"/>
      <x:c r="D1005" s="2" t="str">
        <x:v>success</x:v>
      </x:c>
      <x:c r="E1005" s="2" t="n">
        <x:v>10</x:v>
      </x:c>
      <x:c r="F1005" s="7" t="n">
        <x:v>91.66666666666667</x:v>
      </x:c>
      <x:c r="G1005" s="7" t="n">
        <x:v>138.54166666666669</x:v>
      </x:c>
      <x:c r="H1005" s="7" t="n">
        <x:f>IF(F1005=0,"n.a.",100*(F1005-G1005)/F1005)</x:f>
        <x:v>-51.136363636363654</x:v>
      </x:c>
      <x:c r="I1005" s="7" t="n">
        <x:f>F1005-G1005</x:f>
        <x:v>-46.875000000000014</x:v>
      </x:c>
      <x:c r="J1005" s="8" t="n">
        <x:v>13.432153353802299</x:v>
      </x:c>
      <x:c r="K1005" s="8" t="n">
        <x:v>12.422703872492285</x:v>
      </x:c>
      <x:c r="L1005" s="8" t="n">
        <x:v>1.009449481310014</x:v>
      </x:c>
      <x:c r="M1005" s="7"/>
      <x:c r="N1005" s="2" t="str">
        <x:v>exhaustive_enumeration</x:v>
      </x:c>
      <x:c r="O1005" s="9" t="str">
        <x:v>0001011100</x:v>
      </x:c>
    </x:row>
    <x:row r="1006" ht="18" customHeight="1">
      <x:c r="A1006" s="2" t="str">
        <x:v>controlled_n5_weather_capacity_loss_3</x:v>
      </x:c>
      <x:c r="B1006" s="2" t="str">
        <x:v>BPSO</x:v>
      </x:c>
      <x:c r="C1006" s="2" t="n">
        <x:v>42</x:v>
      </x:c>
      <x:c r="D1006" s="2" t="str">
        <x:v>success</x:v>
      </x:c>
      <x:c r="E1006" s="2" t="n">
        <x:v>10</x:v>
      </x:c>
      <x:c r="F1006" s="7" t="n">
        <x:v>91.66666666666667</x:v>
      </x:c>
      <x:c r="G1006" s="7" t="n">
        <x:v>154.16666666666669</x:v>
      </x:c>
      <x:c r="H1006" s="7" t="n">
        <x:f>IF(F1006=0,"n.a.",100*(F1006-G1006)/F1006)</x:f>
        <x:v>-68.1818181818182</x:v>
      </x:c>
      <x:c r="I1006" s="7" t="n">
        <x:f>F1006-G1006</x:f>
        <x:v>-62.500000000000014</x:v>
      </x:c>
      <x:c r="J1006" s="8" t="n">
        <x:v>12.422703872492285</x:v>
      </x:c>
      <x:c r="K1006" s="8" t="n">
        <x:v>12.422703872492285</x:v>
      </x:c>
      <x:c r="L1006" s="8" t="n">
        <x:v>0</x:v>
      </x:c>
      <x:c r="M1006" s="7" t="n">
        <x:v>20.249900000635535</x:v>
      </x:c>
      <x:c r="N1006" s="2" t="str">
        <x:v>repository_particle_dynamics_on_frozen_qubo</x:v>
      </x:c>
      <x:c r="O1006" s="9" t="str">
        <x:v>1100000001</x:v>
      </x:c>
    </x:row>
    <x:row r="1007" ht="18" customHeight="1">
      <x:c r="A1007" s="2" t="str">
        <x:v>controlled_n5_weather_capacity_loss_3</x:v>
      </x:c>
      <x:c r="B1007" s="2" t="str">
        <x:v>QAOA</x:v>
      </x:c>
      <x:c r="C1007" s="2" t="n">
        <x:v>42</x:v>
      </x:c>
      <x:c r="D1007" s="2" t="str">
        <x:v>success</x:v>
      </x:c>
      <x:c r="E1007" s="2" t="n">
        <x:v>10</x:v>
      </x:c>
      <x:c r="F1007" s="7" t="n">
        <x:v>91.66666666666667</x:v>
      </x:c>
      <x:c r="G1007" s="7" t="n">
        <x:v>154.16666666666669</x:v>
      </x:c>
      <x:c r="H1007" s="7" t="n">
        <x:f>IF(F1007=0,"n.a.",100*(F1007-G1007)/F1007)</x:f>
        <x:v>-68.1818181818182</x:v>
      </x:c>
      <x:c r="I1007" s="7" t="n">
        <x:f>F1007-G1007</x:f>
        <x:v>-62.500000000000014</x:v>
      </x:c>
      <x:c r="J1007" s="8" t="n">
        <x:v>12.422703872492285</x:v>
      </x:c>
      <x:c r="K1007" s="8" t="n">
        <x:v>12.422703872492285</x:v>
      </x:c>
      <x:c r="L1007" s="8" t="n">
        <x:v>0</x:v>
      </x:c>
      <x:c r="M1007" s="7" t="n">
        <x:v>730.0137999991421</x:v>
      </x:c>
      <x:c r="N1007" s="2" t="str">
        <x:v>qiskit.primitives.StatevectorSampler</x:v>
      </x:c>
      <x:c r="O1007" s="9" t="str">
        <x:v>1010000010</x:v>
      </x:c>
    </x:row>
    <x:row r="1008" ht="18" customHeight="1">
      <x:c r="A1008" s="2" t="str">
        <x:v>controlled_n5_weather_capacity_loss_3</x:v>
      </x:c>
      <x:c r="B1008" s="2" t="str">
        <x:v>BPSO</x:v>
      </x:c>
      <x:c r="C1008" s="2" t="n">
        <x:v>123</x:v>
      </x:c>
      <x:c r="D1008" s="2" t="str">
        <x:v>success</x:v>
      </x:c>
      <x:c r="E1008" s="2" t="n">
        <x:v>10</x:v>
      </x:c>
      <x:c r="F1008" s="7" t="n">
        <x:v>91.66666666666667</x:v>
      </x:c>
      <x:c r="G1008" s="7" t="n">
        <x:v>154.16666666666669</x:v>
      </x:c>
      <x:c r="H1008" s="7" t="n">
        <x:f>IF(F1008=0,"n.a.",100*(F1008-G1008)/F1008)</x:f>
        <x:v>-68.1818181818182</x:v>
      </x:c>
      <x:c r="I1008" s="7" t="n">
        <x:f>F1008-G1008</x:f>
        <x:v>-62.500000000000014</x:v>
      </x:c>
      <x:c r="J1008" s="8" t="n">
        <x:v>12.422703872492285</x:v>
      </x:c>
      <x:c r="K1008" s="8" t="n">
        <x:v>12.422703872492285</x:v>
      </x:c>
      <x:c r="L1008" s="8" t="n">
        <x:v>0</x:v>
      </x:c>
      <x:c r="M1008" s="7" t="n">
        <x:v>21.489400009159</x:v>
      </x:c>
      <x:c r="N1008" s="2" t="str">
        <x:v>repository_particle_dynamics_on_frozen_qubo</x:v>
      </x:c>
      <x:c r="O1008" s="9" t="str">
        <x:v>0101000010</x:v>
      </x:c>
    </x:row>
    <x:row r="1009" ht="18" customHeight="1">
      <x:c r="A1009" s="2" t="str">
        <x:v>controlled_n5_weather_capacity_loss_3</x:v>
      </x:c>
      <x:c r="B1009" s="2" t="str">
        <x:v>QAOA</x:v>
      </x:c>
      <x:c r="C1009" s="2" t="n">
        <x:v>123</x:v>
      </x:c>
      <x:c r="D1009" s="2" t="str">
        <x:v>success</x:v>
      </x:c>
      <x:c r="E1009" s="2" t="n">
        <x:v>10</x:v>
      </x:c>
      <x:c r="F1009" s="7" t="n">
        <x:v>91.66666666666667</x:v>
      </x:c>
      <x:c r="G1009" s="7" t="n">
        <x:v>154.16666666666669</x:v>
      </x:c>
      <x:c r="H1009" s="7" t="n">
        <x:f>IF(F1009=0,"n.a.",100*(F1009-G1009)/F1009)</x:f>
        <x:v>-68.1818181818182</x:v>
      </x:c>
      <x:c r="I1009" s="7" t="n">
        <x:f>F1009-G1009</x:f>
        <x:v>-62.500000000000014</x:v>
      </x:c>
      <x:c r="J1009" s="8" t="n">
        <x:v>12.422703872492285</x:v>
      </x:c>
      <x:c r="K1009" s="8" t="n">
        <x:v>12.422703872492285</x:v>
      </x:c>
      <x:c r="L1009" s="8" t="n">
        <x:v>0</x:v>
      </x:c>
      <x:c r="M1009" s="7" t="n">
        <x:v>531.7408999981126</x:v>
      </x:c>
      <x:c r="N1009" s="2" t="str">
        <x:v>qiskit.primitives.StatevectorSampler</x:v>
      </x:c>
      <x:c r="O1009" s="9" t="str">
        <x:v>1001000001</x:v>
      </x:c>
    </x:row>
    <x:row r="1010" ht="18" customHeight="1">
      <x:c r="A1010" s="2" t="str">
        <x:v>controlled_n5_weather_capacity_loss_3</x:v>
      </x:c>
      <x:c r="B1010" s="2" t="str">
        <x:v>BPSO</x:v>
      </x:c>
      <x:c r="C1010" s="2" t="n">
        <x:v>456</x:v>
      </x:c>
      <x:c r="D1010" s="2" t="str">
        <x:v>success</x:v>
      </x:c>
      <x:c r="E1010" s="2" t="n">
        <x:v>10</x:v>
      </x:c>
      <x:c r="F1010" s="7" t="n">
        <x:v>91.66666666666667</x:v>
      </x:c>
      <x:c r="G1010" s="7" t="n">
        <x:v>154.16666666666669</x:v>
      </x:c>
      <x:c r="H1010" s="7" t="n">
        <x:f>IF(F1010=0,"n.a.",100*(F1010-G1010)/F1010)</x:f>
        <x:v>-68.1818181818182</x:v>
      </x:c>
      <x:c r="I1010" s="7" t="n">
        <x:f>F1010-G1010</x:f>
        <x:v>-62.500000000000014</x:v>
      </x:c>
      <x:c r="J1010" s="8" t="n">
        <x:v>12.422703872492285</x:v>
      </x:c>
      <x:c r="K1010" s="8" t="n">
        <x:v>12.422703872492285</x:v>
      </x:c>
      <x:c r="L1010" s="8" t="n">
        <x:v>0</x:v>
      </x:c>
      <x:c r="M1010" s="7" t="n">
        <x:v>20.662900002207607</x:v>
      </x:c>
      <x:c r="N1010" s="2" t="str">
        <x:v>repository_particle_dynamics_on_frozen_qubo</x:v>
      </x:c>
      <x:c r="O1010" s="9" t="str">
        <x:v>1001000001</x:v>
      </x:c>
    </x:row>
    <x:row r="1011" ht="18" customHeight="1">
      <x:c r="A1011" s="2" t="str">
        <x:v>controlled_n5_weather_capacity_loss_3</x:v>
      </x:c>
      <x:c r="B1011" s="2" t="str">
        <x:v>QAOA</x:v>
      </x:c>
      <x:c r="C1011" s="2" t="n">
        <x:v>456</x:v>
      </x:c>
      <x:c r="D1011" s="2" t="str">
        <x:v>success</x:v>
      </x:c>
      <x:c r="E1011" s="2" t="n">
        <x:v>10</x:v>
      </x:c>
      <x:c r="F1011" s="7" t="n">
        <x:v>91.66666666666667</x:v>
      </x:c>
      <x:c r="G1011" s="7" t="n">
        <x:v>154.16666666666669</x:v>
      </x:c>
      <x:c r="H1011" s="7" t="n">
        <x:f>IF(F1011=0,"n.a.",100*(F1011-G1011)/F1011)</x:f>
        <x:v>-68.1818181818182</x:v>
      </x:c>
      <x:c r="I1011" s="7" t="n">
        <x:f>F1011-G1011</x:f>
        <x:v>-62.500000000000014</x:v>
      </x:c>
      <x:c r="J1011" s="8" t="n">
        <x:v>12.422703872492285</x:v>
      </x:c>
      <x:c r="K1011" s="8" t="n">
        <x:v>12.422703872492285</x:v>
      </x:c>
      <x:c r="L1011" s="8" t="n">
        <x:v>0</x:v>
      </x:c>
      <x:c r="M1011" s="7" t="n">
        <x:v>743.6238000082085</x:v>
      </x:c>
      <x:c r="N1011" s="2" t="str">
        <x:v>qiskit.primitives.StatevectorSampler</x:v>
      </x:c>
      <x:c r="O1011" s="9" t="str">
        <x:v>0011000010</x:v>
      </x:c>
    </x:row>
    <x:row r="1012" ht="18" customHeight="1">
      <x:c r="A1012" s="2" t="str">
        <x:v>controlled_n5_weather_capacity_loss_3</x:v>
      </x:c>
      <x:c r="B1012" s="2" t="str">
        <x:v>BPSO</x:v>
      </x:c>
      <x:c r="C1012" s="2" t="n">
        <x:v>789</x:v>
      </x:c>
      <x:c r="D1012" s="2" t="str">
        <x:v>success</x:v>
      </x:c>
      <x:c r="E1012" s="2" t="n">
        <x:v>10</x:v>
      </x:c>
      <x:c r="F1012" s="7" t="n">
        <x:v>91.66666666666667</x:v>
      </x:c>
      <x:c r="G1012" s="7" t="n">
        <x:v>154.16666666666669</x:v>
      </x:c>
      <x:c r="H1012" s="7" t="n">
        <x:f>IF(F1012=0,"n.a.",100*(F1012-G1012)/F1012)</x:f>
        <x:v>-68.1818181818182</x:v>
      </x:c>
      <x:c r="I1012" s="7" t="n">
        <x:f>F1012-G1012</x:f>
        <x:v>-62.500000000000014</x:v>
      </x:c>
      <x:c r="J1012" s="8" t="n">
        <x:v>12.422703872492285</x:v>
      </x:c>
      <x:c r="K1012" s="8" t="n">
        <x:v>12.422703872492285</x:v>
      </x:c>
      <x:c r="L1012" s="8" t="n">
        <x:v>0</x:v>
      </x:c>
      <x:c r="M1012" s="7" t="n">
        <x:v>20.903500000713393</x:v>
      </x:c>
      <x:c r="N1012" s="2" t="str">
        <x:v>repository_particle_dynamics_on_frozen_qubo</x:v>
      </x:c>
      <x:c r="O1012" s="9" t="str">
        <x:v>0011000010</x:v>
      </x:c>
    </x:row>
    <x:row r="1013" ht="18" customHeight="1">
      <x:c r="A1013" s="2" t="str">
        <x:v>controlled_n5_weather_capacity_loss_3</x:v>
      </x:c>
      <x:c r="B1013" s="2" t="str">
        <x:v>QAOA</x:v>
      </x:c>
      <x:c r="C1013" s="2" t="n">
        <x:v>789</x:v>
      </x:c>
      <x:c r="D1013" s="2" t="str">
        <x:v>success</x:v>
      </x:c>
      <x:c r="E1013" s="2" t="n">
        <x:v>10</x:v>
      </x:c>
      <x:c r="F1013" s="7" t="n">
        <x:v>91.66666666666667</x:v>
      </x:c>
      <x:c r="G1013" s="7" t="n">
        <x:v>154.16666666666669</x:v>
      </x:c>
      <x:c r="H1013" s="7" t="n">
        <x:f>IF(F1013=0,"n.a.",100*(F1013-G1013)/F1013)</x:f>
        <x:v>-68.1818181818182</x:v>
      </x:c>
      <x:c r="I1013" s="7" t="n">
        <x:f>F1013-G1013</x:f>
        <x:v>-62.500000000000014</x:v>
      </x:c>
      <x:c r="J1013" s="8" t="n">
        <x:v>12.422703872492285</x:v>
      </x:c>
      <x:c r="K1013" s="8" t="n">
        <x:v>12.422703872492285</x:v>
      </x:c>
      <x:c r="L1013" s="8" t="n">
        <x:v>0</x:v>
      </x:c>
      <x:c r="M1013" s="7" t="n">
        <x:v>804.6605999988969</x:v>
      </x:c>
      <x:c r="N1013" s="2" t="str">
        <x:v>qiskit.primitives.StatevectorSampler</x:v>
      </x:c>
      <x:c r="O1013" s="9" t="str">
        <x:v>1001000001</x:v>
      </x:c>
    </x:row>
    <x:row r="1014" ht="18" customHeight="1">
      <x:c r="A1014" s="2" t="str">
        <x:v>controlled_n5_weather_capacity_loss_3</x:v>
      </x:c>
      <x:c r="B1014" s="2" t="str">
        <x:v>BPSO</x:v>
      </x:c>
      <x:c r="C1014" s="2" t="n">
        <x:v>2026</x:v>
      </x:c>
      <x:c r="D1014" s="2" t="str">
        <x:v>success</x:v>
      </x:c>
      <x:c r="E1014" s="2" t="n">
        <x:v>10</x:v>
      </x:c>
      <x:c r="F1014" s="7" t="n">
        <x:v>91.66666666666667</x:v>
      </x:c>
      <x:c r="G1014" s="7" t="n">
        <x:v>154.16666666666669</x:v>
      </x:c>
      <x:c r="H1014" s="7" t="n">
        <x:f>IF(F1014=0,"n.a.",100*(F1014-G1014)/F1014)</x:f>
        <x:v>-68.1818181818182</x:v>
      </x:c>
      <x:c r="I1014" s="7" t="n">
        <x:f>F1014-G1014</x:f>
        <x:v>-62.500000000000014</x:v>
      </x:c>
      <x:c r="J1014" s="8" t="n">
        <x:v>12.422703872492285</x:v>
      </x:c>
      <x:c r="K1014" s="8" t="n">
        <x:v>12.422703872492285</x:v>
      </x:c>
      <x:c r="L1014" s="8" t="n">
        <x:v>0</x:v>
      </x:c>
      <x:c r="M1014" s="7" t="n">
        <x:v>20.518799996352755</x:v>
      </x:c>
      <x:c r="N1014" s="2" t="str">
        <x:v>repository_particle_dynamics_on_frozen_qubo</x:v>
      </x:c>
      <x:c r="O1014" s="9" t="str">
        <x:v>1010000001</x:v>
      </x:c>
    </x:row>
    <x:row r="1015" ht="18" customHeight="1">
      <x:c r="A1015" s="2" t="str">
        <x:v>controlled_n5_weather_capacity_loss_3</x:v>
      </x:c>
      <x:c r="B1015" s="2" t="str">
        <x:v>QAOA</x:v>
      </x:c>
      <x:c r="C1015" s="2" t="n">
        <x:v>2026</x:v>
      </x:c>
      <x:c r="D1015" s="2" t="str">
        <x:v>success</x:v>
      </x:c>
      <x:c r="E1015" s="2" t="n">
        <x:v>10</x:v>
      </x:c>
      <x:c r="F1015" s="7" t="n">
        <x:v>91.66666666666667</x:v>
      </x:c>
      <x:c r="G1015" s="7" t="n">
        <x:v>154.16666666666669</x:v>
      </x:c>
      <x:c r="H1015" s="7" t="n">
        <x:f>IF(F1015=0,"n.a.",100*(F1015-G1015)/F1015)</x:f>
        <x:v>-68.1818181818182</x:v>
      </x:c>
      <x:c r="I1015" s="7" t="n">
        <x:f>F1015-G1015</x:f>
        <x:v>-62.500000000000014</x:v>
      </x:c>
      <x:c r="J1015" s="8" t="n">
        <x:v>12.422703872492285</x:v>
      </x:c>
      <x:c r="K1015" s="8" t="n">
        <x:v>12.422703872492285</x:v>
      </x:c>
      <x:c r="L1015" s="8" t="n">
        <x:v>0</x:v>
      </x:c>
      <x:c r="M1015" s="7" t="n">
        <x:v>668.604199992842</x:v>
      </x:c>
      <x:c r="N1015" s="2" t="str">
        <x:v>qiskit.primitives.StatevectorSampler</x:v>
      </x:c>
      <x:c r="O1015" s="9" t="str">
        <x:v>1001000001</x:v>
      </x:c>
    </x:row>
    <x:row r="1016" ht="18" customHeight="1">
      <x:c r="A1016" s="2" t="str">
        <x:v>legacy_n6_01</x:v>
      </x:c>
      <x:c r="B1016" s="2" t="str">
        <x:v>Unmanaged</x:v>
      </x:c>
      <x:c r="C1016" s="2"/>
      <x:c r="D1016" s="2" t="str">
        <x:v>baseline</x:v>
      </x:c>
      <x:c r="E1016" s="2" t="n">
        <x:v>5</x:v>
      </x:c>
      <x:c r="F1016" s="7" t="n">
        <x:v>81.13749999999999</x:v>
      </x:c>
      <x:c r="G1016" s="7" t="n">
        <x:v>81.13749999999999</x:v>
      </x:c>
      <x:c r="H1016" s="7" t="n">
        <x:f>IF(F1016=0,"n.a.",100*(F1016-G1016)/F1016)</x:f>
        <x:v>0</x:v>
      </x:c>
      <x:c r="I1016" s="7" t="n">
        <x:f>F1016-G1016</x:f>
        <x:v>0</x:v>
      </x:c>
      <x:c r="J1016" s="8"/>
      <x:c r="K1016" s="8" t="n">
        <x:v>0.4763785176668738</x:v>
      </x:c>
      <x:c r="L1016" s="8"/>
      <x:c r="M1016" s="7"/>
      <x:c r="N1016" s="2" t="str">
        <x:v>unmanaged_input</x:v>
      </x:c>
      <x:c r="O1016" s="9"/>
    </x:row>
    <x:row r="1017" ht="18" customHeight="1">
      <x:c r="A1017" s="2" t="str">
        <x:v>legacy_n6_01</x:v>
      </x:c>
      <x:c r="B1017" s="2" t="str">
        <x:v>Exact J</x:v>
      </x:c>
      <x:c r="C1017" s="2"/>
      <x:c r="D1017" s="2" t="str">
        <x:v>success</x:v>
      </x:c>
      <x:c r="E1017" s="2" t="n">
        <x:v>5</x:v>
      </x:c>
      <x:c r="F1017" s="7" t="n">
        <x:v>81.13749999999999</x:v>
      </x:c>
      <x:c r="G1017" s="7" t="n">
        <x:v>58.469565217391306</x:v>
      </x:c>
      <x:c r="H1017" s="7" t="n">
        <x:f>IF(F1017=0,"n.a.",100*(F1017-G1017)/F1017)</x:f>
        <x:v>27.937679596498146</x:v>
      </x:c>
      <x:c r="I1017" s="7" t="n">
        <x:f>F1017-G1017</x:f>
        <x:v>22.667934782608683</x:v>
      </x:c>
      <x:c r="J1017" s="8" t="n">
        <x:v>0.4763785176668738</x:v>
      </x:c>
      <x:c r="K1017" s="8" t="n">
        <x:v>0.4763785176668738</x:v>
      </x:c>
      <x:c r="L1017" s="8" t="n">
        <x:v>0</x:v>
      </x:c>
      <x:c r="M1017" s="7"/>
      <x:c r="N1017" s="2" t="str">
        <x:v>exhaustive_enumeration</x:v>
      </x:c>
      <x:c r="O1017" s="9" t="str">
        <x:v>00011</x:v>
      </x:c>
    </x:row>
    <x:row r="1018" ht="18" customHeight="1">
      <x:c r="A1018" s="2" t="str">
        <x:v>legacy_n6_01</x:v>
      </x:c>
      <x:c r="B1018" s="2" t="str">
        <x:v>Exact peak</x:v>
      </x:c>
      <x:c r="C1018" s="2"/>
      <x:c r="D1018" s="2" t="str">
        <x:v>success</x:v>
      </x:c>
      <x:c r="E1018" s="2" t="n">
        <x:v>5</x:v>
      </x:c>
      <x:c r="F1018" s="7" t="n">
        <x:v>81.13749999999999</x:v>
      </x:c>
      <x:c r="G1018" s="7" t="n">
        <x:v>58.469565217391306</x:v>
      </x:c>
      <x:c r="H1018" s="7" t="n">
        <x:f>IF(F1018=0,"n.a.",100*(F1018-G1018)/F1018)</x:f>
        <x:v>27.937679596498146</x:v>
      </x:c>
      <x:c r="I1018" s="7" t="n">
        <x:f>F1018-G1018</x:f>
        <x:v>22.667934782608683</x:v>
      </x:c>
      <x:c r="J1018" s="8" t="n">
        <x:v>0.4763785176668738</x:v>
      </x:c>
      <x:c r="K1018" s="8" t="n">
        <x:v>0.4763785176668738</x:v>
      </x:c>
      <x:c r="L1018" s="8" t="n">
        <x:v>0</x:v>
      </x:c>
      <x:c r="M1018" s="7"/>
      <x:c r="N1018" s="2" t="str">
        <x:v>exhaustive_enumeration</x:v>
      </x:c>
      <x:c r="O1018" s="9" t="str">
        <x:v>00011</x:v>
      </x:c>
    </x:row>
    <x:row r="1019" ht="18" customHeight="1">
      <x:c r="A1019" s="2" t="str">
        <x:v>legacy_n6_01</x:v>
      </x:c>
      <x:c r="B1019" s="2" t="str">
        <x:v>BPSO</x:v>
      </x:c>
      <x:c r="C1019" s="2" t="n">
        <x:v>42</x:v>
      </x:c>
      <x:c r="D1019" s="2" t="str">
        <x:v>success</x:v>
      </x:c>
      <x:c r="E1019" s="2" t="n">
        <x:v>5</x:v>
      </x:c>
      <x:c r="F1019" s="7" t="n">
        <x:v>81.13749999999999</x:v>
      </x:c>
      <x:c r="G1019" s="7" t="n">
        <x:v>58.469565217391306</x:v>
      </x:c>
      <x:c r="H1019" s="7" t="n">
        <x:f>IF(F1019=0,"n.a.",100*(F1019-G1019)/F1019)</x:f>
        <x:v>27.937679596498146</x:v>
      </x:c>
      <x:c r="I1019" s="7" t="n">
        <x:f>F1019-G1019</x:f>
        <x:v>22.667934782608683</x:v>
      </x:c>
      <x:c r="J1019" s="8" t="n">
        <x:v>0.4763785176668738</x:v>
      </x:c>
      <x:c r="K1019" s="8" t="n">
        <x:v>0.4763785176668738</x:v>
      </x:c>
      <x:c r="L1019" s="8" t="n">
        <x:v>0</x:v>
      </x:c>
      <x:c r="M1019" s="7" t="n">
        <x:v>16.391799988923594</x:v>
      </x:c>
      <x:c r="N1019" s="2" t="str">
        <x:v>repository_particle_dynamics_on_frozen_qubo</x:v>
      </x:c>
      <x:c r="O1019" s="9" t="str">
        <x:v>11000</x:v>
      </x:c>
    </x:row>
    <x:row r="1020" ht="18" customHeight="1">
      <x:c r="A1020" s="2" t="str">
        <x:v>legacy_n6_01</x:v>
      </x:c>
      <x:c r="B1020" s="2" t="str">
        <x:v>QAOA</x:v>
      </x:c>
      <x:c r="C1020" s="2" t="n">
        <x:v>42</x:v>
      </x:c>
      <x:c r="D1020" s="2" t="str">
        <x:v>success</x:v>
      </x:c>
      <x:c r="E1020" s="2" t="n">
        <x:v>5</x:v>
      </x:c>
      <x:c r="F1020" s="7" t="n">
        <x:v>81.13749999999999</x:v>
      </x:c>
      <x:c r="G1020" s="7" t="n">
        <x:v>58.469565217391306</x:v>
      </x:c>
      <x:c r="H1020" s="7" t="n">
        <x:f>IF(F1020=0,"n.a.",100*(F1020-G1020)/F1020)</x:f>
        <x:v>27.937679596498146</x:v>
      </x:c>
      <x:c r="I1020" s="7" t="n">
        <x:f>F1020-G1020</x:f>
        <x:v>22.667934782608683</x:v>
      </x:c>
      <x:c r="J1020" s="8" t="n">
        <x:v>0.4763785176668738</x:v>
      </x:c>
      <x:c r="K1020" s="8" t="n">
        <x:v>0.4763785176668738</x:v>
      </x:c>
      <x:c r="L1020" s="8" t="n">
        <x:v>0</x:v>
      </x:c>
      <x:c r="M1020" s="7" t="n">
        <x:v>252.48210001154803</x:v>
      </x:c>
      <x:c r="N1020" s="2" t="str">
        <x:v>qiskit.primitives.StatevectorSampler</x:v>
      </x:c>
      <x:c r="O1020" s="9" t="str">
        <x:v>00011</x:v>
      </x:c>
    </x:row>
    <x:row r="1021" ht="18" customHeight="1">
      <x:c r="A1021" s="2" t="str">
        <x:v>legacy_n6_01</x:v>
      </x:c>
      <x:c r="B1021" s="2" t="str">
        <x:v>BPSO</x:v>
      </x:c>
      <x:c r="C1021" s="2" t="n">
        <x:v>123</x:v>
      </x:c>
      <x:c r="D1021" s="2" t="str">
        <x:v>success</x:v>
      </x:c>
      <x:c r="E1021" s="2" t="n">
        <x:v>5</x:v>
      </x:c>
      <x:c r="F1021" s="7" t="n">
        <x:v>81.13749999999999</x:v>
      </x:c>
      <x:c r="G1021" s="7" t="n">
        <x:v>58.469565217391306</x:v>
      </x:c>
      <x:c r="H1021" s="7" t="n">
        <x:f>IF(F1021=0,"n.a.",100*(F1021-G1021)/F1021)</x:f>
        <x:v>27.937679596498146</x:v>
      </x:c>
      <x:c r="I1021" s="7" t="n">
        <x:f>F1021-G1021</x:f>
        <x:v>22.667934782608683</x:v>
      </x:c>
      <x:c r="J1021" s="8" t="n">
        <x:v>0.4763785176668738</x:v>
      </x:c>
      <x:c r="K1021" s="8" t="n">
        <x:v>0.4763785176668738</x:v>
      </x:c>
      <x:c r="L1021" s="8" t="n">
        <x:v>0</x:v>
      </x:c>
      <x:c r="M1021" s="7" t="n">
        <x:v>14.574200002243742</x:v>
      </x:c>
      <x:c r="N1021" s="2" t="str">
        <x:v>repository_particle_dynamics_on_frozen_qubo</x:v>
      </x:c>
      <x:c r="O1021" s="9" t="str">
        <x:v>01010</x:v>
      </x:c>
    </x:row>
    <x:row r="1022" ht="18" customHeight="1">
      <x:c r="A1022" s="2" t="str">
        <x:v>legacy_n6_01</x:v>
      </x:c>
      <x:c r="B1022" s="2" t="str">
        <x:v>QAOA</x:v>
      </x:c>
      <x:c r="C1022" s="2" t="n">
        <x:v>123</x:v>
      </x:c>
      <x:c r="D1022" s="2" t="str">
        <x:v>success</x:v>
      </x:c>
      <x:c r="E1022" s="2" t="n">
        <x:v>5</x:v>
      </x:c>
      <x:c r="F1022" s="7" t="n">
        <x:v>81.13749999999999</x:v>
      </x:c>
      <x:c r="G1022" s="7" t="n">
        <x:v>58.469565217391306</x:v>
      </x:c>
      <x:c r="H1022" s="7" t="n">
        <x:f>IF(F1022=0,"n.a.",100*(F1022-G1022)/F1022)</x:f>
        <x:v>27.937679596498146</x:v>
      </x:c>
      <x:c r="I1022" s="7" t="n">
        <x:f>F1022-G1022</x:f>
        <x:v>22.667934782608683</x:v>
      </x:c>
      <x:c r="J1022" s="8" t="n">
        <x:v>0.4763785176668738</x:v>
      </x:c>
      <x:c r="K1022" s="8" t="n">
        <x:v>0.4763785176668738</x:v>
      </x:c>
      <x:c r="L1022" s="8" t="n">
        <x:v>0</x:v>
      </x:c>
      <x:c r="M1022" s="7" t="n">
        <x:v>247.13340000016615</x:v>
      </x:c>
      <x:c r="N1022" s="2" t="str">
        <x:v>qiskit.primitives.StatevectorSampler</x:v>
      </x:c>
      <x:c r="O1022" s="9" t="str">
        <x:v>11000</x:v>
      </x:c>
    </x:row>
    <x:row r="1023" ht="18" customHeight="1">
      <x:c r="A1023" s="2" t="str">
        <x:v>legacy_n6_01</x:v>
      </x:c>
      <x:c r="B1023" s="2" t="str">
        <x:v>BPSO</x:v>
      </x:c>
      <x:c r="C1023" s="2" t="n">
        <x:v>456</x:v>
      </x:c>
      <x:c r="D1023" s="2" t="str">
        <x:v>success</x:v>
      </x:c>
      <x:c r="E1023" s="2" t="n">
        <x:v>5</x:v>
      </x:c>
      <x:c r="F1023" s="7" t="n">
        <x:v>81.13749999999999</x:v>
      </x:c>
      <x:c r="G1023" s="7" t="n">
        <x:v>58.469565217391306</x:v>
      </x:c>
      <x:c r="H1023" s="7" t="n">
        <x:f>IF(F1023=0,"n.a.",100*(F1023-G1023)/F1023)</x:f>
        <x:v>27.937679596498146</x:v>
      </x:c>
      <x:c r="I1023" s="7" t="n">
        <x:f>F1023-G1023</x:f>
        <x:v>22.667934782608683</x:v>
      </x:c>
      <x:c r="J1023" s="8" t="n">
        <x:v>0.4763785176668738</x:v>
      </x:c>
      <x:c r="K1023" s="8" t="n">
        <x:v>0.4763785176668738</x:v>
      </x:c>
      <x:c r="L1023" s="8" t="n">
        <x:v>0</x:v>
      </x:c>
      <x:c r="M1023" s="7" t="n">
        <x:v>15.120800002478063</x:v>
      </x:c>
      <x:c r="N1023" s="2" t="str">
        <x:v>repository_particle_dynamics_on_frozen_qubo</x:v>
      </x:c>
      <x:c r="O1023" s="9" t="str">
        <x:v>00011</x:v>
      </x:c>
    </x:row>
    <x:row r="1024" ht="18" customHeight="1">
      <x:c r="A1024" s="2" t="str">
        <x:v>legacy_n6_01</x:v>
      </x:c>
      <x:c r="B1024" s="2" t="str">
        <x:v>QAOA</x:v>
      </x:c>
      <x:c r="C1024" s="2" t="n">
        <x:v>456</x:v>
      </x:c>
      <x:c r="D1024" s="2" t="str">
        <x:v>success</x:v>
      </x:c>
      <x:c r="E1024" s="2" t="n">
        <x:v>5</x:v>
      </x:c>
      <x:c r="F1024" s="7" t="n">
        <x:v>81.13749999999999</x:v>
      </x:c>
      <x:c r="G1024" s="7" t="n">
        <x:v>58.469565217391306</x:v>
      </x:c>
      <x:c r="H1024" s="7" t="n">
        <x:f>IF(F1024=0,"n.a.",100*(F1024-G1024)/F1024)</x:f>
        <x:v>27.937679596498146</x:v>
      </x:c>
      <x:c r="I1024" s="7" t="n">
        <x:f>F1024-G1024</x:f>
        <x:v>22.667934782608683</x:v>
      </x:c>
      <x:c r="J1024" s="8" t="n">
        <x:v>0.4763785176668738</x:v>
      </x:c>
      <x:c r="K1024" s="8" t="n">
        <x:v>0.4763785176668738</x:v>
      </x:c>
      <x:c r="L1024" s="8" t="n">
        <x:v>0</x:v>
      </x:c>
      <x:c r="M1024" s="7" t="n">
        <x:v>203.42979999259114</x:v>
      </x:c>
      <x:c r="N1024" s="2" t="str">
        <x:v>qiskit.primitives.StatevectorSampler</x:v>
      </x:c>
      <x:c r="O1024" s="9" t="str">
        <x:v>01100</x:v>
      </x:c>
    </x:row>
    <x:row r="1025" ht="18" customHeight="1">
      <x:c r="A1025" s="2" t="str">
        <x:v>legacy_n6_01</x:v>
      </x:c>
      <x:c r="B1025" s="2" t="str">
        <x:v>BPSO</x:v>
      </x:c>
      <x:c r="C1025" s="2" t="n">
        <x:v>789</x:v>
      </x:c>
      <x:c r="D1025" s="2" t="str">
        <x:v>success</x:v>
      </x:c>
      <x:c r="E1025" s="2" t="n">
        <x:v>5</x:v>
      </x:c>
      <x:c r="F1025" s="7" t="n">
        <x:v>81.13749999999999</x:v>
      </x:c>
      <x:c r="G1025" s="7" t="n">
        <x:v>58.469565217391306</x:v>
      </x:c>
      <x:c r="H1025" s="7" t="n">
        <x:f>IF(F1025=0,"n.a.",100*(F1025-G1025)/F1025)</x:f>
        <x:v>27.937679596498146</x:v>
      </x:c>
      <x:c r="I1025" s="7" t="n">
        <x:f>F1025-G1025</x:f>
        <x:v>22.667934782608683</x:v>
      </x:c>
      <x:c r="J1025" s="8" t="n">
        <x:v>0.4763785176668738</x:v>
      </x:c>
      <x:c r="K1025" s="8" t="n">
        <x:v>0.4763785176668738</x:v>
      </x:c>
      <x:c r="L1025" s="8" t="n">
        <x:v>0</x:v>
      </x:c>
      <x:c r="M1025" s="7" t="n">
        <x:v>15.060100005939603</x:v>
      </x:c>
      <x:c r="N1025" s="2" t="str">
        <x:v>repository_particle_dynamics_on_frozen_qubo</x:v>
      </x:c>
      <x:c r="O1025" s="9" t="str">
        <x:v>01100</x:v>
      </x:c>
    </x:row>
    <x:row r="1026" ht="18" customHeight="1">
      <x:c r="A1026" s="2" t="str">
        <x:v>legacy_n6_01</x:v>
      </x:c>
      <x:c r="B1026" s="2" t="str">
        <x:v>QAOA</x:v>
      </x:c>
      <x:c r="C1026" s="2" t="n">
        <x:v>789</x:v>
      </x:c>
      <x:c r="D1026" s="2" t="str">
        <x:v>success</x:v>
      </x:c>
      <x:c r="E1026" s="2" t="n">
        <x:v>5</x:v>
      </x:c>
      <x:c r="F1026" s="7" t="n">
        <x:v>81.13749999999999</x:v>
      </x:c>
      <x:c r="G1026" s="7" t="n">
        <x:v>58.469565217391306</x:v>
      </x:c>
      <x:c r="H1026" s="7" t="n">
        <x:f>IF(F1026=0,"n.a.",100*(F1026-G1026)/F1026)</x:f>
        <x:v>27.937679596498146</x:v>
      </x:c>
      <x:c r="I1026" s="7" t="n">
        <x:f>F1026-G1026</x:f>
        <x:v>22.667934782608683</x:v>
      </x:c>
      <x:c r="J1026" s="8" t="n">
        <x:v>0.4763785176668738</x:v>
      </x:c>
      <x:c r="K1026" s="8" t="n">
        <x:v>0.4763785176668738</x:v>
      </x:c>
      <x:c r="L1026" s="8" t="n">
        <x:v>0</x:v>
      </x:c>
      <x:c r="M1026" s="7" t="n">
        <x:v>166.14909999771044</x:v>
      </x:c>
      <x:c r="N1026" s="2" t="str">
        <x:v>qiskit.primitives.StatevectorSampler</x:v>
      </x:c>
      <x:c r="O1026" s="9" t="str">
        <x:v>10100</x:v>
      </x:c>
    </x:row>
    <x:row r="1027" ht="18" customHeight="1">
      <x:c r="A1027" s="2" t="str">
        <x:v>legacy_n6_01</x:v>
      </x:c>
      <x:c r="B1027" s="2" t="str">
        <x:v>BPSO</x:v>
      </x:c>
      <x:c r="C1027" s="2" t="n">
        <x:v>2026</x:v>
      </x:c>
      <x:c r="D1027" s="2" t="str">
        <x:v>success</x:v>
      </x:c>
      <x:c r="E1027" s="2" t="n">
        <x:v>5</x:v>
      </x:c>
      <x:c r="F1027" s="7" t="n">
        <x:v>81.13749999999999</x:v>
      </x:c>
      <x:c r="G1027" s="7" t="n">
        <x:v>58.469565217391306</x:v>
      </x:c>
      <x:c r="H1027" s="7" t="n">
        <x:f>IF(F1027=0,"n.a.",100*(F1027-G1027)/F1027)</x:f>
        <x:v>27.937679596498146</x:v>
      </x:c>
      <x:c r="I1027" s="7" t="n">
        <x:f>F1027-G1027</x:f>
        <x:v>22.667934782608683</x:v>
      </x:c>
      <x:c r="J1027" s="8" t="n">
        <x:v>0.4763785176668738</x:v>
      </x:c>
      <x:c r="K1027" s="8" t="n">
        <x:v>0.4763785176668738</x:v>
      </x:c>
      <x:c r="L1027" s="8" t="n">
        <x:v>0</x:v>
      </x:c>
      <x:c r="M1027" s="7" t="n">
        <x:v>14.687600007164292</x:v>
      </x:c>
      <x:c r="N1027" s="2" t="str">
        <x:v>repository_particle_dynamics_on_frozen_qubo</x:v>
      </x:c>
      <x:c r="O1027" s="9" t="str">
        <x:v>10100</x:v>
      </x:c>
    </x:row>
    <x:row r="1028" ht="18" customHeight="1">
      <x:c r="A1028" s="2" t="str">
        <x:v>legacy_n6_01</x:v>
      </x:c>
      <x:c r="B1028" s="2" t="str">
        <x:v>QAOA</x:v>
      </x:c>
      <x:c r="C1028" s="2" t="n">
        <x:v>2026</x:v>
      </x:c>
      <x:c r="D1028" s="2" t="str">
        <x:v>success</x:v>
      </x:c>
      <x:c r="E1028" s="2" t="n">
        <x:v>5</x:v>
      </x:c>
      <x:c r="F1028" s="7" t="n">
        <x:v>81.13749999999999</x:v>
      </x:c>
      <x:c r="G1028" s="7" t="n">
        <x:v>58.469565217391306</x:v>
      </x:c>
      <x:c r="H1028" s="7" t="n">
        <x:f>IF(F1028=0,"n.a.",100*(F1028-G1028)/F1028)</x:f>
        <x:v>27.937679596498146</x:v>
      </x:c>
      <x:c r="I1028" s="7" t="n">
        <x:f>F1028-G1028</x:f>
        <x:v>22.667934782608683</x:v>
      </x:c>
      <x:c r="J1028" s="8" t="n">
        <x:v>0.4763785176668738</x:v>
      </x:c>
      <x:c r="K1028" s="8" t="n">
        <x:v>0.4763785176668738</x:v>
      </x:c>
      <x:c r="L1028" s="8" t="n">
        <x:v>0</x:v>
      </x:c>
      <x:c r="M1028" s="7" t="n">
        <x:v>205.03050000115763</x:v>
      </x:c>
      <x:c r="N1028" s="2" t="str">
        <x:v>qiskit.primitives.StatevectorSampler</x:v>
      </x:c>
      <x:c r="O1028" s="9" t="str">
        <x:v>01100</x:v>
      </x:c>
    </x:row>
    <x:row r="1029" ht="18" customHeight="1">
      <x:c r="A1029" s="2" t="str">
        <x:v>legacy_n6_02</x:v>
      </x:c>
      <x:c r="B1029" s="2" t="str">
        <x:v>Unmanaged</x:v>
      </x:c>
      <x:c r="C1029" s="2"/>
      <x:c r="D1029" s="2" t="str">
        <x:v>baseline</x:v>
      </x:c>
      <x:c r="E1029" s="2" t="n">
        <x:v>9</x:v>
      </x:c>
      <x:c r="F1029" s="7" t="n">
        <x:v>84.245</x:v>
      </x:c>
      <x:c r="G1029" s="7" t="n">
        <x:v>84.245</x:v>
      </x:c>
      <x:c r="H1029" s="7" t="n">
        <x:f>IF(F1029=0,"n.a.",100*(F1029-G1029)/F1029)</x:f>
        <x:v>0</x:v>
      </x:c>
      <x:c r="I1029" s="7" t="n">
        <x:f>F1029-G1029</x:f>
        <x:v>0</x:v>
      </x:c>
      <x:c r="J1029" s="8"/>
      <x:c r="K1029" s="8" t="n">
        <x:v>0.5469572920958565</x:v>
      </x:c>
      <x:c r="L1029" s="8"/>
      <x:c r="M1029" s="7"/>
      <x:c r="N1029" s="2" t="str">
        <x:v>unmanaged_input</x:v>
      </x:c>
      <x:c r="O1029" s="9"/>
    </x:row>
    <x:row r="1030" ht="18" customHeight="1">
      <x:c r="A1030" s="2" t="str">
        <x:v>legacy_n6_02</x:v>
      </x:c>
      <x:c r="B1030" s="2" t="str">
        <x:v>Exact J</x:v>
      </x:c>
      <x:c r="C1030" s="2"/>
      <x:c r="D1030" s="2" t="str">
        <x:v>success</x:v>
      </x:c>
      <x:c r="E1030" s="2" t="n">
        <x:v>9</x:v>
      </x:c>
      <x:c r="F1030" s="7" t="n">
        <x:v>84.245</x:v>
      </x:c>
      <x:c r="G1030" s="7" t="n">
        <x:v>68.49333333333334</x:v>
      </x:c>
      <x:c r="H1030" s="7" t="n">
        <x:f>IF(F1030=0,"n.a.",100*(F1030-G1030)/F1030)</x:f>
        <x:v>18.697449898114623</x:v>
      </x:c>
      <x:c r="I1030" s="7" t="n">
        <x:f>F1030-G1030</x:f>
        <x:v>15.751666666666665</x:v>
      </x:c>
      <x:c r="J1030" s="8" t="n">
        <x:v>0.5469572920958565</x:v>
      </x:c>
      <x:c r="K1030" s="8" t="n">
        <x:v>0.5469572920958565</x:v>
      </x:c>
      <x:c r="L1030" s="8" t="n">
        <x:v>0</x:v>
      </x:c>
      <x:c r="M1030" s="7"/>
      <x:c r="N1030" s="2" t="str">
        <x:v>exhaustive_enumeration</x:v>
      </x:c>
      <x:c r="O1030" s="9" t="str">
        <x:v>000110001</x:v>
      </x:c>
    </x:row>
    <x:row r="1031" ht="18" customHeight="1">
      <x:c r="A1031" s="2" t="str">
        <x:v>legacy_n6_02</x:v>
      </x:c>
      <x:c r="B1031" s="2" t="str">
        <x:v>Exact peak</x:v>
      </x:c>
      <x:c r="C1031" s="2"/>
      <x:c r="D1031" s="2" t="str">
        <x:v>success</x:v>
      </x:c>
      <x:c r="E1031" s="2" t="n">
        <x:v>9</x:v>
      </x:c>
      <x:c r="F1031" s="7" t="n">
        <x:v>84.245</x:v>
      </x:c>
      <x:c r="G1031" s="7" t="n">
        <x:v>68.49333333333334</x:v>
      </x:c>
      <x:c r="H1031" s="7" t="n">
        <x:f>IF(F1031=0,"n.a.",100*(F1031-G1031)/F1031)</x:f>
        <x:v>18.697449898114623</x:v>
      </x:c>
      <x:c r="I1031" s="7" t="n">
        <x:f>F1031-G1031</x:f>
        <x:v>15.751666666666665</x:v>
      </x:c>
      <x:c r="J1031" s="8" t="n">
        <x:v>0.5469572920958565</x:v>
      </x:c>
      <x:c r="K1031" s="8" t="n">
        <x:v>0.5469572920958565</x:v>
      </x:c>
      <x:c r="L1031" s="8" t="n">
        <x:v>0</x:v>
      </x:c>
      <x:c r="M1031" s="7"/>
      <x:c r="N1031" s="2" t="str">
        <x:v>exhaustive_enumeration</x:v>
      </x:c>
      <x:c r="O1031" s="9" t="str">
        <x:v>000110001</x:v>
      </x:c>
    </x:row>
    <x:row r="1032" ht="18" customHeight="1">
      <x:c r="A1032" s="2" t="str">
        <x:v>legacy_n6_02</x:v>
      </x:c>
      <x:c r="B1032" s="2" t="str">
        <x:v>BPSO</x:v>
      </x:c>
      <x:c r="C1032" s="2" t="n">
        <x:v>42</x:v>
      </x:c>
      <x:c r="D1032" s="2" t="str">
        <x:v>success</x:v>
      </x:c>
      <x:c r="E1032" s="2" t="n">
        <x:v>9</x:v>
      </x:c>
      <x:c r="F1032" s="7" t="n">
        <x:v>84.245</x:v>
      </x:c>
      <x:c r="G1032" s="7" t="n">
        <x:v>68.49333333333334</x:v>
      </x:c>
      <x:c r="H1032" s="7" t="n">
        <x:f>IF(F1032=0,"n.a.",100*(F1032-G1032)/F1032)</x:f>
        <x:v>18.697449898114623</x:v>
      </x:c>
      <x:c r="I1032" s="7" t="n">
        <x:f>F1032-G1032</x:f>
        <x:v>15.751666666666665</x:v>
      </x:c>
      <x:c r="J1032" s="8" t="n">
        <x:v>0.5469572920958565</x:v>
      </x:c>
      <x:c r="K1032" s="8" t="n">
        <x:v>0.5469572920958565</x:v>
      </x:c>
      <x:c r="L1032" s="8" t="n">
        <x:v>0</x:v>
      </x:c>
      <x:c r="M1032" s="7" t="n">
        <x:v>19.764900003792718</x:v>
      </x:c>
      <x:c r="N1032" s="2" t="str">
        <x:v>repository_particle_dynamics_on_frozen_qubo</x:v>
      </x:c>
      <x:c r="O1032" s="9" t="str">
        <x:v>000110010</x:v>
      </x:c>
    </x:row>
    <x:row r="1033" ht="18" customHeight="1">
      <x:c r="A1033" s="2" t="str">
        <x:v>legacy_n6_02</x:v>
      </x:c>
      <x:c r="B1033" s="2" t="str">
        <x:v>QAOA</x:v>
      </x:c>
      <x:c r="C1033" s="2" t="n">
        <x:v>42</x:v>
      </x:c>
      <x:c r="D1033" s="2" t="str">
        <x:v>success</x:v>
      </x:c>
      <x:c r="E1033" s="2" t="n">
        <x:v>9</x:v>
      </x:c>
      <x:c r="F1033" s="7" t="n">
        <x:v>84.245</x:v>
      </x:c>
      <x:c r="G1033" s="7" t="n">
        <x:v>68.49333333333334</x:v>
      </x:c>
      <x:c r="H1033" s="7" t="n">
        <x:f>IF(F1033=0,"n.a.",100*(F1033-G1033)/F1033)</x:f>
        <x:v>18.697449898114623</x:v>
      </x:c>
      <x:c r="I1033" s="7" t="n">
        <x:f>F1033-G1033</x:f>
        <x:v>15.751666666666665</x:v>
      </x:c>
      <x:c r="J1033" s="8" t="n">
        <x:v>0.5469572920958565</x:v>
      </x:c>
      <x:c r="K1033" s="8" t="n">
        <x:v>0.5469572920958565</x:v>
      </x:c>
      <x:c r="L1033" s="8" t="n">
        <x:v>0</x:v>
      </x:c>
      <x:c r="M1033" s="7" t="n">
        <x:v>581.9110000011278</x:v>
      </x:c>
      <x:c r="N1033" s="2" t="str">
        <x:v>qiskit.primitives.StatevectorSampler</x:v>
      </x:c>
      <x:c r="O1033" s="9" t="str">
        <x:v>001100001</x:v>
      </x:c>
    </x:row>
    <x:row r="1034" ht="18" customHeight="1">
      <x:c r="A1034" s="2" t="str">
        <x:v>legacy_n6_02</x:v>
      </x:c>
      <x:c r="B1034" s="2" t="str">
        <x:v>BPSO</x:v>
      </x:c>
      <x:c r="C1034" s="2" t="n">
        <x:v>123</x:v>
      </x:c>
      <x:c r="D1034" s="2" t="str">
        <x:v>success</x:v>
      </x:c>
      <x:c r="E1034" s="2" t="n">
        <x:v>9</x:v>
      </x:c>
      <x:c r="F1034" s="7" t="n">
        <x:v>84.245</x:v>
      </x:c>
      <x:c r="G1034" s="7" t="n">
        <x:v>68.49333333333334</x:v>
      </x:c>
      <x:c r="H1034" s="7" t="n">
        <x:f>IF(F1034=0,"n.a.",100*(F1034-G1034)/F1034)</x:f>
        <x:v>18.697449898114623</x:v>
      </x:c>
      <x:c r="I1034" s="7" t="n">
        <x:f>F1034-G1034</x:f>
        <x:v>15.751666666666665</x:v>
      </x:c>
      <x:c r="J1034" s="8" t="n">
        <x:v>0.5469572920958565</x:v>
      </x:c>
      <x:c r="K1034" s="8" t="n">
        <x:v>0.5469572920958565</x:v>
      </x:c>
      <x:c r="L1034" s="8" t="n">
        <x:v>0</x:v>
      </x:c>
      <x:c r="M1034" s="7" t="n">
        <x:v>19.51769999868702</x:v>
      </x:c>
      <x:c r="N1034" s="2" t="str">
        <x:v>repository_particle_dynamics_on_frozen_qubo</x:v>
      </x:c>
      <x:c r="O1034" s="9" t="str">
        <x:v>110001000</x:v>
      </x:c>
    </x:row>
    <x:row r="1035" ht="18" customHeight="1">
      <x:c r="A1035" s="2" t="str">
        <x:v>legacy_n6_02</x:v>
      </x:c>
      <x:c r="B1035" s="2" t="str">
        <x:v>QAOA</x:v>
      </x:c>
      <x:c r="C1035" s="2" t="n">
        <x:v>123</x:v>
      </x:c>
      <x:c r="D1035" s="2" t="str">
        <x:v>success</x:v>
      </x:c>
      <x:c r="E1035" s="2" t="n">
        <x:v>9</x:v>
      </x:c>
      <x:c r="F1035" s="7" t="n">
        <x:v>84.245</x:v>
      </x:c>
      <x:c r="G1035" s="7" t="n">
        <x:v>68.49333333333334</x:v>
      </x:c>
      <x:c r="H1035" s="7" t="n">
        <x:f>IF(F1035=0,"n.a.",100*(F1035-G1035)/F1035)</x:f>
        <x:v>18.697449898114623</x:v>
      </x:c>
      <x:c r="I1035" s="7" t="n">
        <x:f>F1035-G1035</x:f>
        <x:v>15.751666666666665</x:v>
      </x:c>
      <x:c r="J1035" s="8" t="n">
        <x:v>0.5469572920958565</x:v>
      </x:c>
      <x:c r="K1035" s="8" t="n">
        <x:v>0.5469572920958565</x:v>
      </x:c>
      <x:c r="L1035" s="8" t="n">
        <x:v>0</x:v>
      </x:c>
      <x:c r="M1035" s="7" t="n">
        <x:v>611.1586000042735</x:v>
      </x:c>
      <x:c r="N1035" s="2" t="str">
        <x:v>qiskit.primitives.StatevectorSampler</x:v>
      </x:c>
      <x:c r="O1035" s="9" t="str">
        <x:v>110000100</x:v>
      </x:c>
    </x:row>
    <x:row r="1036" ht="18" customHeight="1">
      <x:c r="A1036" s="2" t="str">
        <x:v>legacy_n6_02</x:v>
      </x:c>
      <x:c r="B1036" s="2" t="str">
        <x:v>BPSO</x:v>
      </x:c>
      <x:c r="C1036" s="2" t="n">
        <x:v>456</x:v>
      </x:c>
      <x:c r="D1036" s="2" t="str">
        <x:v>success</x:v>
      </x:c>
      <x:c r="E1036" s="2" t="n">
        <x:v>9</x:v>
      </x:c>
      <x:c r="F1036" s="7" t="n">
        <x:v>84.245</x:v>
      </x:c>
      <x:c r="G1036" s="7" t="n">
        <x:v>68.49333333333334</x:v>
      </x:c>
      <x:c r="H1036" s="7" t="n">
        <x:f>IF(F1036=0,"n.a.",100*(F1036-G1036)/F1036)</x:f>
        <x:v>18.697449898114623</x:v>
      </x:c>
      <x:c r="I1036" s="7" t="n">
        <x:f>F1036-G1036</x:f>
        <x:v>15.751666666666665</x:v>
      </x:c>
      <x:c r="J1036" s="8" t="n">
        <x:v>0.5469572920958565</x:v>
      </x:c>
      <x:c r="K1036" s="8" t="n">
        <x:v>0.5469572920958565</x:v>
      </x:c>
      <x:c r="L1036" s="8" t="n">
        <x:v>0</x:v>
      </x:c>
      <x:c r="M1036" s="7" t="n">
        <x:v>19.971600006101653</x:v>
      </x:c>
      <x:c r="N1036" s="2" t="str">
        <x:v>repository_particle_dynamics_on_frozen_qubo</x:v>
      </x:c>
      <x:c r="O1036" s="9" t="str">
        <x:v>000110010</x:v>
      </x:c>
    </x:row>
    <x:row r="1037" ht="18" customHeight="1">
      <x:c r="A1037" s="2" t="str">
        <x:v>legacy_n6_02</x:v>
      </x:c>
      <x:c r="B1037" s="2" t="str">
        <x:v>QAOA</x:v>
      </x:c>
      <x:c r="C1037" s="2" t="n">
        <x:v>456</x:v>
      </x:c>
      <x:c r="D1037" s="2" t="str">
        <x:v>success</x:v>
      </x:c>
      <x:c r="E1037" s="2" t="n">
        <x:v>9</x:v>
      </x:c>
      <x:c r="F1037" s="7" t="n">
        <x:v>84.245</x:v>
      </x:c>
      <x:c r="G1037" s="7" t="n">
        <x:v>68.49333333333334</x:v>
      </x:c>
      <x:c r="H1037" s="7" t="n">
        <x:f>IF(F1037=0,"n.a.",100*(F1037-G1037)/F1037)</x:f>
        <x:v>18.697449898114623</x:v>
      </x:c>
      <x:c r="I1037" s="7" t="n">
        <x:f>F1037-G1037</x:f>
        <x:v>15.751666666666665</x:v>
      </x:c>
      <x:c r="J1037" s="8" t="n">
        <x:v>0.5469572920958565</x:v>
      </x:c>
      <x:c r="K1037" s="8" t="n">
        <x:v>0.5469572920958565</x:v>
      </x:c>
      <x:c r="L1037" s="8" t="n">
        <x:v>0</x:v>
      </x:c>
      <x:c r="M1037" s="7" t="n">
        <x:v>581.0352999978932</x:v>
      </x:c>
      <x:c r="N1037" s="2" t="str">
        <x:v>qiskit.primitives.StatevectorSampler</x:v>
      </x:c>
      <x:c r="O1037" s="9" t="str">
        <x:v>000110010</x:v>
      </x:c>
    </x:row>
    <x:row r="1038" ht="18" customHeight="1">
      <x:c r="A1038" s="2" t="str">
        <x:v>legacy_n6_02</x:v>
      </x:c>
      <x:c r="B1038" s="2" t="str">
        <x:v>BPSO</x:v>
      </x:c>
      <x:c r="C1038" s="2" t="n">
        <x:v>789</x:v>
      </x:c>
      <x:c r="D1038" s="2" t="str">
        <x:v>success</x:v>
      </x:c>
      <x:c r="E1038" s="2" t="n">
        <x:v>9</x:v>
      </x:c>
      <x:c r="F1038" s="7" t="n">
        <x:v>84.245</x:v>
      </x:c>
      <x:c r="G1038" s="7" t="n">
        <x:v>68.49333333333334</x:v>
      </x:c>
      <x:c r="H1038" s="7" t="n">
        <x:f>IF(F1038=0,"n.a.",100*(F1038-G1038)/F1038)</x:f>
        <x:v>18.697449898114623</x:v>
      </x:c>
      <x:c r="I1038" s="7" t="n">
        <x:f>F1038-G1038</x:f>
        <x:v>15.751666666666665</x:v>
      </x:c>
      <x:c r="J1038" s="8" t="n">
        <x:v>0.5469572920958565</x:v>
      </x:c>
      <x:c r="K1038" s="8" t="n">
        <x:v>0.5469572920958565</x:v>
      </x:c>
      <x:c r="L1038" s="8" t="n">
        <x:v>0</x:v>
      </x:c>
      <x:c r="M1038" s="7" t="n">
        <x:v>19.051900002523325</x:v>
      </x:c>
      <x:c r="N1038" s="2" t="str">
        <x:v>repository_particle_dynamics_on_frozen_qubo</x:v>
      </x:c>
      <x:c r="O1038" s="9" t="str">
        <x:v>001101000</x:v>
      </x:c>
    </x:row>
    <x:row r="1039" ht="18" customHeight="1">
      <x:c r="A1039" s="2" t="str">
        <x:v>legacy_n6_02</x:v>
      </x:c>
      <x:c r="B1039" s="2" t="str">
        <x:v>QAOA</x:v>
      </x:c>
      <x:c r="C1039" s="2" t="n">
        <x:v>789</x:v>
      </x:c>
      <x:c r="D1039" s="2" t="str">
        <x:v>success</x:v>
      </x:c>
      <x:c r="E1039" s="2" t="n">
        <x:v>9</x:v>
      </x:c>
      <x:c r="F1039" s="7" t="n">
        <x:v>84.245</x:v>
      </x:c>
      <x:c r="G1039" s="7" t="n">
        <x:v>68.49333333333334</x:v>
      </x:c>
      <x:c r="H1039" s="7" t="n">
        <x:f>IF(F1039=0,"n.a.",100*(F1039-G1039)/F1039)</x:f>
        <x:v>18.697449898114623</x:v>
      </x:c>
      <x:c r="I1039" s="7" t="n">
        <x:f>F1039-G1039</x:f>
        <x:v>15.751666666666665</x:v>
      </x:c>
      <x:c r="J1039" s="8" t="n">
        <x:v>0.5469572920958565</x:v>
      </x:c>
      <x:c r="K1039" s="8" t="n">
        <x:v>0.5469572920958565</x:v>
      </x:c>
      <x:c r="L1039" s="8" t="n">
        <x:v>0</x:v>
      </x:c>
      <x:c r="M1039" s="7" t="n">
        <x:v>727.9130000097211</x:v>
      </x:c>
      <x:c r="N1039" s="2" t="str">
        <x:v>qiskit.primitives.StatevectorSampler</x:v>
      </x:c>
      <x:c r="O1039" s="9" t="str">
        <x:v>100100001</x:v>
      </x:c>
    </x:row>
    <x:row r="1040" ht="18" customHeight="1">
      <x:c r="A1040" s="2" t="str">
        <x:v>legacy_n6_02</x:v>
      </x:c>
      <x:c r="B1040" s="2" t="str">
        <x:v>BPSO</x:v>
      </x:c>
      <x:c r="C1040" s="2" t="n">
        <x:v>2026</x:v>
      </x:c>
      <x:c r="D1040" s="2" t="str">
        <x:v>success</x:v>
      </x:c>
      <x:c r="E1040" s="2" t="n">
        <x:v>9</x:v>
      </x:c>
      <x:c r="F1040" s="7" t="n">
        <x:v>84.245</x:v>
      </x:c>
      <x:c r="G1040" s="7" t="n">
        <x:v>68.49333333333334</x:v>
      </x:c>
      <x:c r="H1040" s="7" t="n">
        <x:f>IF(F1040=0,"n.a.",100*(F1040-G1040)/F1040)</x:f>
        <x:v>18.697449898114623</x:v>
      </x:c>
      <x:c r="I1040" s="7" t="n">
        <x:f>F1040-G1040</x:f>
        <x:v>15.751666666666665</x:v>
      </x:c>
      <x:c r="J1040" s="8" t="n">
        <x:v>0.5469572920958565</x:v>
      </x:c>
      <x:c r="K1040" s="8" t="n">
        <x:v>0.5469572920958565</x:v>
      </x:c>
      <x:c r="L1040" s="8" t="n">
        <x:v>0</x:v>
      </x:c>
      <x:c r="M1040" s="7" t="n">
        <x:v>19.451000000117347</x:v>
      </x:c>
      <x:c r="N1040" s="2" t="str">
        <x:v>repository_particle_dynamics_on_frozen_qubo</x:v>
      </x:c>
      <x:c r="O1040" s="9" t="str">
        <x:v>010010001</x:v>
      </x:c>
    </x:row>
    <x:row r="1041" ht="18" customHeight="1">
      <x:c r="A1041" s="2" t="str">
        <x:v>legacy_n6_02</x:v>
      </x:c>
      <x:c r="B1041" s="2" t="str">
        <x:v>QAOA</x:v>
      </x:c>
      <x:c r="C1041" s="2" t="n">
        <x:v>2026</x:v>
      </x:c>
      <x:c r="D1041" s="2" t="str">
        <x:v>success</x:v>
      </x:c>
      <x:c r="E1041" s="2" t="n">
        <x:v>9</x:v>
      </x:c>
      <x:c r="F1041" s="7" t="n">
        <x:v>84.245</x:v>
      </x:c>
      <x:c r="G1041" s="7" t="n">
        <x:v>68.49333333333334</x:v>
      </x:c>
      <x:c r="H1041" s="7" t="n">
        <x:f>IF(F1041=0,"n.a.",100*(F1041-G1041)/F1041)</x:f>
        <x:v>18.697449898114623</x:v>
      </x:c>
      <x:c r="I1041" s="7" t="n">
        <x:f>F1041-G1041</x:f>
        <x:v>15.751666666666665</x:v>
      </x:c>
      <x:c r="J1041" s="8" t="n">
        <x:v>0.5469572920958565</x:v>
      </x:c>
      <x:c r="K1041" s="8" t="n">
        <x:v>0.5469572920958565</x:v>
      </x:c>
      <x:c r="L1041" s="8" t="n">
        <x:v>0</x:v>
      </x:c>
      <x:c r="M1041" s="7" t="n">
        <x:v>519.154299996444</x:v>
      </x:c>
      <x:c r="N1041" s="2" t="str">
        <x:v>qiskit.primitives.StatevectorSampler</x:v>
      </x:c>
      <x:c r="O1041" s="9" t="str">
        <x:v>100100010</x:v>
      </x:c>
    </x:row>
    <x:row r="1042" ht="18" customHeight="1">
      <x:c r="A1042" s="2" t="str">
        <x:v>legacy_n6_03</x:v>
      </x:c>
      <x:c r="B1042" s="2" t="str">
        <x:v>Unmanaged</x:v>
      </x:c>
      <x:c r="C1042" s="2"/>
      <x:c r="D1042" s="2" t="str">
        <x:v>baseline</x:v>
      </x:c>
      <x:c r="E1042" s="2" t="n">
        <x:v>9</x:v>
      </x:c>
      <x:c r="F1042" s="7" t="n">
        <x:v>81.45714285714286</x:v>
      </x:c>
      <x:c r="G1042" s="7" t="n">
        <x:v>81.45714285714286</x:v>
      </x:c>
      <x:c r="H1042" s="7" t="n">
        <x:f>IF(F1042=0,"n.a.",100*(F1042-G1042)/F1042)</x:f>
        <x:v>0</x:v>
      </x:c>
      <x:c r="I1042" s="7" t="n">
        <x:f>F1042-G1042</x:f>
        <x:v>0</x:v>
      </x:c>
      <x:c r="J1042" s="8"/>
      <x:c r="K1042" s="8" t="n">
        <x:v>0.41871500799198574</x:v>
      </x:c>
      <x:c r="L1042" s="8"/>
      <x:c r="M1042" s="7"/>
      <x:c r="N1042" s="2" t="str">
        <x:v>unmanaged_input</x:v>
      </x:c>
      <x:c r="O1042" s="9"/>
    </x:row>
    <x:row r="1043" ht="18" customHeight="1">
      <x:c r="A1043" s="2" t="str">
        <x:v>legacy_n6_03</x:v>
      </x:c>
      <x:c r="B1043" s="2" t="str">
        <x:v>Exact J</x:v>
      </x:c>
      <x:c r="C1043" s="2"/>
      <x:c r="D1043" s="2" t="str">
        <x:v>success</x:v>
      </x:c>
      <x:c r="E1043" s="2" t="n">
        <x:v>9</x:v>
      </x:c>
      <x:c r="F1043" s="7" t="n">
        <x:v>81.45714285714286</x:v>
      </x:c>
      <x:c r="G1043" s="7" t="n">
        <x:v>68.43478260869566</x:v>
      </x:c>
      <x:c r="H1043" s="7" t="n">
        <x:f>IF(F1043=0,"n.a.",100*(F1043-G1043)/F1043)</x:f>
        <x:v>15.986762844463415</x:v>
      </x:c>
      <x:c r="I1043" s="7" t="n">
        <x:f>F1043-G1043</x:f>
        <x:v>13.0223602484472</x:v>
      </x:c>
      <x:c r="J1043" s="8" t="n">
        <x:v>0.41871500799198574</x:v>
      </x:c>
      <x:c r="K1043" s="8" t="n">
        <x:v>0.41871500799198574</x:v>
      </x:c>
      <x:c r="L1043" s="8" t="n">
        <x:v>0</x:v>
      </x:c>
      <x:c r="M1043" s="7"/>
      <x:c r="N1043" s="2" t="str">
        <x:v>exhaustive_enumeration</x:v>
      </x:c>
      <x:c r="O1043" s="9" t="str">
        <x:v>001100011</x:v>
      </x:c>
    </x:row>
    <x:row r="1044" ht="18" customHeight="1">
      <x:c r="A1044" s="2" t="str">
        <x:v>legacy_n6_03</x:v>
      </x:c>
      <x:c r="B1044" s="2" t="str">
        <x:v>Exact peak</x:v>
      </x:c>
      <x:c r="C1044" s="2"/>
      <x:c r="D1044" s="2" t="str">
        <x:v>success</x:v>
      </x:c>
      <x:c r="E1044" s="2" t="n">
        <x:v>9</x:v>
      </x:c>
      <x:c r="F1044" s="7" t="n">
        <x:v>81.45714285714286</x:v>
      </x:c>
      <x:c r="G1044" s="7" t="n">
        <x:v>61.91304347826087</x:v>
      </x:c>
      <x:c r="H1044" s="7" t="n">
        <x:f>IF(F1044=0,"n.a.",100*(F1044-G1044)/F1044)</x:f>
        <x:v>23.993106919006298</x:v>
      </x:c>
      <x:c r="I1044" s="7" t="n">
        <x:f>F1044-G1044</x:f>
        <x:v>19.544099378881988</x:v>
      </x:c>
      <x:c r="J1044" s="8" t="n">
        <x:v>0.4549482868346001</x:v>
      </x:c>
      <x:c r="K1044" s="8" t="n">
        <x:v>0.41871500799198574</x:v>
      </x:c>
      <x:c r="L1044" s="8" t="n">
        <x:v>0.03623327884261435</x:v>
      </x:c>
      <x:c r="M1044" s="7"/>
      <x:c r="N1044" s="2" t="str">
        <x:v>exhaustive_enumeration</x:v>
      </x:c>
      <x:c r="O1044" s="9" t="str">
        <x:v>011100011</x:v>
      </x:c>
    </x:row>
    <x:row r="1045" ht="18" customHeight="1">
      <x:c r="A1045" s="2" t="str">
        <x:v>legacy_n6_03</x:v>
      </x:c>
      <x:c r="B1045" s="2" t="str">
        <x:v>BPSO</x:v>
      </x:c>
      <x:c r="C1045" s="2" t="n">
        <x:v>42</x:v>
      </x:c>
      <x:c r="D1045" s="2" t="str">
        <x:v>success</x:v>
      </x:c>
      <x:c r="E1045" s="2" t="n">
        <x:v>9</x:v>
      </x:c>
      <x:c r="F1045" s="7" t="n">
        <x:v>81.45714285714286</x:v>
      </x:c>
      <x:c r="G1045" s="7" t="n">
        <x:v>68.43478260869566</x:v>
      </x:c>
      <x:c r="H1045" s="7" t="n">
        <x:f>IF(F1045=0,"n.a.",100*(F1045-G1045)/F1045)</x:f>
        <x:v>15.986762844463415</x:v>
      </x:c>
      <x:c r="I1045" s="7" t="n">
        <x:f>F1045-G1045</x:f>
        <x:v>13.0223602484472</x:v>
      </x:c>
      <x:c r="J1045" s="8" t="n">
        <x:v>0.41871500799198574</x:v>
      </x:c>
      <x:c r="K1045" s="8" t="n">
        <x:v>0.41871500799198574</x:v>
      </x:c>
      <x:c r="L1045" s="8" t="n">
        <x:v>0</x:v>
      </x:c>
      <x:c r="M1045" s="7" t="n">
        <x:v>19.26149999781046</x:v>
      </x:c>
      <x:c r="N1045" s="2" t="str">
        <x:v>repository_particle_dynamics_on_frozen_qubo</x:v>
      </x:c>
      <x:c r="O1045" s="9" t="str">
        <x:v>011000101</x:v>
      </x:c>
    </x:row>
    <x:row r="1046" ht="18" customHeight="1">
      <x:c r="A1046" s="2" t="str">
        <x:v>legacy_n6_03</x:v>
      </x:c>
      <x:c r="B1046" s="2" t="str">
        <x:v>QAOA</x:v>
      </x:c>
      <x:c r="C1046" s="2" t="n">
        <x:v>42</x:v>
      </x:c>
      <x:c r="D1046" s="2" t="str">
        <x:v>success</x:v>
      </x:c>
      <x:c r="E1046" s="2" t="n">
        <x:v>9</x:v>
      </x:c>
      <x:c r="F1046" s="7" t="n">
        <x:v>81.45714285714286</x:v>
      </x:c>
      <x:c r="G1046" s="7" t="n">
        <x:v>68.43478260869566</x:v>
      </x:c>
      <x:c r="H1046" s="7" t="n">
        <x:f>IF(F1046=0,"n.a.",100*(F1046-G1046)/F1046)</x:f>
        <x:v>15.986762844463415</x:v>
      </x:c>
      <x:c r="I1046" s="7" t="n">
        <x:f>F1046-G1046</x:f>
        <x:v>13.0223602484472</x:v>
      </x:c>
      <x:c r="J1046" s="8" t="n">
        <x:v>0.4187150079919857</x:v>
      </x:c>
      <x:c r="K1046" s="8" t="n">
        <x:v>0.41871500799198574</x:v>
      </x:c>
      <x:c r="L1046" s="8" t="n">
        <x:v>0</x:v>
      </x:c>
      <x:c r="M1046" s="7" t="n">
        <x:v>579.9694000015734</x:v>
      </x:c>
      <x:c r="N1046" s="2" t="str">
        <x:v>qiskit.primitives.StatevectorSampler</x:v>
      </x:c>
      <x:c r="O1046" s="9" t="str">
        <x:v>011000011</x:v>
      </x:c>
    </x:row>
    <x:row r="1047" ht="18" customHeight="1">
      <x:c r="A1047" s="2" t="str">
        <x:v>legacy_n6_03</x:v>
      </x:c>
      <x:c r="B1047" s="2" t="str">
        <x:v>BPSO</x:v>
      </x:c>
      <x:c r="C1047" s="2" t="n">
        <x:v>123</x:v>
      </x:c>
      <x:c r="D1047" s="2" t="str">
        <x:v>success</x:v>
      </x:c>
      <x:c r="E1047" s="2" t="n">
        <x:v>9</x:v>
      </x:c>
      <x:c r="F1047" s="7" t="n">
        <x:v>81.45714285714286</x:v>
      </x:c>
      <x:c r="G1047" s="7" t="n">
        <x:v>68.43478260869566</x:v>
      </x:c>
      <x:c r="H1047" s="7" t="n">
        <x:f>IF(F1047=0,"n.a.",100*(F1047-G1047)/F1047)</x:f>
        <x:v>15.986762844463415</x:v>
      </x:c>
      <x:c r="I1047" s="7" t="n">
        <x:f>F1047-G1047</x:f>
        <x:v>13.0223602484472</x:v>
      </x:c>
      <x:c r="J1047" s="8" t="n">
        <x:v>0.41871500799198574</x:v>
      </x:c>
      <x:c r="K1047" s="8" t="n">
        <x:v>0.41871500799198574</x:v>
      </x:c>
      <x:c r="L1047" s="8" t="n">
        <x:v>0</x:v>
      </x:c>
      <x:c r="M1047" s="7" t="n">
        <x:v>19.184100005077198</x:v>
      </x:c>
      <x:c r="N1047" s="2" t="str">
        <x:v>repository_particle_dynamics_on_frozen_qubo</x:v>
      </x:c>
      <x:c r="O1047" s="9" t="str">
        <x:v>101001001</x:v>
      </x:c>
    </x:row>
    <x:row r="1048" ht="18" customHeight="1">
      <x:c r="A1048" s="2" t="str">
        <x:v>legacy_n6_03</x:v>
      </x:c>
      <x:c r="B1048" s="2" t="str">
        <x:v>QAOA</x:v>
      </x:c>
      <x:c r="C1048" s="2" t="n">
        <x:v>123</x:v>
      </x:c>
      <x:c r="D1048" s="2" t="str">
        <x:v>success</x:v>
      </x:c>
      <x:c r="E1048" s="2" t="n">
        <x:v>9</x:v>
      </x:c>
      <x:c r="F1048" s="7" t="n">
        <x:v>81.45714285714286</x:v>
      </x:c>
      <x:c r="G1048" s="7" t="n">
        <x:v>68.43478260869566</x:v>
      </x:c>
      <x:c r="H1048" s="7" t="n">
        <x:f>IF(F1048=0,"n.a.",100*(F1048-G1048)/F1048)</x:f>
        <x:v>15.986762844463415</x:v>
      </x:c>
      <x:c r="I1048" s="7" t="n">
        <x:f>F1048-G1048</x:f>
        <x:v>13.0223602484472</x:v>
      </x:c>
      <x:c r="J1048" s="8" t="n">
        <x:v>0.4187150079919857</x:v>
      </x:c>
      <x:c r="K1048" s="8" t="n">
        <x:v>0.41871500799198574</x:v>
      </x:c>
      <x:c r="L1048" s="8" t="n">
        <x:v>0</x:v>
      </x:c>
      <x:c r="M1048" s="7" t="n">
        <x:v>687.0221999997739</x:v>
      </x:c>
      <x:c r="N1048" s="2" t="str">
        <x:v>qiskit.primitives.StatevectorSampler</x:v>
      </x:c>
      <x:c r="O1048" s="9" t="str">
        <x:v>100101100</x:v>
      </x:c>
    </x:row>
    <x:row r="1049" ht="18" customHeight="1">
      <x:c r="A1049" s="2" t="str">
        <x:v>legacy_n6_03</x:v>
      </x:c>
      <x:c r="B1049" s="2" t="str">
        <x:v>BPSO</x:v>
      </x:c>
      <x:c r="C1049" s="2" t="n">
        <x:v>456</x:v>
      </x:c>
      <x:c r="D1049" s="2" t="str">
        <x:v>success</x:v>
      </x:c>
      <x:c r="E1049" s="2" t="n">
        <x:v>9</x:v>
      </x:c>
      <x:c r="F1049" s="7" t="n">
        <x:v>81.45714285714286</x:v>
      </x:c>
      <x:c r="G1049" s="7" t="n">
        <x:v>68.43478260869566</x:v>
      </x:c>
      <x:c r="H1049" s="7" t="n">
        <x:f>IF(F1049=0,"n.a.",100*(F1049-G1049)/F1049)</x:f>
        <x:v>15.986762844463415</x:v>
      </x:c>
      <x:c r="I1049" s="7" t="n">
        <x:f>F1049-G1049</x:f>
        <x:v>13.0223602484472</x:v>
      </x:c>
      <x:c r="J1049" s="8" t="n">
        <x:v>0.41871500799198574</x:v>
      </x:c>
      <x:c r="K1049" s="8" t="n">
        <x:v>0.41871500799198574</x:v>
      </x:c>
      <x:c r="L1049" s="8" t="n">
        <x:v>0</x:v>
      </x:c>
      <x:c r="M1049" s="7" t="n">
        <x:v>20.111600009840913</x:v>
      </x:c>
      <x:c r="N1049" s="2" t="str">
        <x:v>repository_particle_dynamics_on_frozen_qubo</x:v>
      </x:c>
      <x:c r="O1049" s="9" t="str">
        <x:v>100101100</x:v>
      </x:c>
    </x:row>
    <x:row r="1050" ht="18" customHeight="1">
      <x:c r="A1050" s="2" t="str">
        <x:v>legacy_n6_03</x:v>
      </x:c>
      <x:c r="B1050" s="2" t="str">
        <x:v>QAOA</x:v>
      </x:c>
      <x:c r="C1050" s="2" t="n">
        <x:v>456</x:v>
      </x:c>
      <x:c r="D1050" s="2" t="str">
        <x:v>success</x:v>
      </x:c>
      <x:c r="E1050" s="2" t="n">
        <x:v>9</x:v>
      </x:c>
      <x:c r="F1050" s="7" t="n">
        <x:v>81.45714285714286</x:v>
      </x:c>
      <x:c r="G1050" s="7" t="n">
        <x:v>68.43478260869566</x:v>
      </x:c>
      <x:c r="H1050" s="7" t="n">
        <x:f>IF(F1050=0,"n.a.",100*(F1050-G1050)/F1050)</x:f>
        <x:v>15.986762844463415</x:v>
      </x:c>
      <x:c r="I1050" s="7" t="n">
        <x:f>F1050-G1050</x:f>
        <x:v>13.0223602484472</x:v>
      </x:c>
      <x:c r="J1050" s="8" t="n">
        <x:v>0.4187150079919857</x:v>
      </x:c>
      <x:c r="K1050" s="8" t="n">
        <x:v>0.41871500799198574</x:v>
      </x:c>
      <x:c r="L1050" s="8" t="n">
        <x:v>0</x:v>
      </x:c>
      <x:c r="M1050" s="7" t="n">
        <x:v>545.6033999944339</x:v>
      </x:c>
      <x:c r="N1050" s="2" t="str">
        <x:v>qiskit.primitives.StatevectorSampler</x:v>
      </x:c>
      <x:c r="O1050" s="9" t="str">
        <x:v>010110100</x:v>
      </x:c>
    </x:row>
    <x:row r="1051" ht="18" customHeight="1">
      <x:c r="A1051" s="2" t="str">
        <x:v>legacy_n6_03</x:v>
      </x:c>
      <x:c r="B1051" s="2" t="str">
        <x:v>BPSO</x:v>
      </x:c>
      <x:c r="C1051" s="2" t="n">
        <x:v>789</x:v>
      </x:c>
      <x:c r="D1051" s="2" t="str">
        <x:v>success</x:v>
      </x:c>
      <x:c r="E1051" s="2" t="n">
        <x:v>9</x:v>
      </x:c>
      <x:c r="F1051" s="7" t="n">
        <x:v>81.45714285714286</x:v>
      </x:c>
      <x:c r="G1051" s="7" t="n">
        <x:v>68.43478260869566</x:v>
      </x:c>
      <x:c r="H1051" s="7" t="n">
        <x:f>IF(F1051=0,"n.a.",100*(F1051-G1051)/F1051)</x:f>
        <x:v>15.986762844463415</x:v>
      </x:c>
      <x:c r="I1051" s="7" t="n">
        <x:f>F1051-G1051</x:f>
        <x:v>13.0223602484472</x:v>
      </x:c>
      <x:c r="J1051" s="8" t="n">
        <x:v>0.41871500799198574</x:v>
      </x:c>
      <x:c r="K1051" s="8" t="n">
        <x:v>0.41871500799198574</x:v>
      </x:c>
      <x:c r="L1051" s="8" t="n">
        <x:v>0</x:v>
      </x:c>
      <x:c r="M1051" s="7" t="n">
        <x:v>20.955399988451973</x:v>
      </x:c>
      <x:c r="N1051" s="2" t="str">
        <x:v>repository_particle_dynamics_on_frozen_qubo</x:v>
      </x:c>
      <x:c r="O1051" s="9" t="str">
        <x:v>010110001</x:v>
      </x:c>
    </x:row>
    <x:row r="1052" ht="18" customHeight="1">
      <x:c r="A1052" s="2" t="str">
        <x:v>legacy_n6_03</x:v>
      </x:c>
      <x:c r="B1052" s="2" t="str">
        <x:v>QAOA</x:v>
      </x:c>
      <x:c r="C1052" s="2" t="n">
        <x:v>789</x:v>
      </x:c>
      <x:c r="D1052" s="2" t="str">
        <x:v>success</x:v>
      </x:c>
      <x:c r="E1052" s="2" t="n">
        <x:v>9</x:v>
      </x:c>
      <x:c r="F1052" s="7" t="n">
        <x:v>81.45714285714286</x:v>
      </x:c>
      <x:c r="G1052" s="7" t="n">
        <x:v>68.43478260869566</x:v>
      </x:c>
      <x:c r="H1052" s="7" t="n">
        <x:f>IF(F1052=0,"n.a.",100*(F1052-G1052)/F1052)</x:f>
        <x:v>15.986762844463415</x:v>
      </x:c>
      <x:c r="I1052" s="7" t="n">
        <x:f>F1052-G1052</x:f>
        <x:v>13.0223602484472</x:v>
      </x:c>
      <x:c r="J1052" s="8" t="n">
        <x:v>0.4187150079919857</x:v>
      </x:c>
      <x:c r="K1052" s="8" t="n">
        <x:v>0.41871500799198574</x:v>
      </x:c>
      <x:c r="L1052" s="8" t="n">
        <x:v>0</x:v>
      </x:c>
      <x:c r="M1052" s="7" t="n">
        <x:v>561.9586000102572</x:v>
      </x:c>
      <x:c r="N1052" s="2" t="str">
        <x:v>qiskit.primitives.StatevectorSampler</x:v>
      </x:c>
      <x:c r="O1052" s="9" t="str">
        <x:v>110010100</x:v>
      </x:c>
    </x:row>
    <x:row r="1053" ht="18" customHeight="1">
      <x:c r="A1053" s="2" t="str">
        <x:v>legacy_n6_03</x:v>
      </x:c>
      <x:c r="B1053" s="2" t="str">
        <x:v>BPSO</x:v>
      </x:c>
      <x:c r="C1053" s="2" t="n">
        <x:v>2026</x:v>
      </x:c>
      <x:c r="D1053" s="2" t="str">
        <x:v>success</x:v>
      </x:c>
      <x:c r="E1053" s="2" t="n">
        <x:v>9</x:v>
      </x:c>
      <x:c r="F1053" s="7" t="n">
        <x:v>81.45714285714286</x:v>
      </x:c>
      <x:c r="G1053" s="7" t="n">
        <x:v>68.43478260869566</x:v>
      </x:c>
      <x:c r="H1053" s="7" t="n">
        <x:f>IF(F1053=0,"n.a.",100*(F1053-G1053)/F1053)</x:f>
        <x:v>15.986762844463415</x:v>
      </x:c>
      <x:c r="I1053" s="7" t="n">
        <x:f>F1053-G1053</x:f>
        <x:v>13.0223602484472</x:v>
      </x:c>
      <x:c r="J1053" s="8" t="n">
        <x:v>0.41871500799198574</x:v>
      </x:c>
      <x:c r="K1053" s="8" t="n">
        <x:v>0.41871500799198574</x:v>
      </x:c>
      <x:c r="L1053" s="8" t="n">
        <x:v>0</x:v>
      </x:c>
      <x:c r="M1053" s="7" t="n">
        <x:v>20.496900004218332</x:v>
      </x:c>
      <x:c r="N1053" s="2" t="str">
        <x:v>repository_particle_dynamics_on_frozen_qubo</x:v>
      </x:c>
      <x:c r="O1053" s="9" t="str">
        <x:v>101010010</x:v>
      </x:c>
    </x:row>
    <x:row r="1054" ht="18" customHeight="1">
      <x:c r="A1054" s="2" t="str">
        <x:v>legacy_n6_03</x:v>
      </x:c>
      <x:c r="B1054" s="2" t="str">
        <x:v>QAOA</x:v>
      </x:c>
      <x:c r="C1054" s="2" t="n">
        <x:v>2026</x:v>
      </x:c>
      <x:c r="D1054" s="2" t="str">
        <x:v>success</x:v>
      </x:c>
      <x:c r="E1054" s="2" t="n">
        <x:v>9</x:v>
      </x:c>
      <x:c r="F1054" s="7" t="n">
        <x:v>81.45714285714286</x:v>
      </x:c>
      <x:c r="G1054" s="7" t="n">
        <x:v>68.43478260869566</x:v>
      </x:c>
      <x:c r="H1054" s="7" t="n">
        <x:f>IF(F1054=0,"n.a.",100*(F1054-G1054)/F1054)</x:f>
        <x:v>15.986762844463415</x:v>
      </x:c>
      <x:c r="I1054" s="7" t="n">
        <x:f>F1054-G1054</x:f>
        <x:v>13.0223602484472</x:v>
      </x:c>
      <x:c r="J1054" s="8" t="n">
        <x:v>0.4187150079919857</x:v>
      </x:c>
      <x:c r="K1054" s="8" t="n">
        <x:v>0.41871500799198574</x:v>
      </x:c>
      <x:c r="L1054" s="8" t="n">
        <x:v>0</x:v>
      </x:c>
      <x:c r="M1054" s="7" t="n">
        <x:v>611.446299997624</x:v>
      </x:c>
      <x:c r="N1054" s="2" t="str">
        <x:v>qiskit.primitives.StatevectorSampler</x:v>
      </x:c>
      <x:c r="O1054" s="9" t="str">
        <x:v>100101100</x:v>
      </x:c>
    </x:row>
    <x:row r="1055" ht="18" customHeight="1">
      <x:c r="A1055" s="2" t="str">
        <x:v>legacy_n6_04</x:v>
      </x:c>
      <x:c r="B1055" s="2" t="str">
        <x:v>Unmanaged</x:v>
      </x:c>
      <x:c r="C1055" s="2"/>
      <x:c r="D1055" s="2" t="str">
        <x:v>baseline</x:v>
      </x:c>
      <x:c r="E1055" s="2" t="n">
        <x:v>7</x:v>
      </x:c>
      <x:c r="F1055" s="7" t="n">
        <x:v>75.9421052631579</x:v>
      </x:c>
      <x:c r="G1055" s="7" t="n">
        <x:v>75.9421052631579</x:v>
      </x:c>
      <x:c r="H1055" s="7" t="n">
        <x:f>IF(F1055=0,"n.a.",100*(F1055-G1055)/F1055)</x:f>
        <x:v>0</x:v>
      </x:c>
      <x:c r="I1055" s="7" t="n">
        <x:f>F1055-G1055</x:f>
        <x:v>0</x:v>
      </x:c>
      <x:c r="J1055" s="8"/>
      <x:c r="K1055" s="8" t="n">
        <x:v>0.48753204485046564</x:v>
      </x:c>
      <x:c r="L1055" s="8"/>
      <x:c r="M1055" s="7"/>
      <x:c r="N1055" s="2" t="str">
        <x:v>unmanaged_input</x:v>
      </x:c>
      <x:c r="O1055" s="9"/>
    </x:row>
    <x:row r="1056" ht="18" customHeight="1">
      <x:c r="A1056" s="2" t="str">
        <x:v>legacy_n6_04</x:v>
      </x:c>
      <x:c r="B1056" s="2" t="str">
        <x:v>Exact J</x:v>
      </x:c>
      <x:c r="C1056" s="2"/>
      <x:c r="D1056" s="2" t="str">
        <x:v>success</x:v>
      </x:c>
      <x:c r="E1056" s="2" t="n">
        <x:v>7</x:v>
      </x:c>
      <x:c r="F1056" s="7" t="n">
        <x:v>75.9421052631579</x:v>
      </x:c>
      <x:c r="G1056" s="7" t="n">
        <x:v>66.88000000000001</x:v>
      </x:c>
      <x:c r="H1056" s="7" t="n">
        <x:f>IF(F1056=0,"n.a.",100*(F1056-G1056)/F1056)</x:f>
        <x:v>11.932912883775721</x:v>
      </x:c>
      <x:c r="I1056" s="7" t="n">
        <x:f>F1056-G1056</x:f>
        <x:v>9.06210526315789</x:v>
      </x:c>
      <x:c r="J1056" s="8" t="n">
        <x:v>0.48753204485046564</x:v>
      </x:c>
      <x:c r="K1056" s="8" t="n">
        <x:v>0.48753204485046564</x:v>
      </x:c>
      <x:c r="L1056" s="8" t="n">
        <x:v>0</x:v>
      </x:c>
      <x:c r="M1056" s="7"/>
      <x:c r="N1056" s="2" t="str">
        <x:v>exhaustive_enumeration</x:v>
      </x:c>
      <x:c r="O1056" s="9" t="str">
        <x:v>0010001</x:v>
      </x:c>
    </x:row>
    <x:row r="1057" ht="18" customHeight="1">
      <x:c r="A1057" s="2" t="str">
        <x:v>legacy_n6_04</x:v>
      </x:c>
      <x:c r="B1057" s="2" t="str">
        <x:v>Exact peak</x:v>
      </x:c>
      <x:c r="C1057" s="2"/>
      <x:c r="D1057" s="2" t="str">
        <x:v>success</x:v>
      </x:c>
      <x:c r="E1057" s="2" t="n">
        <x:v>7</x:v>
      </x:c>
      <x:c r="F1057" s="7" t="n">
        <x:v>75.9421052631579</x:v>
      </x:c>
      <x:c r="G1057" s="7" t="n">
        <x:v>66.88000000000001</x:v>
      </x:c>
      <x:c r="H1057" s="7" t="n">
        <x:f>IF(F1057=0,"n.a.",100*(F1057-G1057)/F1057)</x:f>
        <x:v>11.932912883775721</x:v>
      </x:c>
      <x:c r="I1057" s="7" t="n">
        <x:f>F1057-G1057</x:f>
        <x:v>9.06210526315789</x:v>
      </x:c>
      <x:c r="J1057" s="8" t="n">
        <x:v>0.48753204485046564</x:v>
      </x:c>
      <x:c r="K1057" s="8" t="n">
        <x:v>0.48753204485046564</x:v>
      </x:c>
      <x:c r="L1057" s="8" t="n">
        <x:v>0</x:v>
      </x:c>
      <x:c r="M1057" s="7"/>
      <x:c r="N1057" s="2" t="str">
        <x:v>exhaustive_enumeration</x:v>
      </x:c>
      <x:c r="O1057" s="9" t="str">
        <x:v>0010001</x:v>
      </x:c>
    </x:row>
    <x:row r="1058" ht="18" customHeight="1">
      <x:c r="A1058" s="2" t="str">
        <x:v>legacy_n6_04</x:v>
      </x:c>
      <x:c r="B1058" s="2" t="str">
        <x:v>BPSO</x:v>
      </x:c>
      <x:c r="C1058" s="2" t="n">
        <x:v>42</x:v>
      </x:c>
      <x:c r="D1058" s="2" t="str">
        <x:v>success</x:v>
      </x:c>
      <x:c r="E1058" s="2" t="n">
        <x:v>7</x:v>
      </x:c>
      <x:c r="F1058" s="7" t="n">
        <x:v>75.9421052631579</x:v>
      </x:c>
      <x:c r="G1058" s="7" t="n">
        <x:v>66.88000000000001</x:v>
      </x:c>
      <x:c r="H1058" s="7" t="n">
        <x:f>IF(F1058=0,"n.a.",100*(F1058-G1058)/F1058)</x:f>
        <x:v>11.932912883775721</x:v>
      </x:c>
      <x:c r="I1058" s="7" t="n">
        <x:f>F1058-G1058</x:f>
        <x:v>9.06210526315789</x:v>
      </x:c>
      <x:c r="J1058" s="8" t="n">
        <x:v>0.48753204485046564</x:v>
      </x:c>
      <x:c r="K1058" s="8" t="n">
        <x:v>0.48753204485046564</x:v>
      </x:c>
      <x:c r="L1058" s="8" t="n">
        <x:v>0</x:v>
      </x:c>
      <x:c r="M1058" s="7" t="n">
        <x:v>16.605400000116788</x:v>
      </x:c>
      <x:c r="N1058" s="2" t="str">
        <x:v>repository_particle_dynamics_on_frozen_qubo</x:v>
      </x:c>
      <x:c r="O1058" s="9" t="str">
        <x:v>0010010</x:v>
      </x:c>
    </x:row>
    <x:row r="1059" ht="18" customHeight="1">
      <x:c r="A1059" s="2" t="str">
        <x:v>legacy_n6_04</x:v>
      </x:c>
      <x:c r="B1059" s="2" t="str">
        <x:v>QAOA</x:v>
      </x:c>
      <x:c r="C1059" s="2" t="n">
        <x:v>42</x:v>
      </x:c>
      <x:c r="D1059" s="2" t="str">
        <x:v>success</x:v>
      </x:c>
      <x:c r="E1059" s="2" t="n">
        <x:v>7</x:v>
      </x:c>
      <x:c r="F1059" s="7" t="n">
        <x:v>75.9421052631579</x:v>
      </x:c>
      <x:c r="G1059" s="7" t="n">
        <x:v>66.88000000000001</x:v>
      </x:c>
      <x:c r="H1059" s="7" t="n">
        <x:f>IF(F1059=0,"n.a.",100*(F1059-G1059)/F1059)</x:f>
        <x:v>11.932912883775721</x:v>
      </x:c>
      <x:c r="I1059" s="7" t="n">
        <x:f>F1059-G1059</x:f>
        <x:v>9.06210526315789</x:v>
      </x:c>
      <x:c r="J1059" s="8" t="n">
        <x:v>0.48753204485046564</x:v>
      </x:c>
      <x:c r="K1059" s="8" t="n">
        <x:v>0.48753204485046564</x:v>
      </x:c>
      <x:c r="L1059" s="8" t="n">
        <x:v>0</x:v>
      </x:c>
      <x:c r="M1059" s="7" t="n">
        <x:v>422.6778000011109</x:v>
      </x:c>
      <x:c r="N1059" s="2" t="str">
        <x:v>qiskit.primitives.StatevectorSampler</x:v>
      </x:c>
      <x:c r="O1059" s="9" t="str">
        <x:v>0010001</x:v>
      </x:c>
    </x:row>
    <x:row r="1060" ht="18" customHeight="1">
      <x:c r="A1060" s="2" t="str">
        <x:v>legacy_n6_04</x:v>
      </x:c>
      <x:c r="B1060" s="2" t="str">
        <x:v>BPSO</x:v>
      </x:c>
      <x:c r="C1060" s="2" t="n">
        <x:v>123</x:v>
      </x:c>
      <x:c r="D1060" s="2" t="str">
        <x:v>success</x:v>
      </x:c>
      <x:c r="E1060" s="2" t="n">
        <x:v>7</x:v>
      </x:c>
      <x:c r="F1060" s="7" t="n">
        <x:v>75.9421052631579</x:v>
      </x:c>
      <x:c r="G1060" s="7" t="n">
        <x:v>66.88000000000001</x:v>
      </x:c>
      <x:c r="H1060" s="7" t="n">
        <x:f>IF(F1060=0,"n.a.",100*(F1060-G1060)/F1060)</x:f>
        <x:v>11.932912883775721</x:v>
      </x:c>
      <x:c r="I1060" s="7" t="n">
        <x:f>F1060-G1060</x:f>
        <x:v>9.06210526315789</x:v>
      </x:c>
      <x:c r="J1060" s="8" t="n">
        <x:v>0.48753204485046564</x:v>
      </x:c>
      <x:c r="K1060" s="8" t="n">
        <x:v>0.48753204485046564</x:v>
      </x:c>
      <x:c r="L1060" s="8" t="n">
        <x:v>0</x:v>
      </x:c>
      <x:c r="M1060" s="7" t="n">
        <x:v>17.329399997834116</x:v>
      </x:c>
      <x:c r="N1060" s="2" t="str">
        <x:v>repository_particle_dynamics_on_frozen_qubo</x:v>
      </x:c>
      <x:c r="O1060" s="9" t="str">
        <x:v>0010100</x:v>
      </x:c>
    </x:row>
    <x:row r="1061" ht="18" customHeight="1">
      <x:c r="A1061" s="2" t="str">
        <x:v>legacy_n6_04</x:v>
      </x:c>
      <x:c r="B1061" s="2" t="str">
        <x:v>QAOA</x:v>
      </x:c>
      <x:c r="C1061" s="2" t="n">
        <x:v>123</x:v>
      </x:c>
      <x:c r="D1061" s="2" t="str">
        <x:v>success</x:v>
      </x:c>
      <x:c r="E1061" s="2" t="n">
        <x:v>7</x:v>
      </x:c>
      <x:c r="F1061" s="7" t="n">
        <x:v>75.9421052631579</x:v>
      </x:c>
      <x:c r="G1061" s="7" t="n">
        <x:v>66.88000000000001</x:v>
      </x:c>
      <x:c r="H1061" s="7" t="n">
        <x:f>IF(F1061=0,"n.a.",100*(F1061-G1061)/F1061)</x:f>
        <x:v>11.932912883775721</x:v>
      </x:c>
      <x:c r="I1061" s="7" t="n">
        <x:f>F1061-G1061</x:f>
        <x:v>9.06210526315789</x:v>
      </x:c>
      <x:c r="J1061" s="8" t="n">
        <x:v>0.48753204485046564</x:v>
      </x:c>
      <x:c r="K1061" s="8" t="n">
        <x:v>0.48753204485046564</x:v>
      </x:c>
      <x:c r="L1061" s="8" t="n">
        <x:v>0</x:v>
      </x:c>
      <x:c r="M1061" s="7" t="n">
        <x:v>321.32950000232086</x:v>
      </x:c>
      <x:c r="N1061" s="2" t="str">
        <x:v>qiskit.primitives.StatevectorSampler</x:v>
      </x:c>
      <x:c r="O1061" s="9" t="str">
        <x:v>0100100</x:v>
      </x:c>
    </x:row>
    <x:row r="1062" ht="18" customHeight="1">
      <x:c r="A1062" s="2" t="str">
        <x:v>legacy_n6_04</x:v>
      </x:c>
      <x:c r="B1062" s="2" t="str">
        <x:v>BPSO</x:v>
      </x:c>
      <x:c r="C1062" s="2" t="n">
        <x:v>456</x:v>
      </x:c>
      <x:c r="D1062" s="2" t="str">
        <x:v>success</x:v>
      </x:c>
      <x:c r="E1062" s="2" t="n">
        <x:v>7</x:v>
      </x:c>
      <x:c r="F1062" s="7" t="n">
        <x:v>75.9421052631579</x:v>
      </x:c>
      <x:c r="G1062" s="7" t="n">
        <x:v>66.88000000000001</x:v>
      </x:c>
      <x:c r="H1062" s="7" t="n">
        <x:f>IF(F1062=0,"n.a.",100*(F1062-G1062)/F1062)</x:f>
        <x:v>11.932912883775721</x:v>
      </x:c>
      <x:c r="I1062" s="7" t="n">
        <x:f>F1062-G1062</x:f>
        <x:v>9.06210526315789</x:v>
      </x:c>
      <x:c r="J1062" s="8" t="n">
        <x:v>0.48753204485046564</x:v>
      </x:c>
      <x:c r="K1062" s="8" t="n">
        <x:v>0.48753204485046564</x:v>
      </x:c>
      <x:c r="L1062" s="8" t="n">
        <x:v>0</x:v>
      </x:c>
      <x:c r="M1062" s="7" t="n">
        <x:v>16.54009999765549</x:v>
      </x:c>
      <x:c r="N1062" s="2" t="str">
        <x:v>repository_particle_dynamics_on_frozen_qubo</x:v>
      </x:c>
      <x:c r="O1062" s="9" t="str">
        <x:v>0010001</x:v>
      </x:c>
    </x:row>
    <x:row r="1063" ht="18" customHeight="1">
      <x:c r="A1063" s="2" t="str">
        <x:v>legacy_n6_04</x:v>
      </x:c>
      <x:c r="B1063" s="2" t="str">
        <x:v>QAOA</x:v>
      </x:c>
      <x:c r="C1063" s="2" t="n">
        <x:v>456</x:v>
      </x:c>
      <x:c r="D1063" s="2" t="str">
        <x:v>success</x:v>
      </x:c>
      <x:c r="E1063" s="2" t="n">
        <x:v>7</x:v>
      </x:c>
      <x:c r="F1063" s="7" t="n">
        <x:v>75.9421052631579</x:v>
      </x:c>
      <x:c r="G1063" s="7" t="n">
        <x:v>66.88000000000001</x:v>
      </x:c>
      <x:c r="H1063" s="7" t="n">
        <x:f>IF(F1063=0,"n.a.",100*(F1063-G1063)/F1063)</x:f>
        <x:v>11.932912883775721</x:v>
      </x:c>
      <x:c r="I1063" s="7" t="n">
        <x:f>F1063-G1063</x:f>
        <x:v>9.06210526315789</x:v>
      </x:c>
      <x:c r="J1063" s="8" t="n">
        <x:v>0.48753204485046564</x:v>
      </x:c>
      <x:c r="K1063" s="8" t="n">
        <x:v>0.48753204485046564</x:v>
      </x:c>
      <x:c r="L1063" s="8" t="n">
        <x:v>0</x:v>
      </x:c>
      <x:c r="M1063" s="7" t="n">
        <x:v>345.2564000035636</x:v>
      </x:c>
      <x:c r="N1063" s="2" t="str">
        <x:v>qiskit.primitives.StatevectorSampler</x:v>
      </x:c>
      <x:c r="O1063" s="9" t="str">
        <x:v>0010010</x:v>
      </x:c>
    </x:row>
    <x:row r="1064" ht="18" customHeight="1">
      <x:c r="A1064" s="2" t="str">
        <x:v>legacy_n6_04</x:v>
      </x:c>
      <x:c r="B1064" s="2" t="str">
        <x:v>BPSO</x:v>
      </x:c>
      <x:c r="C1064" s="2" t="n">
        <x:v>789</x:v>
      </x:c>
      <x:c r="D1064" s="2" t="str">
        <x:v>success</x:v>
      </x:c>
      <x:c r="E1064" s="2" t="n">
        <x:v>7</x:v>
      </x:c>
      <x:c r="F1064" s="7" t="n">
        <x:v>75.9421052631579</x:v>
      </x:c>
      <x:c r="G1064" s="7" t="n">
        <x:v>66.88000000000001</x:v>
      </x:c>
      <x:c r="H1064" s="7" t="n">
        <x:f>IF(F1064=0,"n.a.",100*(F1064-G1064)/F1064)</x:f>
        <x:v>11.932912883775721</x:v>
      </x:c>
      <x:c r="I1064" s="7" t="n">
        <x:f>F1064-G1064</x:f>
        <x:v>9.06210526315789</x:v>
      </x:c>
      <x:c r="J1064" s="8" t="n">
        <x:v>0.48753204485046564</x:v>
      </x:c>
      <x:c r="K1064" s="8" t="n">
        <x:v>0.48753204485046564</x:v>
      </x:c>
      <x:c r="L1064" s="8" t="n">
        <x:v>0</x:v>
      </x:c>
      <x:c r="M1064" s="7" t="n">
        <x:v>17.044700012775138</x:v>
      </x:c>
      <x:c r="N1064" s="2" t="str">
        <x:v>repository_particle_dynamics_on_frozen_qubo</x:v>
      </x:c>
      <x:c r="O1064" s="9" t="str">
        <x:v>0010010</x:v>
      </x:c>
    </x:row>
    <x:row r="1065" ht="18" customHeight="1">
      <x:c r="A1065" s="2" t="str">
        <x:v>legacy_n6_04</x:v>
      </x:c>
      <x:c r="B1065" s="2" t="str">
        <x:v>QAOA</x:v>
      </x:c>
      <x:c r="C1065" s="2" t="n">
        <x:v>789</x:v>
      </x:c>
      <x:c r="D1065" s="2" t="str">
        <x:v>success</x:v>
      </x:c>
      <x:c r="E1065" s="2" t="n">
        <x:v>7</x:v>
      </x:c>
      <x:c r="F1065" s="7" t="n">
        <x:v>75.9421052631579</x:v>
      </x:c>
      <x:c r="G1065" s="7" t="n">
        <x:v>66.88000000000001</x:v>
      </x:c>
      <x:c r="H1065" s="7" t="n">
        <x:f>IF(F1065=0,"n.a.",100*(F1065-G1065)/F1065)</x:f>
        <x:v>11.932912883775721</x:v>
      </x:c>
      <x:c r="I1065" s="7" t="n">
        <x:f>F1065-G1065</x:f>
        <x:v>9.06210526315789</x:v>
      </x:c>
      <x:c r="J1065" s="8" t="n">
        <x:v>0.48753204485046564</x:v>
      </x:c>
      <x:c r="K1065" s="8" t="n">
        <x:v>0.48753204485046564</x:v>
      </x:c>
      <x:c r="L1065" s="8" t="n">
        <x:v>0</x:v>
      </x:c>
      <x:c r="M1065" s="7" t="n">
        <x:v>484.5445000100881</x:v>
      </x:c>
      <x:c r="N1065" s="2" t="str">
        <x:v>qiskit.primitives.StatevectorSampler</x:v>
      </x:c>
      <x:c r="O1065" s="9" t="str">
        <x:v>1000100</x:v>
      </x:c>
    </x:row>
    <x:row r="1066" ht="18" customHeight="1">
      <x:c r="A1066" s="2" t="str">
        <x:v>legacy_n6_04</x:v>
      </x:c>
      <x:c r="B1066" s="2" t="str">
        <x:v>BPSO</x:v>
      </x:c>
      <x:c r="C1066" s="2" t="n">
        <x:v>2026</x:v>
      </x:c>
      <x:c r="D1066" s="2" t="str">
        <x:v>success</x:v>
      </x:c>
      <x:c r="E1066" s="2" t="n">
        <x:v>7</x:v>
      </x:c>
      <x:c r="F1066" s="7" t="n">
        <x:v>75.9421052631579</x:v>
      </x:c>
      <x:c r="G1066" s="7" t="n">
        <x:v>66.88000000000001</x:v>
      </x:c>
      <x:c r="H1066" s="7" t="n">
        <x:f>IF(F1066=0,"n.a.",100*(F1066-G1066)/F1066)</x:f>
        <x:v>11.932912883775721</x:v>
      </x:c>
      <x:c r="I1066" s="7" t="n">
        <x:f>F1066-G1066</x:f>
        <x:v>9.06210526315789</x:v>
      </x:c>
      <x:c r="J1066" s="8" t="n">
        <x:v>0.48753204485046564</x:v>
      </x:c>
      <x:c r="K1066" s="8" t="n">
        <x:v>0.48753204485046564</x:v>
      </x:c>
      <x:c r="L1066" s="8" t="n">
        <x:v>0</x:v>
      </x:c>
      <x:c r="M1066" s="7" t="n">
        <x:v>18.672000005608425</x:v>
      </x:c>
      <x:c r="N1066" s="2" t="str">
        <x:v>repository_particle_dynamics_on_frozen_qubo</x:v>
      </x:c>
      <x:c r="O1066" s="9" t="str">
        <x:v>1000010</x:v>
      </x:c>
    </x:row>
    <x:row r="1067" ht="18" customHeight="1">
      <x:c r="A1067" s="2" t="str">
        <x:v>legacy_n6_04</x:v>
      </x:c>
      <x:c r="B1067" s="2" t="str">
        <x:v>QAOA</x:v>
      </x:c>
      <x:c r="C1067" s="2" t="n">
        <x:v>2026</x:v>
      </x:c>
      <x:c r="D1067" s="2" t="str">
        <x:v>success</x:v>
      </x:c>
      <x:c r="E1067" s="2" t="n">
        <x:v>7</x:v>
      </x:c>
      <x:c r="F1067" s="7" t="n">
        <x:v>75.9421052631579</x:v>
      </x:c>
      <x:c r="G1067" s="7" t="n">
        <x:v>66.88000000000001</x:v>
      </x:c>
      <x:c r="H1067" s="7" t="n">
        <x:f>IF(F1067=0,"n.a.",100*(F1067-G1067)/F1067)</x:f>
        <x:v>11.932912883775721</x:v>
      </x:c>
      <x:c r="I1067" s="7" t="n">
        <x:f>F1067-G1067</x:f>
        <x:v>9.06210526315789</x:v>
      </x:c>
      <x:c r="J1067" s="8" t="n">
        <x:v>0.48753204485046564</x:v>
      </x:c>
      <x:c r="K1067" s="8" t="n">
        <x:v>0.48753204485046564</x:v>
      </x:c>
      <x:c r="L1067" s="8" t="n">
        <x:v>0</x:v>
      </x:c>
      <x:c r="M1067" s="7" t="n">
        <x:v>340.52699999301694</x:v>
      </x:c>
      <x:c r="N1067" s="2" t="str">
        <x:v>qiskit.primitives.StatevectorSampler</x:v>
      </x:c>
      <x:c r="O1067" s="9" t="str">
        <x:v>0101000</x:v>
      </x:c>
    </x:row>
    <x:row r="1068" ht="18" customHeight="1">
      <x:c r="A1068" s="2" t="str">
        <x:v>legacy_n6_05</x:v>
      </x:c>
      <x:c r="B1068" s="2" t="str">
        <x:v>Unmanaged</x:v>
      </x:c>
      <x:c r="C1068" s="2"/>
      <x:c r="D1068" s="2" t="str">
        <x:v>baseline</x:v>
      </x:c>
      <x:c r="E1068" s="2" t="n">
        <x:v>9</x:v>
      </x:c>
      <x:c r="F1068" s="7" t="n">
        <x:v>82.7235294117647</x:v>
      </x:c>
      <x:c r="G1068" s="7" t="n">
        <x:v>82.7235294117647</x:v>
      </x:c>
      <x:c r="H1068" s="7" t="n">
        <x:f>IF(F1068=0,"n.a.",100*(F1068-G1068)/F1068)</x:f>
        <x:v>0</x:v>
      </x:c>
      <x:c r="I1068" s="7" t="n">
        <x:f>F1068-G1068</x:f>
        <x:v>0</x:v>
      </x:c>
      <x:c r="J1068" s="8"/>
      <x:c r="K1068" s="8" t="n">
        <x:v>0.3963580956142879</x:v>
      </x:c>
      <x:c r="L1068" s="8"/>
      <x:c r="M1068" s="7"/>
      <x:c r="N1068" s="2" t="str">
        <x:v>unmanaged_input</x:v>
      </x:c>
      <x:c r="O1068" s="9"/>
    </x:row>
    <x:row r="1069" ht="18" customHeight="1">
      <x:c r="A1069" s="2" t="str">
        <x:v>legacy_n6_05</x:v>
      </x:c>
      <x:c r="B1069" s="2" t="str">
        <x:v>Exact J</x:v>
      </x:c>
      <x:c r="C1069" s="2"/>
      <x:c r="D1069" s="2" t="str">
        <x:v>success</x:v>
      </x:c>
      <x:c r="E1069" s="2" t="n">
        <x:v>9</x:v>
      </x:c>
      <x:c r="F1069" s="7" t="n">
        <x:v>82.7235294117647</x:v>
      </x:c>
      <x:c r="G1069" s="7" t="n">
        <x:v>64.58260869565218</x:v>
      </x:c>
      <x:c r="H1069" s="7" t="n">
        <x:f>IF(F1069=0,"n.a.",100*(F1069-G1069)/F1069)</x:f>
        <x:v>21.929577769601995</x:v>
      </x:c>
      <x:c r="I1069" s="7" t="n">
        <x:f>F1069-G1069</x:f>
        <x:v>18.140920716112518</x:v>
      </x:c>
      <x:c r="J1069" s="8" t="n">
        <x:v>0.3963580956142879</x:v>
      </x:c>
      <x:c r="K1069" s="8" t="n">
        <x:v>0.3963580956142879</x:v>
      </x:c>
      <x:c r="L1069" s="8" t="n">
        <x:v>0</x:v>
      </x:c>
      <x:c r="M1069" s="7"/>
      <x:c r="N1069" s="2" t="str">
        <x:v>exhaustive_enumeration</x:v>
      </x:c>
      <x:c r="O1069" s="9" t="str">
        <x:v>001110111</x:v>
      </x:c>
    </x:row>
    <x:row r="1070" ht="18" customHeight="1">
      <x:c r="A1070" s="2" t="str">
        <x:v>legacy_n6_05</x:v>
      </x:c>
      <x:c r="B1070" s="2" t="str">
        <x:v>Exact peak</x:v>
      </x:c>
      <x:c r="C1070" s="2"/>
      <x:c r="D1070" s="2" t="str">
        <x:v>success</x:v>
      </x:c>
      <x:c r="E1070" s="2" t="n">
        <x:v>9</x:v>
      </x:c>
      <x:c r="F1070" s="7" t="n">
        <x:v>82.7235294117647</x:v>
      </x:c>
      <x:c r="G1070" s="7" t="n">
        <x:v>64.5</x:v>
      </x:c>
      <x:c r="H1070" s="7" t="n">
        <x:f>IF(F1070=0,"n.a.",100*(F1070-G1070)/F1070)</x:f>
        <x:v>22.02943895328166</x:v>
      </x:c>
      <x:c r="I1070" s="7" t="n">
        <x:f>F1070-G1070</x:f>
        <x:v>18.2235294117647</x:v>
      </x:c>
      <x:c r="J1070" s="8" t="n">
        <x:v>0.4419358516443357</x:v>
      </x:c>
      <x:c r="K1070" s="8" t="n">
        <x:v>0.3963580956142879</x:v>
      </x:c>
      <x:c r="L1070" s="8" t="n">
        <x:v>0.04557775603004777</x:v>
      </x:c>
      <x:c r="M1070" s="7"/>
      <x:c r="N1070" s="2" t="str">
        <x:v>exhaustive_enumeration</x:v>
      </x:c>
      <x:c r="O1070" s="9" t="str">
        <x:v>000110111</x:v>
      </x:c>
    </x:row>
    <x:row r="1071" ht="18" customHeight="1">
      <x:c r="A1071" s="2" t="str">
        <x:v>legacy_n6_05</x:v>
      </x:c>
      <x:c r="B1071" s="2" t="str">
        <x:v>BPSO</x:v>
      </x:c>
      <x:c r="C1071" s="2" t="n">
        <x:v>42</x:v>
      </x:c>
      <x:c r="D1071" s="2" t="str">
        <x:v>success</x:v>
      </x:c>
      <x:c r="E1071" s="2" t="n">
        <x:v>9</x:v>
      </x:c>
      <x:c r="F1071" s="7" t="n">
        <x:v>82.7235294117647</x:v>
      </x:c>
      <x:c r="G1071" s="7" t="n">
        <x:v>64.58260869565218</x:v>
      </x:c>
      <x:c r="H1071" s="7" t="n">
        <x:f>IF(F1071=0,"n.a.",100*(F1071-G1071)/F1071)</x:f>
        <x:v>21.929577769601995</x:v>
      </x:c>
      <x:c r="I1071" s="7" t="n">
        <x:f>F1071-G1071</x:f>
        <x:v>18.140920716112518</x:v>
      </x:c>
      <x:c r="J1071" s="8" t="n">
        <x:v>0.3963580956142879</x:v>
      </x:c>
      <x:c r="K1071" s="8" t="n">
        <x:v>0.3963580956142879</x:v>
      </x:c>
      <x:c r="L1071" s="8" t="n">
        <x:v>0</x:v>
      </x:c>
      <x:c r="M1071" s="7" t="n">
        <x:v>22.876500006532297</x:v>
      </x:c>
      <x:c r="N1071" s="2" t="str">
        <x:v>repository_particle_dynamics_on_frozen_qubo</x:v>
      </x:c>
      <x:c r="O1071" s="9" t="str">
        <x:v>101101110</x:v>
      </x:c>
    </x:row>
    <x:row r="1072" ht="18" customHeight="1">
      <x:c r="A1072" s="2" t="str">
        <x:v>legacy_n6_05</x:v>
      </x:c>
      <x:c r="B1072" s="2" t="str">
        <x:v>QAOA</x:v>
      </x:c>
      <x:c r="C1072" s="2" t="n">
        <x:v>42</x:v>
      </x:c>
      <x:c r="D1072" s="2" t="str">
        <x:v>success</x:v>
      </x:c>
      <x:c r="E1072" s="2" t="n">
        <x:v>9</x:v>
      </x:c>
      <x:c r="F1072" s="7" t="n">
        <x:v>82.7235294117647</x:v>
      </x:c>
      <x:c r="G1072" s="7" t="n">
        <x:v>64.58260869565218</x:v>
      </x:c>
      <x:c r="H1072" s="7" t="n">
        <x:f>IF(F1072=0,"n.a.",100*(F1072-G1072)/F1072)</x:f>
        <x:v>21.929577769601995</x:v>
      </x:c>
      <x:c r="I1072" s="7" t="n">
        <x:f>F1072-G1072</x:f>
        <x:v>18.140920716112518</x:v>
      </x:c>
      <x:c r="J1072" s="8" t="n">
        <x:v>0.3963580956142877</x:v>
      </x:c>
      <x:c r="K1072" s="8" t="n">
        <x:v>0.3963580956142879</x:v>
      </x:c>
      <x:c r="L1072" s="8" t="n">
        <x:v>0</x:v>
      </x:c>
      <x:c r="M1072" s="7" t="n">
        <x:v>629.051800002344</x:v>
      </x:c>
      <x:c r="N1072" s="2" t="str">
        <x:v>qiskit.primitives.StatevectorSampler</x:v>
      </x:c>
      <x:c r="O1072" s="9" t="str">
        <x:v>101101101</x:v>
      </x:c>
    </x:row>
    <x:row r="1073" ht="18" customHeight="1">
      <x:c r="A1073" s="2" t="str">
        <x:v>legacy_n6_05</x:v>
      </x:c>
      <x:c r="B1073" s="2" t="str">
        <x:v>BPSO</x:v>
      </x:c>
      <x:c r="C1073" s="2" t="n">
        <x:v>123</x:v>
      </x:c>
      <x:c r="D1073" s="2" t="str">
        <x:v>success</x:v>
      </x:c>
      <x:c r="E1073" s="2" t="n">
        <x:v>9</x:v>
      </x:c>
      <x:c r="F1073" s="7" t="n">
        <x:v>82.7235294117647</x:v>
      </x:c>
      <x:c r="G1073" s="7" t="n">
        <x:v>64.58260869565218</x:v>
      </x:c>
      <x:c r="H1073" s="7" t="n">
        <x:f>IF(F1073=0,"n.a.",100*(F1073-G1073)/F1073)</x:f>
        <x:v>21.929577769601995</x:v>
      </x:c>
      <x:c r="I1073" s="7" t="n">
        <x:f>F1073-G1073</x:f>
        <x:v>18.140920716112518</x:v>
      </x:c>
      <x:c r="J1073" s="8" t="n">
        <x:v>0.3963580956142879</x:v>
      </x:c>
      <x:c r="K1073" s="8" t="n">
        <x:v>0.3963580956142879</x:v>
      </x:c>
      <x:c r="L1073" s="8" t="n">
        <x:v>0</x:v>
      </x:c>
      <x:c r="M1073" s="7" t="n">
        <x:v>23.535500004072674</x:v>
      </x:c>
      <x:c r="N1073" s="2" t="str">
        <x:v>repository_particle_dynamics_on_frozen_qubo</x:v>
      </x:c>
      <x:c r="O1073" s="9" t="str">
        <x:v>101101011</x:v>
      </x:c>
    </x:row>
    <x:row r="1074" ht="18" customHeight="1">
      <x:c r="A1074" s="2" t="str">
        <x:v>legacy_n6_05</x:v>
      </x:c>
      <x:c r="B1074" s="2" t="str">
        <x:v>QAOA</x:v>
      </x:c>
      <x:c r="C1074" s="2" t="n">
        <x:v>123</x:v>
      </x:c>
      <x:c r="D1074" s="2" t="str">
        <x:v>success</x:v>
      </x:c>
      <x:c r="E1074" s="2" t="n">
        <x:v>9</x:v>
      </x:c>
      <x:c r="F1074" s="7" t="n">
        <x:v>82.7235294117647</x:v>
      </x:c>
      <x:c r="G1074" s="7" t="n">
        <x:v>64.58260869565218</x:v>
      </x:c>
      <x:c r="H1074" s="7" t="n">
        <x:f>IF(F1074=0,"n.a.",100*(F1074-G1074)/F1074)</x:f>
        <x:v>21.929577769601995</x:v>
      </x:c>
      <x:c r="I1074" s="7" t="n">
        <x:f>F1074-G1074</x:f>
        <x:v>18.140920716112518</x:v>
      </x:c>
      <x:c r="J1074" s="8" t="n">
        <x:v>0.3963580956142877</x:v>
      </x:c>
      <x:c r="K1074" s="8" t="n">
        <x:v>0.3963580956142879</x:v>
      </x:c>
      <x:c r="L1074" s="8" t="n">
        <x:v>0</x:v>
      </x:c>
      <x:c r="M1074" s="7" t="n">
        <x:v>681.2338000017917</x:v>
      </x:c>
      <x:c r="N1074" s="2" t="str">
        <x:v>qiskit.primitives.StatevectorSampler</x:v>
      </x:c>
      <x:c r="O1074" s="9" t="str">
        <x:v>010111101</x:v>
      </x:c>
    </x:row>
    <x:row r="1075" ht="18" customHeight="1">
      <x:c r="A1075" s="2" t="str">
        <x:v>legacy_n6_05</x:v>
      </x:c>
      <x:c r="B1075" s="2" t="str">
        <x:v>BPSO</x:v>
      </x:c>
      <x:c r="C1075" s="2" t="n">
        <x:v>456</x:v>
      </x:c>
      <x:c r="D1075" s="2" t="str">
        <x:v>success</x:v>
      </x:c>
      <x:c r="E1075" s="2" t="n">
        <x:v>9</x:v>
      </x:c>
      <x:c r="F1075" s="7" t="n">
        <x:v>82.7235294117647</x:v>
      </x:c>
      <x:c r="G1075" s="7" t="n">
        <x:v>64.58260869565218</x:v>
      </x:c>
      <x:c r="H1075" s="7" t="n">
        <x:f>IF(F1075=0,"n.a.",100*(F1075-G1075)/F1075)</x:f>
        <x:v>21.929577769601995</x:v>
      </x:c>
      <x:c r="I1075" s="7" t="n">
        <x:f>F1075-G1075</x:f>
        <x:v>18.140920716112518</x:v>
      </x:c>
      <x:c r="J1075" s="8" t="n">
        <x:v>0.3963580956142879</x:v>
      </x:c>
      <x:c r="K1075" s="8" t="n">
        <x:v>0.3963580956142879</x:v>
      </x:c>
      <x:c r="L1075" s="8" t="n">
        <x:v>0</x:v>
      </x:c>
      <x:c r="M1075" s="7" t="n">
        <x:v>23.452300010831095</x:v>
      </x:c>
      <x:c r="N1075" s="2" t="str">
        <x:v>repository_particle_dynamics_on_frozen_qubo</x:v>
      </x:c>
      <x:c r="O1075" s="9" t="str">
        <x:v>101011110</x:v>
      </x:c>
    </x:row>
    <x:row r="1076" ht="18" customHeight="1">
      <x:c r="A1076" s="2" t="str">
        <x:v>legacy_n6_05</x:v>
      </x:c>
      <x:c r="B1076" s="2" t="str">
        <x:v>QAOA</x:v>
      </x:c>
      <x:c r="C1076" s="2" t="n">
        <x:v>456</x:v>
      </x:c>
      <x:c r="D1076" s="2" t="str">
        <x:v>success</x:v>
      </x:c>
      <x:c r="E1076" s="2" t="n">
        <x:v>9</x:v>
      </x:c>
      <x:c r="F1076" s="7" t="n">
        <x:v>82.7235294117647</x:v>
      </x:c>
      <x:c r="G1076" s="7" t="n">
        <x:v>64.58260869565218</x:v>
      </x:c>
      <x:c r="H1076" s="7" t="n">
        <x:f>IF(F1076=0,"n.a.",100*(F1076-G1076)/F1076)</x:f>
        <x:v>21.929577769601995</x:v>
      </x:c>
      <x:c r="I1076" s="7" t="n">
        <x:f>F1076-G1076</x:f>
        <x:v>18.140920716112518</x:v>
      </x:c>
      <x:c r="J1076" s="8" t="n">
        <x:v>0.3963580956142877</x:v>
      </x:c>
      <x:c r="K1076" s="8" t="n">
        <x:v>0.3963580956142879</x:v>
      </x:c>
      <x:c r="L1076" s="8" t="n">
        <x:v>0</x:v>
      </x:c>
      <x:c r="M1076" s="7" t="n">
        <x:v>653.3878000045661</x:v>
      </x:c>
      <x:c r="N1076" s="2" t="str">
        <x:v>qiskit.primitives.StatevectorSampler</x:v>
      </x:c>
      <x:c r="O1076" s="9" t="str">
        <x:v>111000111</x:v>
      </x:c>
    </x:row>
    <x:row r="1077" ht="18" customHeight="1">
      <x:c r="A1077" s="2" t="str">
        <x:v>legacy_n6_05</x:v>
      </x:c>
      <x:c r="B1077" s="2" t="str">
        <x:v>BPSO</x:v>
      </x:c>
      <x:c r="C1077" s="2" t="n">
        <x:v>789</x:v>
      </x:c>
      <x:c r="D1077" s="2" t="str">
        <x:v>success</x:v>
      </x:c>
      <x:c r="E1077" s="2" t="n">
        <x:v>9</x:v>
      </x:c>
      <x:c r="F1077" s="7" t="n">
        <x:v>82.7235294117647</x:v>
      </x:c>
      <x:c r="G1077" s="7" t="n">
        <x:v>64.58260869565218</x:v>
      </x:c>
      <x:c r="H1077" s="7" t="n">
        <x:f>IF(F1077=0,"n.a.",100*(F1077-G1077)/F1077)</x:f>
        <x:v>21.929577769601995</x:v>
      </x:c>
      <x:c r="I1077" s="7" t="n">
        <x:f>F1077-G1077</x:f>
        <x:v>18.140920716112518</x:v>
      </x:c>
      <x:c r="J1077" s="8" t="n">
        <x:v>0.3963580956142879</x:v>
      </x:c>
      <x:c r="K1077" s="8" t="n">
        <x:v>0.3963580956142879</x:v>
      </x:c>
      <x:c r="L1077" s="8" t="n">
        <x:v>0</x:v>
      </x:c>
      <x:c r="M1077" s="7" t="n">
        <x:v>20.080599992070347</x:v>
      </x:c>
      <x:c r="N1077" s="2" t="str">
        <x:v>repository_particle_dynamics_on_frozen_qubo</x:v>
      </x:c>
      <x:c r="O1077" s="9" t="str">
        <x:v>110011110</x:v>
      </x:c>
    </x:row>
    <x:row r="1078" ht="18" customHeight="1">
      <x:c r="A1078" s="2" t="str">
        <x:v>legacy_n6_05</x:v>
      </x:c>
      <x:c r="B1078" s="2" t="str">
        <x:v>QAOA</x:v>
      </x:c>
      <x:c r="C1078" s="2" t="n">
        <x:v>789</x:v>
      </x:c>
      <x:c r="D1078" s="2" t="str">
        <x:v>success</x:v>
      </x:c>
      <x:c r="E1078" s="2" t="n">
        <x:v>9</x:v>
      </x:c>
      <x:c r="F1078" s="7" t="n">
        <x:v>82.7235294117647</x:v>
      </x:c>
      <x:c r="G1078" s="7" t="n">
        <x:v>64.58260869565218</x:v>
      </x:c>
      <x:c r="H1078" s="7" t="n">
        <x:f>IF(F1078=0,"n.a.",100*(F1078-G1078)/F1078)</x:f>
        <x:v>21.929577769601995</x:v>
      </x:c>
      <x:c r="I1078" s="7" t="n">
        <x:f>F1078-G1078</x:f>
        <x:v>18.140920716112518</x:v>
      </x:c>
      <x:c r="J1078" s="8" t="n">
        <x:v>0.3963580956142877</x:v>
      </x:c>
      <x:c r="K1078" s="8" t="n">
        <x:v>0.3963580956142879</x:v>
      </x:c>
      <x:c r="L1078" s="8" t="n">
        <x:v>0</x:v>
      </x:c>
      <x:c r="M1078" s="7" t="n">
        <x:v>534.1751999949338</x:v>
      </x:c>
      <x:c r="N1078" s="2" t="str">
        <x:v>qiskit.primitives.StatevectorSampler</x:v>
      </x:c>
      <x:c r="O1078" s="9" t="str">
        <x:v>011010111</x:v>
      </x:c>
    </x:row>
    <x:row r="1079" ht="18" customHeight="1">
      <x:c r="A1079" s="2" t="str">
        <x:v>legacy_n6_05</x:v>
      </x:c>
      <x:c r="B1079" s="2" t="str">
        <x:v>BPSO</x:v>
      </x:c>
      <x:c r="C1079" s="2" t="n">
        <x:v>2026</x:v>
      </x:c>
      <x:c r="D1079" s="2" t="str">
        <x:v>success</x:v>
      </x:c>
      <x:c r="E1079" s="2" t="n">
        <x:v>9</x:v>
      </x:c>
      <x:c r="F1079" s="7" t="n">
        <x:v>82.7235294117647</x:v>
      </x:c>
      <x:c r="G1079" s="7" t="n">
        <x:v>64.58260869565218</x:v>
      </x:c>
      <x:c r="H1079" s="7" t="n">
        <x:f>IF(F1079=0,"n.a.",100*(F1079-G1079)/F1079)</x:f>
        <x:v>21.929577769601995</x:v>
      </x:c>
      <x:c r="I1079" s="7" t="n">
        <x:f>F1079-G1079</x:f>
        <x:v>18.140920716112518</x:v>
      </x:c>
      <x:c r="J1079" s="8" t="n">
        <x:v>0.3963580956142879</x:v>
      </x:c>
      <x:c r="K1079" s="8" t="n">
        <x:v>0.3963580956142879</x:v>
      </x:c>
      <x:c r="L1079" s="8" t="n">
        <x:v>0</x:v>
      </x:c>
      <x:c r="M1079" s="7" t="n">
        <x:v>22.14839999214746</x:v>
      </x:c>
      <x:c r="N1079" s="2" t="str">
        <x:v>repository_particle_dynamics_on_frozen_qubo</x:v>
      </x:c>
      <x:c r="O1079" s="9" t="str">
        <x:v>011101110</x:v>
      </x:c>
    </x:row>
    <x:row r="1080" ht="18" customHeight="1">
      <x:c r="A1080" s="2" t="str">
        <x:v>legacy_n6_05</x:v>
      </x:c>
      <x:c r="B1080" s="2" t="str">
        <x:v>QAOA</x:v>
      </x:c>
      <x:c r="C1080" s="2" t="n">
        <x:v>2026</x:v>
      </x:c>
      <x:c r="D1080" s="2" t="str">
        <x:v>success</x:v>
      </x:c>
      <x:c r="E1080" s="2" t="n">
        <x:v>9</x:v>
      </x:c>
      <x:c r="F1080" s="7" t="n">
        <x:v>82.7235294117647</x:v>
      </x:c>
      <x:c r="G1080" s="7" t="n">
        <x:v>64.58260869565218</x:v>
      </x:c>
      <x:c r="H1080" s="7" t="n">
        <x:f>IF(F1080=0,"n.a.",100*(F1080-G1080)/F1080)</x:f>
        <x:v>21.929577769601995</x:v>
      </x:c>
      <x:c r="I1080" s="7" t="n">
        <x:f>F1080-G1080</x:f>
        <x:v>18.140920716112518</x:v>
      </x:c>
      <x:c r="J1080" s="8" t="n">
        <x:v>0.3963580956142877</x:v>
      </x:c>
      <x:c r="K1080" s="8" t="n">
        <x:v>0.3963580956142879</x:v>
      </x:c>
      <x:c r="L1080" s="8" t="n">
        <x:v>0</x:v>
      </x:c>
      <x:c r="M1080" s="7" t="n">
        <x:v>539.837999996962</x:v>
      </x:c>
      <x:c r="N1080" s="2" t="str">
        <x:v>qiskit.primitives.StatevectorSampler</x:v>
      </x:c>
      <x:c r="O1080" s="9" t="str">
        <x:v>111001110</x:v>
      </x:c>
    </x:row>
    <x:row r="1081" ht="18" customHeight="1">
      <x:c r="A1081" s="2" t="str">
        <x:v>legacy_n6_06</x:v>
      </x:c>
      <x:c r="B1081" s="2" t="str">
        <x:v>Unmanaged</x:v>
      </x:c>
      <x:c r="C1081" s="2"/>
      <x:c r="D1081" s="2" t="str">
        <x:v>baseline</x:v>
      </x:c>
      <x:c r="E1081" s="2" t="n">
        <x:v>10</x:v>
      </x:c>
      <x:c r="F1081" s="7" t="n">
        <x:v>83.47333333333333</x:v>
      </x:c>
      <x:c r="G1081" s="7" t="n">
        <x:v>83.47333333333333</x:v>
      </x:c>
      <x:c r="H1081" s="7" t="n">
        <x:f>IF(F1081=0,"n.a.",100*(F1081-G1081)/F1081)</x:f>
        <x:v>0</x:v>
      </x:c>
      <x:c r="I1081" s="7" t="n">
        <x:f>F1081-G1081</x:f>
        <x:v>0</x:v>
      </x:c>
      <x:c r="J1081" s="8"/>
      <x:c r="K1081" s="8" t="n">
        <x:v>0.40939978850524655</x:v>
      </x:c>
      <x:c r="L1081" s="8"/>
      <x:c r="M1081" s="7"/>
      <x:c r="N1081" s="2" t="str">
        <x:v>unmanaged_input</x:v>
      </x:c>
      <x:c r="O1081" s="9"/>
    </x:row>
    <x:row r="1082" ht="18" customHeight="1">
      <x:c r="A1082" s="2" t="str">
        <x:v>legacy_n6_06</x:v>
      </x:c>
      <x:c r="B1082" s="2" t="str">
        <x:v>Exact J</x:v>
      </x:c>
      <x:c r="C1082" s="2"/>
      <x:c r="D1082" s="2" t="str">
        <x:v>success</x:v>
      </x:c>
      <x:c r="E1082" s="2" t="n">
        <x:v>10</x:v>
      </x:c>
      <x:c r="F1082" s="7" t="n">
        <x:v>83.47333333333333</x:v>
      </x:c>
      <x:c r="G1082" s="7" t="n">
        <x:v>72.33500000000001</x:v>
      </x:c>
      <x:c r="H1082" s="7" t="n">
        <x:f>IF(F1082=0,"n.a.",100*(F1082-G1082)/F1082)</x:f>
        <x:v>13.343582780928028</x:v>
      </x:c>
      <x:c r="I1082" s="7" t="n">
        <x:f>F1082-G1082</x:f>
        <x:v>11.138333333333321</x:v>
      </x:c>
      <x:c r="J1082" s="8" t="n">
        <x:v>0.40939978850524655</x:v>
      </x:c>
      <x:c r="K1082" s="8" t="n">
        <x:v>0.40939978850524655</x:v>
      </x:c>
      <x:c r="L1082" s="8" t="n">
        <x:v>0</x:v>
      </x:c>
      <x:c r="M1082" s="7"/>
      <x:c r="N1082" s="2" t="str">
        <x:v>exhaustive_enumeration</x:v>
      </x:c>
      <x:c r="O1082" s="9" t="str">
        <x:v>0110011001</x:v>
      </x:c>
    </x:row>
    <x:row r="1083" ht="18" customHeight="1">
      <x:c r="A1083" s="2" t="str">
        <x:v>legacy_n6_06</x:v>
      </x:c>
      <x:c r="B1083" s="2" t="str">
        <x:v>Exact peak</x:v>
      </x:c>
      <x:c r="C1083" s="2"/>
      <x:c r="D1083" s="2" t="str">
        <x:v>success</x:v>
      </x:c>
      <x:c r="E1083" s="2" t="n">
        <x:v>10</x:v>
      </x:c>
      <x:c r="F1083" s="7" t="n">
        <x:v>83.47333333333333</x:v>
      </x:c>
      <x:c r="G1083" s="7" t="n">
        <x:v>69.78666666666666</x:v>
      </x:c>
      <x:c r="H1083" s="7" t="n">
        <x:f>IF(F1083=0,"n.a.",100*(F1083-G1083)/F1083)</x:f>
        <x:v>16.39645395735165</x:v>
      </x:c>
      <x:c r="I1083" s="7" t="n">
        <x:f>F1083-G1083</x:f>
        <x:v>13.686666666666667</x:v>
      </x:c>
      <x:c r="J1083" s="8" t="n">
        <x:v>0.4232631786521982</x:v>
      </x:c>
      <x:c r="K1083" s="8" t="n">
        <x:v>0.40939978850524655</x:v>
      </x:c>
      <x:c r="L1083" s="8" t="n">
        <x:v>0.013863390146951649</x:v>
      </x:c>
      <x:c r="M1083" s="7"/>
      <x:c r="N1083" s="2" t="str">
        <x:v>exhaustive_enumeration</x:v>
      </x:c>
      <x:c r="O1083" s="9" t="str">
        <x:v>0010011001</x:v>
      </x:c>
    </x:row>
    <x:row r="1084" ht="18" customHeight="1">
      <x:c r="A1084" s="2" t="str">
        <x:v>legacy_n6_06</x:v>
      </x:c>
      <x:c r="B1084" s="2" t="str">
        <x:v>BPSO</x:v>
      </x:c>
      <x:c r="C1084" s="2" t="n">
        <x:v>42</x:v>
      </x:c>
      <x:c r="D1084" s="2" t="str">
        <x:v>success</x:v>
      </x:c>
      <x:c r="E1084" s="2" t="n">
        <x:v>10</x:v>
      </x:c>
      <x:c r="F1084" s="7" t="n">
        <x:v>83.47333333333333</x:v>
      </x:c>
      <x:c r="G1084" s="7" t="n">
        <x:v>72.33500000000001</x:v>
      </x:c>
      <x:c r="H1084" s="7" t="n">
        <x:f>IF(F1084=0,"n.a.",100*(F1084-G1084)/F1084)</x:f>
        <x:v>13.343582780928028</x:v>
      </x:c>
      <x:c r="I1084" s="7" t="n">
        <x:f>F1084-G1084</x:f>
        <x:v>11.138333333333321</x:v>
      </x:c>
      <x:c r="J1084" s="8" t="n">
        <x:v>0.40939978850524655</x:v>
      </x:c>
      <x:c r="K1084" s="8" t="n">
        <x:v>0.40939978850524655</x:v>
      </x:c>
      <x:c r="L1084" s="8" t="n">
        <x:v>0</x:v>
      </x:c>
      <x:c r="M1084" s="7" t="n">
        <x:v>20.686499992734753</x:v>
      </x:c>
      <x:c r="N1084" s="2" t="str">
        <x:v>repository_particle_dynamics_on_frozen_qubo</x:v>
      </x:c>
      <x:c r="O1084" s="9" t="str">
        <x:v>1011100001</x:v>
      </x:c>
    </x:row>
    <x:row r="1085" ht="18" customHeight="1">
      <x:c r="A1085" s="2" t="str">
        <x:v>legacy_n6_06</x:v>
      </x:c>
      <x:c r="B1085" s="2" t="str">
        <x:v>QAOA</x:v>
      </x:c>
      <x:c r="C1085" s="2" t="n">
        <x:v>42</x:v>
      </x:c>
      <x:c r="D1085" s="2" t="str">
        <x:v>success</x:v>
      </x:c>
      <x:c r="E1085" s="2" t="n">
        <x:v>10</x:v>
      </x:c>
      <x:c r="F1085" s="7" t="n">
        <x:v>83.47333333333333</x:v>
      </x:c>
      <x:c r="G1085" s="7" t="n">
        <x:v>72.33500000000001</x:v>
      </x:c>
      <x:c r="H1085" s="7" t="n">
        <x:f>IF(F1085=0,"n.a.",100*(F1085-G1085)/F1085)</x:f>
        <x:v>13.343582780928028</x:v>
      </x:c>
      <x:c r="I1085" s="7" t="n">
        <x:f>F1085-G1085</x:f>
        <x:v>11.138333333333321</x:v>
      </x:c>
      <x:c r="J1085" s="8" t="n">
        <x:v>0.40939978850524655</x:v>
      </x:c>
      <x:c r="K1085" s="8" t="n">
        <x:v>0.40939978850524655</x:v>
      </x:c>
      <x:c r="L1085" s="8" t="n">
        <x:v>0</x:v>
      </x:c>
      <x:c r="M1085" s="7" t="n">
        <x:v>787.9121000005398</x:v>
      </x:c>
      <x:c r="N1085" s="2" t="str">
        <x:v>qiskit.primitives.StatevectorSampler</x:v>
      </x:c>
      <x:c r="O1085" s="9" t="str">
        <x:v>1101100001</x:v>
      </x:c>
    </x:row>
    <x:row r="1086" ht="18" customHeight="1">
      <x:c r="A1086" s="2" t="str">
        <x:v>legacy_n6_06</x:v>
      </x:c>
      <x:c r="B1086" s="2" t="str">
        <x:v>BPSO</x:v>
      </x:c>
      <x:c r="C1086" s="2" t="n">
        <x:v>123</x:v>
      </x:c>
      <x:c r="D1086" s="2" t="str">
        <x:v>success</x:v>
      </x:c>
      <x:c r="E1086" s="2" t="n">
        <x:v>10</x:v>
      </x:c>
      <x:c r="F1086" s="7" t="n">
        <x:v>83.47333333333333</x:v>
      </x:c>
      <x:c r="G1086" s="7" t="n">
        <x:v>72.33500000000001</x:v>
      </x:c>
      <x:c r="H1086" s="7" t="n">
        <x:f>IF(F1086=0,"n.a.",100*(F1086-G1086)/F1086)</x:f>
        <x:v>13.343582780928028</x:v>
      </x:c>
      <x:c r="I1086" s="7" t="n">
        <x:f>F1086-G1086</x:f>
        <x:v>11.138333333333321</x:v>
      </x:c>
      <x:c r="J1086" s="8" t="n">
        <x:v>0.40939978850524655</x:v>
      </x:c>
      <x:c r="K1086" s="8" t="n">
        <x:v>0.40939978850524655</x:v>
      </x:c>
      <x:c r="L1086" s="8" t="n">
        <x:v>0</x:v>
      </x:c>
      <x:c r="M1086" s="7" t="n">
        <x:v>20.46699999482371</x:v>
      </x:c>
      <x:c r="N1086" s="2" t="str">
        <x:v>repository_particle_dynamics_on_frozen_qubo</x:v>
      </x:c>
      <x:c r="O1086" s="9" t="str">
        <x:v>1010011010</x:v>
      </x:c>
    </x:row>
    <x:row r="1087" ht="18" customHeight="1">
      <x:c r="A1087" s="2" t="str">
        <x:v>legacy_n6_06</x:v>
      </x:c>
      <x:c r="B1087" s="2" t="str">
        <x:v>QAOA</x:v>
      </x:c>
      <x:c r="C1087" s="2" t="n">
        <x:v>123</x:v>
      </x:c>
      <x:c r="D1087" s="2" t="str">
        <x:v>success</x:v>
      </x:c>
      <x:c r="E1087" s="2" t="n">
        <x:v>10</x:v>
      </x:c>
      <x:c r="F1087" s="7" t="n">
        <x:v>83.47333333333333</x:v>
      </x:c>
      <x:c r="G1087" s="7" t="n">
        <x:v>72.33500000000001</x:v>
      </x:c>
      <x:c r="H1087" s="7" t="n">
        <x:f>IF(F1087=0,"n.a.",100*(F1087-G1087)/F1087)</x:f>
        <x:v>13.343582780928028</x:v>
      </x:c>
      <x:c r="I1087" s="7" t="n">
        <x:f>F1087-G1087</x:f>
        <x:v>11.138333333333321</x:v>
      </x:c>
      <x:c r="J1087" s="8" t="n">
        <x:v>0.40939978850524655</x:v>
      </x:c>
      <x:c r="K1087" s="8" t="n">
        <x:v>0.40939978850524655</x:v>
      </x:c>
      <x:c r="L1087" s="8" t="n">
        <x:v>0</x:v>
      </x:c>
      <x:c r="M1087" s="7" t="n">
        <x:v>738.2847999979276</x:v>
      </x:c>
      <x:c r="N1087" s="2" t="str">
        <x:v>qiskit.primitives.StatevectorSampler</x:v>
      </x:c>
      <x:c r="O1087" s="9" t="str">
        <x:v>0110110100</x:v>
      </x:c>
    </x:row>
    <x:row r="1088" ht="18" customHeight="1">
      <x:c r="A1088" s="2" t="str">
        <x:v>legacy_n6_06</x:v>
      </x:c>
      <x:c r="B1088" s="2" t="str">
        <x:v>BPSO</x:v>
      </x:c>
      <x:c r="C1088" s="2" t="n">
        <x:v>456</x:v>
      </x:c>
      <x:c r="D1088" s="2" t="str">
        <x:v>success</x:v>
      </x:c>
      <x:c r="E1088" s="2" t="n">
        <x:v>10</x:v>
      </x:c>
      <x:c r="F1088" s="7" t="n">
        <x:v>83.47333333333333</x:v>
      </x:c>
      <x:c r="G1088" s="7" t="n">
        <x:v>72.33500000000001</x:v>
      </x:c>
      <x:c r="H1088" s="7" t="n">
        <x:f>IF(F1088=0,"n.a.",100*(F1088-G1088)/F1088)</x:f>
        <x:v>13.343582780928028</x:v>
      </x:c>
      <x:c r="I1088" s="7" t="n">
        <x:f>F1088-G1088</x:f>
        <x:v>11.138333333333321</x:v>
      </x:c>
      <x:c r="J1088" s="8" t="n">
        <x:v>0.40939978850524655</x:v>
      </x:c>
      <x:c r="K1088" s="8" t="n">
        <x:v>0.40939978850524655</x:v>
      </x:c>
      <x:c r="L1088" s="8" t="n">
        <x:v>0</x:v>
      </x:c>
      <x:c r="M1088" s="7" t="n">
        <x:v>23.146599996834993</x:v>
      </x:c>
      <x:c r="N1088" s="2" t="str">
        <x:v>repository_particle_dynamics_on_frozen_qubo</x:v>
      </x:c>
      <x:c r="O1088" s="9" t="str">
        <x:v>1010101001</x:v>
      </x:c>
    </x:row>
    <x:row r="1089" ht="18" customHeight="1">
      <x:c r="A1089" s="2" t="str">
        <x:v>legacy_n6_06</x:v>
      </x:c>
      <x:c r="B1089" s="2" t="str">
        <x:v>QAOA</x:v>
      </x:c>
      <x:c r="C1089" s="2" t="n">
        <x:v>456</x:v>
      </x:c>
      <x:c r="D1089" s="2" t="str">
        <x:v>success</x:v>
      </x:c>
      <x:c r="E1089" s="2" t="n">
        <x:v>10</x:v>
      </x:c>
      <x:c r="F1089" s="7" t="n">
        <x:v>83.47333333333333</x:v>
      </x:c>
      <x:c r="G1089" s="7" t="n">
        <x:v>72.33500000000001</x:v>
      </x:c>
      <x:c r="H1089" s="7" t="n">
        <x:f>IF(F1089=0,"n.a.",100*(F1089-G1089)/F1089)</x:f>
        <x:v>13.343582780928028</x:v>
      </x:c>
      <x:c r="I1089" s="7" t="n">
        <x:f>F1089-G1089</x:f>
        <x:v>11.138333333333321</x:v>
      </x:c>
      <x:c r="J1089" s="8" t="n">
        <x:v>0.40939978850524655</x:v>
      </x:c>
      <x:c r="K1089" s="8" t="n">
        <x:v>0.40939978850524655</x:v>
      </x:c>
      <x:c r="L1089" s="8" t="n">
        <x:v>0</x:v>
      </x:c>
      <x:c r="M1089" s="7" t="n">
        <x:v>679.6581999951741</x:v>
      </x:c>
      <x:c r="N1089" s="2" t="str">
        <x:v>qiskit.primitives.StatevectorSampler</x:v>
      </x:c>
      <x:c r="O1089" s="9" t="str">
        <x:v>1010011100</x:v>
      </x:c>
    </x:row>
    <x:row r="1090" ht="18" customHeight="1">
      <x:c r="A1090" s="2" t="str">
        <x:v>legacy_n6_06</x:v>
      </x:c>
      <x:c r="B1090" s="2" t="str">
        <x:v>BPSO</x:v>
      </x:c>
      <x:c r="C1090" s="2" t="n">
        <x:v>789</x:v>
      </x:c>
      <x:c r="D1090" s="2" t="str">
        <x:v>success</x:v>
      </x:c>
      <x:c r="E1090" s="2" t="n">
        <x:v>10</x:v>
      </x:c>
      <x:c r="F1090" s="7" t="n">
        <x:v>83.47333333333333</x:v>
      </x:c>
      <x:c r="G1090" s="7" t="n">
        <x:v>72.33500000000001</x:v>
      </x:c>
      <x:c r="H1090" s="7" t="n">
        <x:f>IF(F1090=0,"n.a.",100*(F1090-G1090)/F1090)</x:f>
        <x:v>13.343582780928028</x:v>
      </x:c>
      <x:c r="I1090" s="7" t="n">
        <x:f>F1090-G1090</x:f>
        <x:v>11.138333333333321</x:v>
      </x:c>
      <x:c r="J1090" s="8" t="n">
        <x:v>0.40939978850524655</x:v>
      </x:c>
      <x:c r="K1090" s="8" t="n">
        <x:v>0.40939978850524655</x:v>
      </x:c>
      <x:c r="L1090" s="8" t="n">
        <x:v>0</x:v>
      </x:c>
      <x:c r="M1090" s="7" t="n">
        <x:v>21.155899987206794</x:v>
      </x:c>
      <x:c r="N1090" s="2" t="str">
        <x:v>repository_particle_dynamics_on_frozen_qubo</x:v>
      </x:c>
      <x:c r="O1090" s="9" t="str">
        <x:v>1011001100</x:v>
      </x:c>
    </x:row>
    <x:row r="1091" ht="18" customHeight="1">
      <x:c r="A1091" s="2" t="str">
        <x:v>legacy_n6_06</x:v>
      </x:c>
      <x:c r="B1091" s="2" t="str">
        <x:v>QAOA</x:v>
      </x:c>
      <x:c r="C1091" s="2" t="n">
        <x:v>789</x:v>
      </x:c>
      <x:c r="D1091" s="2" t="str">
        <x:v>success</x:v>
      </x:c>
      <x:c r="E1091" s="2" t="n">
        <x:v>10</x:v>
      </x:c>
      <x:c r="F1091" s="7" t="n">
        <x:v>83.47333333333333</x:v>
      </x:c>
      <x:c r="G1091" s="7" t="n">
        <x:v>72.33500000000001</x:v>
      </x:c>
      <x:c r="H1091" s="7" t="n">
        <x:f>IF(F1091=0,"n.a.",100*(F1091-G1091)/F1091)</x:f>
        <x:v>13.343582780928028</x:v>
      </x:c>
      <x:c r="I1091" s="7" t="n">
        <x:f>F1091-G1091</x:f>
        <x:v>11.138333333333321</x:v>
      </x:c>
      <x:c r="J1091" s="8" t="n">
        <x:v>0.40939978850524655</x:v>
      </x:c>
      <x:c r="K1091" s="8" t="n">
        <x:v>0.40939978850524655</x:v>
      </x:c>
      <x:c r="L1091" s="8" t="n">
        <x:v>0</x:v>
      </x:c>
      <x:c r="M1091" s="7" t="n">
        <x:v>611.9697999965865</x:v>
      </x:c>
      <x:c r="N1091" s="2" t="str">
        <x:v>qiskit.primitives.StatevectorSampler</x:v>
      </x:c>
      <x:c r="O1091" s="9" t="str">
        <x:v>1100110010</x:v>
      </x:c>
    </x:row>
    <x:row r="1092" ht="18" customHeight="1">
      <x:c r="A1092" s="2" t="str">
        <x:v>legacy_n6_06</x:v>
      </x:c>
      <x:c r="B1092" s="2" t="str">
        <x:v>BPSO</x:v>
      </x:c>
      <x:c r="C1092" s="2" t="n">
        <x:v>2026</x:v>
      </x:c>
      <x:c r="D1092" s="2" t="str">
        <x:v>success</x:v>
      </x:c>
      <x:c r="E1092" s="2" t="n">
        <x:v>10</x:v>
      </x:c>
      <x:c r="F1092" s="7" t="n">
        <x:v>83.47333333333333</x:v>
      </x:c>
      <x:c r="G1092" s="7" t="n">
        <x:v>72.33500000000001</x:v>
      </x:c>
      <x:c r="H1092" s="7" t="n">
        <x:f>IF(F1092=0,"n.a.",100*(F1092-G1092)/F1092)</x:f>
        <x:v>13.343582780928028</x:v>
      </x:c>
      <x:c r="I1092" s="7" t="n">
        <x:f>F1092-G1092</x:f>
        <x:v>11.138333333333321</x:v>
      </x:c>
      <x:c r="J1092" s="8" t="n">
        <x:v>0.40939978850524655</x:v>
      </x:c>
      <x:c r="K1092" s="8" t="n">
        <x:v>0.40939978850524655</x:v>
      </x:c>
      <x:c r="L1092" s="8" t="n">
        <x:v>0</x:v>
      </x:c>
      <x:c r="M1092" s="7" t="n">
        <x:v>20.67079998960253</x:v>
      </x:c>
      <x:c r="N1092" s="2" t="str">
        <x:v>repository_particle_dynamics_on_frozen_qubo</x:v>
      </x:c>
      <x:c r="O1092" s="9" t="str">
        <x:v>0110011010</x:v>
      </x:c>
    </x:row>
    <x:row r="1093" ht="18" customHeight="1">
      <x:c r="A1093" s="2" t="str">
        <x:v>legacy_n6_06</x:v>
      </x:c>
      <x:c r="B1093" s="2" t="str">
        <x:v>QAOA</x:v>
      </x:c>
      <x:c r="C1093" s="2" t="n">
        <x:v>2026</x:v>
      </x:c>
      <x:c r="D1093" s="2" t="str">
        <x:v>success</x:v>
      </x:c>
      <x:c r="E1093" s="2" t="n">
        <x:v>10</x:v>
      </x:c>
      <x:c r="F1093" s="7" t="n">
        <x:v>83.47333333333333</x:v>
      </x:c>
      <x:c r="G1093" s="7" t="n">
        <x:v>72.33500000000001</x:v>
      </x:c>
      <x:c r="H1093" s="7" t="n">
        <x:f>IF(F1093=0,"n.a.",100*(F1093-G1093)/F1093)</x:f>
        <x:v>13.343582780928028</x:v>
      </x:c>
      <x:c r="I1093" s="7" t="n">
        <x:f>F1093-G1093</x:f>
        <x:v>11.138333333333321</x:v>
      </x:c>
      <x:c r="J1093" s="8" t="n">
        <x:v>0.40939978850524655</x:v>
      </x:c>
      <x:c r="K1093" s="8" t="n">
        <x:v>0.40939978850524655</x:v>
      </x:c>
      <x:c r="L1093" s="8" t="n">
        <x:v>0</x:v>
      </x:c>
      <x:c r="M1093" s="7" t="n">
        <x:v>787.2118999948725</x:v>
      </x:c>
      <x:c r="N1093" s="2" t="str">
        <x:v>qiskit.primitives.StatevectorSampler</x:v>
      </x:c>
      <x:c r="O1093" s="9" t="str">
        <x:v>1100110010</x:v>
      </x:c>
    </x:row>
    <x:row r="1094" ht="18" customHeight="1">
      <x:c r="A1094" s="2" t="str">
        <x:v>legacy_n6_07</x:v>
      </x:c>
      <x:c r="B1094" s="2" t="str">
        <x:v>Unmanaged</x:v>
      </x:c>
      <x:c r="C1094" s="2"/>
      <x:c r="D1094" s="2" t="str">
        <x:v>baseline</x:v>
      </x:c>
      <x:c r="E1094" s="2" t="n">
        <x:v>3</x:v>
      </x:c>
      <x:c r="F1094" s="7" t="n">
        <x:v>75.74166666666666</x:v>
      </x:c>
      <x:c r="G1094" s="7" t="n">
        <x:v>75.74166666666666</x:v>
      </x:c>
      <x:c r="H1094" s="7" t="n">
        <x:f>IF(F1094=0,"n.a.",100*(F1094-G1094)/F1094)</x:f>
        <x:v>0</x:v>
      </x:c>
      <x:c r="I1094" s="7" t="n">
        <x:f>F1094-G1094</x:f>
        <x:v>0</x:v>
      </x:c>
      <x:c r="J1094" s="8"/>
      <x:c r="K1094" s="8" t="n">
        <x:v>0.6026410891211363</x:v>
      </x:c>
      <x:c r="L1094" s="8"/>
      <x:c r="M1094" s="7"/>
      <x:c r="N1094" s="2" t="str">
        <x:v>unmanaged_input</x:v>
      </x:c>
      <x:c r="O1094" s="9"/>
    </x:row>
    <x:row r="1095" ht="18" customHeight="1">
      <x:c r="A1095" s="2" t="str">
        <x:v>legacy_n6_07</x:v>
      </x:c>
      <x:c r="B1095" s="2" t="str">
        <x:v>Exact J</x:v>
      </x:c>
      <x:c r="C1095" s="2"/>
      <x:c r="D1095" s="2" t="str">
        <x:v>success</x:v>
      </x:c>
      <x:c r="E1095" s="2" t="n">
        <x:v>3</x:v>
      </x:c>
      <x:c r="F1095" s="7" t="n">
        <x:v>75.74166666666666</x:v>
      </x:c>
      <x:c r="G1095" s="7" t="n">
        <x:v>49.7</x:v>
      </x:c>
      <x:c r="H1095" s="7" t="n">
        <x:f>IF(F1095=0,"n.a.",100*(F1095-G1095)/F1095)</x:f>
        <x:v>34.3822202662559</x:v>
      </x:c>
      <x:c r="I1095" s="7" t="n">
        <x:f>F1095-G1095</x:f>
        <x:v>26.041666666666657</x:v>
      </x:c>
      <x:c r="J1095" s="8" t="n">
        <x:v>0.6026410891211363</x:v>
      </x:c>
      <x:c r="K1095" s="8" t="n">
        <x:v>0.6026410891211363</x:v>
      </x:c>
      <x:c r="L1095" s="8" t="n">
        <x:v>0</x:v>
      </x:c>
      <x:c r="M1095" s="7"/>
      <x:c r="N1095" s="2" t="str">
        <x:v>exhaustive_enumeration</x:v>
      </x:c>
      <x:c r="O1095" s="9" t="str">
        <x:v>001</x:v>
      </x:c>
    </x:row>
    <x:row r="1096" ht="18" customHeight="1">
      <x:c r="A1096" s="2" t="str">
        <x:v>legacy_n6_07</x:v>
      </x:c>
      <x:c r="B1096" s="2" t="str">
        <x:v>Exact peak</x:v>
      </x:c>
      <x:c r="C1096" s="2"/>
      <x:c r="D1096" s="2" t="str">
        <x:v>success</x:v>
      </x:c>
      <x:c r="E1096" s="2" t="n">
        <x:v>3</x:v>
      </x:c>
      <x:c r="F1096" s="7" t="n">
        <x:v>75.74166666666666</x:v>
      </x:c>
      <x:c r="G1096" s="7" t="n">
        <x:v>49.7</x:v>
      </x:c>
      <x:c r="H1096" s="7" t="n">
        <x:f>IF(F1096=0,"n.a.",100*(F1096-G1096)/F1096)</x:f>
        <x:v>34.3822202662559</x:v>
      </x:c>
      <x:c r="I1096" s="7" t="n">
        <x:f>F1096-G1096</x:f>
        <x:v>26.041666666666657</x:v>
      </x:c>
      <x:c r="J1096" s="8" t="n">
        <x:v>0.6026410891211363</x:v>
      </x:c>
      <x:c r="K1096" s="8" t="n">
        <x:v>0.6026410891211363</x:v>
      </x:c>
      <x:c r="L1096" s="8" t="n">
        <x:v>0</x:v>
      </x:c>
      <x:c r="M1096" s="7"/>
      <x:c r="N1096" s="2" t="str">
        <x:v>exhaustive_enumeration</x:v>
      </x:c>
      <x:c r="O1096" s="9" t="str">
        <x:v>001</x:v>
      </x:c>
    </x:row>
    <x:row r="1097" ht="18" customHeight="1">
      <x:c r="A1097" s="2" t="str">
        <x:v>legacy_n6_07</x:v>
      </x:c>
      <x:c r="B1097" s="2" t="str">
        <x:v>BPSO</x:v>
      </x:c>
      <x:c r="C1097" s="2" t="n">
        <x:v>42</x:v>
      </x:c>
      <x:c r="D1097" s="2" t="str">
        <x:v>success</x:v>
      </x:c>
      <x:c r="E1097" s="2" t="n">
        <x:v>3</x:v>
      </x:c>
      <x:c r="F1097" s="7" t="n">
        <x:v>75.74166666666666</x:v>
      </x:c>
      <x:c r="G1097" s="7" t="n">
        <x:v>49.7</x:v>
      </x:c>
      <x:c r="H1097" s="7" t="n">
        <x:f>IF(F1097=0,"n.a.",100*(F1097-G1097)/F1097)</x:f>
        <x:v>34.3822202662559</x:v>
      </x:c>
      <x:c r="I1097" s="7" t="n">
        <x:f>F1097-G1097</x:f>
        <x:v>26.041666666666657</x:v>
      </x:c>
      <x:c r="J1097" s="8" t="n">
        <x:v>0.6026410891211363</x:v>
      </x:c>
      <x:c r="K1097" s="8" t="n">
        <x:v>0.6026410891211363</x:v>
      </x:c>
      <x:c r="L1097" s="8" t="n">
        <x:v>0</x:v>
      </x:c>
      <x:c r="M1097" s="7" t="n">
        <x:v>14.139499995508231</x:v>
      </x:c>
      <x:c r="N1097" s="2" t="str">
        <x:v>repository_particle_dynamics_on_frozen_qubo</x:v>
      </x:c>
      <x:c r="O1097" s="9" t="str">
        <x:v>100</x:v>
      </x:c>
    </x:row>
    <x:row r="1098" ht="18" customHeight="1">
      <x:c r="A1098" s="2" t="str">
        <x:v>legacy_n6_07</x:v>
      </x:c>
      <x:c r="B1098" s="2" t="str">
        <x:v>QAOA</x:v>
      </x:c>
      <x:c r="C1098" s="2" t="n">
        <x:v>42</x:v>
      </x:c>
      <x:c r="D1098" s="2" t="str">
        <x:v>success</x:v>
      </x:c>
      <x:c r="E1098" s="2" t="n">
        <x:v>3</x:v>
      </x:c>
      <x:c r="F1098" s="7" t="n">
        <x:v>75.74166666666666</x:v>
      </x:c>
      <x:c r="G1098" s="7" t="n">
        <x:v>49.7</x:v>
      </x:c>
      <x:c r="H1098" s="7" t="n">
        <x:f>IF(F1098=0,"n.a.",100*(F1098-G1098)/F1098)</x:f>
        <x:v>34.3822202662559</x:v>
      </x:c>
      <x:c r="I1098" s="7" t="n">
        <x:f>F1098-G1098</x:f>
        <x:v>26.041666666666657</x:v>
      </x:c>
      <x:c r="J1098" s="8" t="n">
        <x:v>0.6026410891211363</x:v>
      </x:c>
      <x:c r="K1098" s="8" t="n">
        <x:v>0.6026410891211363</x:v>
      </x:c>
      <x:c r="L1098" s="8" t="n">
        <x:v>0</x:v>
      </x:c>
      <x:c r="M1098" s="7" t="n">
        <x:v>139.24289999704342</x:v>
      </x:c>
      <x:c r="N1098" s="2" t="str">
        <x:v>qiskit.primitives.StatevectorSampler</x:v>
      </x:c>
      <x:c r="O1098" s="9" t="str">
        <x:v>100</x:v>
      </x:c>
    </x:row>
    <x:row r="1099" ht="18" customHeight="1">
      <x:c r="A1099" s="2" t="str">
        <x:v>legacy_n6_07</x:v>
      </x:c>
      <x:c r="B1099" s="2" t="str">
        <x:v>BPSO</x:v>
      </x:c>
      <x:c r="C1099" s="2" t="n">
        <x:v>123</x:v>
      </x:c>
      <x:c r="D1099" s="2" t="str">
        <x:v>success</x:v>
      </x:c>
      <x:c r="E1099" s="2" t="n">
        <x:v>3</x:v>
      </x:c>
      <x:c r="F1099" s="7" t="n">
        <x:v>75.74166666666666</x:v>
      </x:c>
      <x:c r="G1099" s="7" t="n">
        <x:v>49.7</x:v>
      </x:c>
      <x:c r="H1099" s="7" t="n">
        <x:f>IF(F1099=0,"n.a.",100*(F1099-G1099)/F1099)</x:f>
        <x:v>34.3822202662559</x:v>
      </x:c>
      <x:c r="I1099" s="7" t="n">
        <x:f>F1099-G1099</x:f>
        <x:v>26.041666666666657</x:v>
      </x:c>
      <x:c r="J1099" s="8" t="n">
        <x:v>0.6026410891211363</x:v>
      </x:c>
      <x:c r="K1099" s="8" t="n">
        <x:v>0.6026410891211363</x:v>
      </x:c>
      <x:c r="L1099" s="8" t="n">
        <x:v>0</x:v>
      </x:c>
      <x:c r="M1099" s="7" t="n">
        <x:v>13.807899988023564</x:v>
      </x:c>
      <x:c r="N1099" s="2" t="str">
        <x:v>repository_particle_dynamics_on_frozen_qubo</x:v>
      </x:c>
      <x:c r="O1099" s="9" t="str">
        <x:v>100</x:v>
      </x:c>
    </x:row>
    <x:row r="1100" ht="18" customHeight="1">
      <x:c r="A1100" s="2" t="str">
        <x:v>legacy_n6_07</x:v>
      </x:c>
      <x:c r="B1100" s="2" t="str">
        <x:v>QAOA</x:v>
      </x:c>
      <x:c r="C1100" s="2" t="n">
        <x:v>123</x:v>
      </x:c>
      <x:c r="D1100" s="2" t="str">
        <x:v>success</x:v>
      </x:c>
      <x:c r="E1100" s="2" t="n">
        <x:v>3</x:v>
      </x:c>
      <x:c r="F1100" s="7" t="n">
        <x:v>75.74166666666666</x:v>
      </x:c>
      <x:c r="G1100" s="7" t="n">
        <x:v>49.7</x:v>
      </x:c>
      <x:c r="H1100" s="7" t="n">
        <x:f>IF(F1100=0,"n.a.",100*(F1100-G1100)/F1100)</x:f>
        <x:v>34.3822202662559</x:v>
      </x:c>
      <x:c r="I1100" s="7" t="n">
        <x:f>F1100-G1100</x:f>
        <x:v>26.041666666666657</x:v>
      </x:c>
      <x:c r="J1100" s="8" t="n">
        <x:v>0.6026410891211363</x:v>
      </x:c>
      <x:c r="K1100" s="8" t="n">
        <x:v>0.6026410891211363</x:v>
      </x:c>
      <x:c r="L1100" s="8" t="n">
        <x:v>0</x:v>
      </x:c>
      <x:c r="M1100" s="7" t="n">
        <x:v>194.96459999936633</x:v>
      </x:c>
      <x:c r="N1100" s="2" t="str">
        <x:v>qiskit.primitives.StatevectorSampler</x:v>
      </x:c>
      <x:c r="O1100" s="9" t="str">
        <x:v>100</x:v>
      </x:c>
    </x:row>
    <x:row r="1101" ht="18" customHeight="1">
      <x:c r="A1101" s="2" t="str">
        <x:v>legacy_n6_07</x:v>
      </x:c>
      <x:c r="B1101" s="2" t="str">
        <x:v>BPSO</x:v>
      </x:c>
      <x:c r="C1101" s="2" t="n">
        <x:v>456</x:v>
      </x:c>
      <x:c r="D1101" s="2" t="str">
        <x:v>success</x:v>
      </x:c>
      <x:c r="E1101" s="2" t="n">
        <x:v>3</x:v>
      </x:c>
      <x:c r="F1101" s="7" t="n">
        <x:v>75.74166666666666</x:v>
      </x:c>
      <x:c r="G1101" s="7" t="n">
        <x:v>49.7</x:v>
      </x:c>
      <x:c r="H1101" s="7" t="n">
        <x:f>IF(F1101=0,"n.a.",100*(F1101-G1101)/F1101)</x:f>
        <x:v>34.3822202662559</x:v>
      </x:c>
      <x:c r="I1101" s="7" t="n">
        <x:f>F1101-G1101</x:f>
        <x:v>26.041666666666657</x:v>
      </x:c>
      <x:c r="J1101" s="8" t="n">
        <x:v>0.6026410891211363</x:v>
      </x:c>
      <x:c r="K1101" s="8" t="n">
        <x:v>0.6026410891211363</x:v>
      </x:c>
      <x:c r="L1101" s="8" t="n">
        <x:v>0</x:v>
      </x:c>
      <x:c r="M1101" s="7" t="n">
        <x:v>13.809500000206754</x:v>
      </x:c>
      <x:c r="N1101" s="2" t="str">
        <x:v>repository_particle_dynamics_on_frozen_qubo</x:v>
      </x:c>
      <x:c r="O1101" s="9" t="str">
        <x:v>010</x:v>
      </x:c>
    </x:row>
    <x:row r="1102" ht="18" customHeight="1">
      <x:c r="A1102" s="2" t="str">
        <x:v>legacy_n6_07</x:v>
      </x:c>
      <x:c r="B1102" s="2" t="str">
        <x:v>QAOA</x:v>
      </x:c>
      <x:c r="C1102" s="2" t="n">
        <x:v>456</x:v>
      </x:c>
      <x:c r="D1102" s="2" t="str">
        <x:v>success</x:v>
      </x:c>
      <x:c r="E1102" s="2" t="n">
        <x:v>3</x:v>
      </x:c>
      <x:c r="F1102" s="7" t="n">
        <x:v>75.74166666666666</x:v>
      </x:c>
      <x:c r="G1102" s="7" t="n">
        <x:v>49.7</x:v>
      </x:c>
      <x:c r="H1102" s="7" t="n">
        <x:f>IF(F1102=0,"n.a.",100*(F1102-G1102)/F1102)</x:f>
        <x:v>34.3822202662559</x:v>
      </x:c>
      <x:c r="I1102" s="7" t="n">
        <x:f>F1102-G1102</x:f>
        <x:v>26.041666666666657</x:v>
      </x:c>
      <x:c r="J1102" s="8" t="n">
        <x:v>0.6026410891211363</x:v>
      </x:c>
      <x:c r="K1102" s="8" t="n">
        <x:v>0.6026410891211363</x:v>
      </x:c>
      <x:c r="L1102" s="8" t="n">
        <x:v>0</x:v>
      </x:c>
      <x:c r="M1102" s="7" t="n">
        <x:v>178.66170000343118</x:v>
      </x:c>
      <x:c r="N1102" s="2" t="str">
        <x:v>qiskit.primitives.StatevectorSampler</x:v>
      </x:c>
      <x:c r="O1102" s="9" t="str">
        <x:v>100</x:v>
      </x:c>
    </x:row>
    <x:row r="1103" ht="18" customHeight="1">
      <x:c r="A1103" s="2" t="str">
        <x:v>legacy_n6_07</x:v>
      </x:c>
      <x:c r="B1103" s="2" t="str">
        <x:v>BPSO</x:v>
      </x:c>
      <x:c r="C1103" s="2" t="n">
        <x:v>789</x:v>
      </x:c>
      <x:c r="D1103" s="2" t="str">
        <x:v>success</x:v>
      </x:c>
      <x:c r="E1103" s="2" t="n">
        <x:v>3</x:v>
      </x:c>
      <x:c r="F1103" s="7" t="n">
        <x:v>75.74166666666666</x:v>
      </x:c>
      <x:c r="G1103" s="7" t="n">
        <x:v>49.7</x:v>
      </x:c>
      <x:c r="H1103" s="7" t="n">
        <x:f>IF(F1103=0,"n.a.",100*(F1103-G1103)/F1103)</x:f>
        <x:v>34.3822202662559</x:v>
      </x:c>
      <x:c r="I1103" s="7" t="n">
        <x:f>F1103-G1103</x:f>
        <x:v>26.041666666666657</x:v>
      </x:c>
      <x:c r="J1103" s="8" t="n">
        <x:v>0.6026410891211363</x:v>
      </x:c>
      <x:c r="K1103" s="8" t="n">
        <x:v>0.6026410891211363</x:v>
      </x:c>
      <x:c r="L1103" s="8" t="n">
        <x:v>0</x:v>
      </x:c>
      <x:c r="M1103" s="7" t="n">
        <x:v>13.637500000186265</x:v>
      </x:c>
      <x:c r="N1103" s="2" t="str">
        <x:v>repository_particle_dynamics_on_frozen_qubo</x:v>
      </x:c>
      <x:c r="O1103" s="9" t="str">
        <x:v>001</x:v>
      </x:c>
    </x:row>
    <x:row r="1104" ht="18" customHeight="1">
      <x:c r="A1104" s="2" t="str">
        <x:v>legacy_n6_07</x:v>
      </x:c>
      <x:c r="B1104" s="2" t="str">
        <x:v>QAOA</x:v>
      </x:c>
      <x:c r="C1104" s="2" t="n">
        <x:v>789</x:v>
      </x:c>
      <x:c r="D1104" s="2" t="str">
        <x:v>success</x:v>
      </x:c>
      <x:c r="E1104" s="2" t="n">
        <x:v>3</x:v>
      </x:c>
      <x:c r="F1104" s="7" t="n">
        <x:v>75.74166666666666</x:v>
      </x:c>
      <x:c r="G1104" s="7" t="n">
        <x:v>49.7</x:v>
      </x:c>
      <x:c r="H1104" s="7" t="n">
        <x:f>IF(F1104=0,"n.a.",100*(F1104-G1104)/F1104)</x:f>
        <x:v>34.3822202662559</x:v>
      </x:c>
      <x:c r="I1104" s="7" t="n">
        <x:f>F1104-G1104</x:f>
        <x:v>26.041666666666657</x:v>
      </x:c>
      <x:c r="J1104" s="8" t="n">
        <x:v>0.6026410891211363</x:v>
      </x:c>
      <x:c r="K1104" s="8" t="n">
        <x:v>0.6026410891211363</x:v>
      </x:c>
      <x:c r="L1104" s="8" t="n">
        <x:v>0</x:v>
      </x:c>
      <x:c r="M1104" s="7" t="n">
        <x:v>94.89389999362174</x:v>
      </x:c>
      <x:c r="N1104" s="2" t="str">
        <x:v>qiskit.primitives.StatevectorSampler</x:v>
      </x:c>
      <x:c r="O1104" s="9" t="str">
        <x:v>100</x:v>
      </x:c>
    </x:row>
    <x:row r="1105" ht="18" customHeight="1">
      <x:c r="A1105" s="2" t="str">
        <x:v>legacy_n6_07</x:v>
      </x:c>
      <x:c r="B1105" s="2" t="str">
        <x:v>BPSO</x:v>
      </x:c>
      <x:c r="C1105" s="2" t="n">
        <x:v>2026</x:v>
      </x:c>
      <x:c r="D1105" s="2" t="str">
        <x:v>success</x:v>
      </x:c>
      <x:c r="E1105" s="2" t="n">
        <x:v>3</x:v>
      </x:c>
      <x:c r="F1105" s="7" t="n">
        <x:v>75.74166666666666</x:v>
      </x:c>
      <x:c r="G1105" s="7" t="n">
        <x:v>49.7</x:v>
      </x:c>
      <x:c r="H1105" s="7" t="n">
        <x:f>IF(F1105=0,"n.a.",100*(F1105-G1105)/F1105)</x:f>
        <x:v>34.3822202662559</x:v>
      </x:c>
      <x:c r="I1105" s="7" t="n">
        <x:f>F1105-G1105</x:f>
        <x:v>26.041666666666657</x:v>
      </x:c>
      <x:c r="J1105" s="8" t="n">
        <x:v>0.6026410891211363</x:v>
      </x:c>
      <x:c r="K1105" s="8" t="n">
        <x:v>0.6026410891211363</x:v>
      </x:c>
      <x:c r="L1105" s="8" t="n">
        <x:v>0</x:v>
      </x:c>
      <x:c r="M1105" s="7" t="n">
        <x:v>14.970799995353445</x:v>
      </x:c>
      <x:c r="N1105" s="2" t="str">
        <x:v>repository_particle_dynamics_on_frozen_qubo</x:v>
      </x:c>
      <x:c r="O1105" s="9" t="str">
        <x:v>010</x:v>
      </x:c>
    </x:row>
    <x:row r="1106" ht="18" customHeight="1">
      <x:c r="A1106" s="2" t="str">
        <x:v>legacy_n6_07</x:v>
      </x:c>
      <x:c r="B1106" s="2" t="str">
        <x:v>QAOA</x:v>
      </x:c>
      <x:c r="C1106" s="2" t="n">
        <x:v>2026</x:v>
      </x:c>
      <x:c r="D1106" s="2" t="str">
        <x:v>success</x:v>
      </x:c>
      <x:c r="E1106" s="2" t="n">
        <x:v>3</x:v>
      </x:c>
      <x:c r="F1106" s="7" t="n">
        <x:v>75.74166666666666</x:v>
      </x:c>
      <x:c r="G1106" s="7" t="n">
        <x:v>49.7</x:v>
      </x:c>
      <x:c r="H1106" s="7" t="n">
        <x:f>IF(F1106=0,"n.a.",100*(F1106-G1106)/F1106)</x:f>
        <x:v>34.3822202662559</x:v>
      </x:c>
      <x:c r="I1106" s="7" t="n">
        <x:f>F1106-G1106</x:f>
        <x:v>26.041666666666657</x:v>
      </x:c>
      <x:c r="J1106" s="8" t="n">
        <x:v>0.6026410891211363</x:v>
      </x:c>
      <x:c r="K1106" s="8" t="n">
        <x:v>0.6026410891211363</x:v>
      </x:c>
      <x:c r="L1106" s="8" t="n">
        <x:v>0</x:v>
      </x:c>
      <x:c r="M1106" s="7" t="n">
        <x:v>116.68710000230931</x:v>
      </x:c>
      <x:c r="N1106" s="2" t="str">
        <x:v>qiskit.primitives.StatevectorSampler</x:v>
      </x:c>
      <x:c r="O1106" s="9" t="str">
        <x:v>100</x:v>
      </x:c>
    </x:row>
    <x:row r="1107" ht="18" customHeight="1">
      <x:c r="A1107" s="2" t="str">
        <x:v>legacy_n6_08</x:v>
      </x:c>
      <x:c r="B1107" s="2" t="str">
        <x:v>Unmanaged</x:v>
      </x:c>
      <x:c r="C1107" s="2"/>
      <x:c r="D1107" s="2" t="str">
        <x:v>baseline</x:v>
      </x:c>
      <x:c r="E1107" s="2" t="n">
        <x:v>8</x:v>
      </x:c>
      <x:c r="F1107" s="7" t="n">
        <x:v>85.11111111111111</x:v>
      </x:c>
      <x:c r="G1107" s="7" t="n">
        <x:v>85.11111111111111</x:v>
      </x:c>
      <x:c r="H1107" s="7" t="n">
        <x:f>IF(F1107=0,"n.a.",100*(F1107-G1107)/F1107)</x:f>
        <x:v>0</x:v>
      </x:c>
      <x:c r="I1107" s="7" t="n">
        <x:f>F1107-G1107</x:f>
        <x:v>0</x:v>
      </x:c>
      <x:c r="J1107" s="8"/>
      <x:c r="K1107" s="8" t="n">
        <x:v>0.3587926698480893</x:v>
      </x:c>
      <x:c r="L1107" s="8"/>
      <x:c r="M1107" s="7"/>
      <x:c r="N1107" s="2" t="str">
        <x:v>unmanaged_input</x:v>
      </x:c>
      <x:c r="O1107" s="9"/>
    </x:row>
    <x:row r="1108" ht="18" customHeight="1">
      <x:c r="A1108" s="2" t="str">
        <x:v>legacy_n6_08</x:v>
      </x:c>
      <x:c r="B1108" s="2" t="str">
        <x:v>Exact J</x:v>
      </x:c>
      <x:c r="C1108" s="2"/>
      <x:c r="D1108" s="2" t="str">
        <x:v>success</x:v>
      </x:c>
      <x:c r="E1108" s="2" t="n">
        <x:v>8</x:v>
      </x:c>
      <x:c r="F1108" s="7" t="n">
        <x:v>85.11111111111111</x:v>
      </x:c>
      <x:c r="G1108" s="7" t="n">
        <x:v>61.68666666666667</x:v>
      </x:c>
      <x:c r="H1108" s="7" t="n">
        <x:f>IF(F1108=0,"n.a.",100*(F1108-G1108)/F1108)</x:f>
        <x:v>27.522193211488254</x:v>
      </x:c>
      <x:c r="I1108" s="7" t="n">
        <x:f>F1108-G1108</x:f>
        <x:v>23.424444444444447</x:v>
      </x:c>
      <x:c r="J1108" s="8" t="n">
        <x:v>0.3587926698480893</x:v>
      </x:c>
      <x:c r="K1108" s="8" t="n">
        <x:v>0.3587926698480893</x:v>
      </x:c>
      <x:c r="L1108" s="8" t="n">
        <x:v>0</x:v>
      </x:c>
      <x:c r="M1108" s="7"/>
      <x:c r="N1108" s="2" t="str">
        <x:v>exhaustive_enumeration</x:v>
      </x:c>
      <x:c r="O1108" s="9" t="str">
        <x:v>00000011</x:v>
      </x:c>
    </x:row>
    <x:row r="1109" ht="18" customHeight="1">
      <x:c r="A1109" s="2" t="str">
        <x:v>legacy_n6_08</x:v>
      </x:c>
      <x:c r="B1109" s="2" t="str">
        <x:v>Exact peak</x:v>
      </x:c>
      <x:c r="C1109" s="2"/>
      <x:c r="D1109" s="2" t="str">
        <x:v>success</x:v>
      </x:c>
      <x:c r="E1109" s="2" t="n">
        <x:v>8</x:v>
      </x:c>
      <x:c r="F1109" s="7" t="n">
        <x:v>85.11111111111111</x:v>
      </x:c>
      <x:c r="G1109" s="7" t="n">
        <x:v>61.68666666666667</x:v>
      </x:c>
      <x:c r="H1109" s="7" t="n">
        <x:f>IF(F1109=0,"n.a.",100*(F1109-G1109)/F1109)</x:f>
        <x:v>27.522193211488254</x:v>
      </x:c>
      <x:c r="I1109" s="7" t="n">
        <x:f>F1109-G1109</x:f>
        <x:v>23.424444444444447</x:v>
      </x:c>
      <x:c r="J1109" s="8" t="n">
        <x:v>0.3587926698480893</x:v>
      </x:c>
      <x:c r="K1109" s="8" t="n">
        <x:v>0.3587926698480893</x:v>
      </x:c>
      <x:c r="L1109" s="8" t="n">
        <x:v>0</x:v>
      </x:c>
      <x:c r="M1109" s="7"/>
      <x:c r="N1109" s="2" t="str">
        <x:v>exhaustive_enumeration</x:v>
      </x:c>
      <x:c r="O1109" s="9" t="str">
        <x:v>00000011</x:v>
      </x:c>
    </x:row>
    <x:row r="1110" ht="18" customHeight="1">
      <x:c r="A1110" s="2" t="str">
        <x:v>legacy_n6_08</x:v>
      </x:c>
      <x:c r="B1110" s="2" t="str">
        <x:v>BPSO</x:v>
      </x:c>
      <x:c r="C1110" s="2" t="n">
        <x:v>42</x:v>
      </x:c>
      <x:c r="D1110" s="2" t="str">
        <x:v>success</x:v>
      </x:c>
      <x:c r="E1110" s="2" t="n">
        <x:v>8</x:v>
      </x:c>
      <x:c r="F1110" s="7" t="n">
        <x:v>85.11111111111111</x:v>
      </x:c>
      <x:c r="G1110" s="7" t="n">
        <x:v>61.68666666666667</x:v>
      </x:c>
      <x:c r="H1110" s="7" t="n">
        <x:f>IF(F1110=0,"n.a.",100*(F1110-G1110)/F1110)</x:f>
        <x:v>27.522193211488254</x:v>
      </x:c>
      <x:c r="I1110" s="7" t="n">
        <x:f>F1110-G1110</x:f>
        <x:v>23.424444444444447</x:v>
      </x:c>
      <x:c r="J1110" s="8" t="n">
        <x:v>0.3587926698480893</x:v>
      </x:c>
      <x:c r="K1110" s="8" t="n">
        <x:v>0.3587926698480893</x:v>
      </x:c>
      <x:c r="L1110" s="8" t="n">
        <x:v>0</x:v>
      </x:c>
      <x:c r="M1110" s="7" t="n">
        <x:v>19.35300001059659</x:v>
      </x:c>
      <x:c r="N1110" s="2" t="str">
        <x:v>repository_particle_dynamics_on_frozen_qubo</x:v>
      </x:c>
      <x:c r="O1110" s="9" t="str">
        <x:v>00000011</x:v>
      </x:c>
    </x:row>
    <x:row r="1111" ht="18" customHeight="1">
      <x:c r="A1111" s="2" t="str">
        <x:v>legacy_n6_08</x:v>
      </x:c>
      <x:c r="B1111" s="2" t="str">
        <x:v>QAOA</x:v>
      </x:c>
      <x:c r="C1111" s="2" t="n">
        <x:v>42</x:v>
      </x:c>
      <x:c r="D1111" s="2" t="str">
        <x:v>success</x:v>
      </x:c>
      <x:c r="E1111" s="2" t="n">
        <x:v>8</x:v>
      </x:c>
      <x:c r="F1111" s="7" t="n">
        <x:v>85.11111111111111</x:v>
      </x:c>
      <x:c r="G1111" s="7" t="n">
        <x:v>61.68666666666667</x:v>
      </x:c>
      <x:c r="H1111" s="7" t="n">
        <x:f>IF(F1111=0,"n.a.",100*(F1111-G1111)/F1111)</x:f>
        <x:v>27.522193211488254</x:v>
      </x:c>
      <x:c r="I1111" s="7" t="n">
        <x:f>F1111-G1111</x:f>
        <x:v>23.424444444444447</x:v>
      </x:c>
      <x:c r="J1111" s="8" t="n">
        <x:v>0.3587926698480893</x:v>
      </x:c>
      <x:c r="K1111" s="8" t="n">
        <x:v>0.3587926698480893</x:v>
      </x:c>
      <x:c r="L1111" s="8" t="n">
        <x:v>0</x:v>
      </x:c>
      <x:c r="M1111" s="7" t="n">
        <x:v>444.4921999966027</x:v>
      </x:c>
      <x:c r="N1111" s="2" t="str">
        <x:v>qiskit.primitives.StatevectorSampler</x:v>
      </x:c>
      <x:c r="O1111" s="9" t="str">
        <x:v>00000011</x:v>
      </x:c>
    </x:row>
    <x:row r="1112" ht="18" customHeight="1">
      <x:c r="A1112" s="2" t="str">
        <x:v>legacy_n6_08</x:v>
      </x:c>
      <x:c r="B1112" s="2" t="str">
        <x:v>BPSO</x:v>
      </x:c>
      <x:c r="C1112" s="2" t="n">
        <x:v>123</x:v>
      </x:c>
      <x:c r="D1112" s="2" t="str">
        <x:v>success</x:v>
      </x:c>
      <x:c r="E1112" s="2" t="n">
        <x:v>8</x:v>
      </x:c>
      <x:c r="F1112" s="7" t="n">
        <x:v>85.11111111111111</x:v>
      </x:c>
      <x:c r="G1112" s="7" t="n">
        <x:v>61.68666666666667</x:v>
      </x:c>
      <x:c r="H1112" s="7" t="n">
        <x:f>IF(F1112=0,"n.a.",100*(F1112-G1112)/F1112)</x:f>
        <x:v>27.522193211488254</x:v>
      </x:c>
      <x:c r="I1112" s="7" t="n">
        <x:f>F1112-G1112</x:f>
        <x:v>23.424444444444447</x:v>
      </x:c>
      <x:c r="J1112" s="8" t="n">
        <x:v>0.3587926698480893</x:v>
      </x:c>
      <x:c r="K1112" s="8" t="n">
        <x:v>0.3587926698480893</x:v>
      </x:c>
      <x:c r="L1112" s="8" t="n">
        <x:v>0</x:v>
      </x:c>
      <x:c r="M1112" s="7" t="n">
        <x:v>18.302700002095662</x:v>
      </x:c>
      <x:c r="N1112" s="2" t="str">
        <x:v>repository_particle_dynamics_on_frozen_qubo</x:v>
      </x:c>
      <x:c r="O1112" s="9" t="str">
        <x:v>00001100</x:v>
      </x:c>
    </x:row>
    <x:row r="1113" ht="18" customHeight="1">
      <x:c r="A1113" s="2" t="str">
        <x:v>legacy_n6_08</x:v>
      </x:c>
      <x:c r="B1113" s="2" t="str">
        <x:v>QAOA</x:v>
      </x:c>
      <x:c r="C1113" s="2" t="n">
        <x:v>123</x:v>
      </x:c>
      <x:c r="D1113" s="2" t="str">
        <x:v>success</x:v>
      </x:c>
      <x:c r="E1113" s="2" t="n">
        <x:v>8</x:v>
      </x:c>
      <x:c r="F1113" s="7" t="n">
        <x:v>85.11111111111111</x:v>
      </x:c>
      <x:c r="G1113" s="7" t="n">
        <x:v>61.68666666666667</x:v>
      </x:c>
      <x:c r="H1113" s="7" t="n">
        <x:f>IF(F1113=0,"n.a.",100*(F1113-G1113)/F1113)</x:f>
        <x:v>27.522193211488254</x:v>
      </x:c>
      <x:c r="I1113" s="7" t="n">
        <x:f>F1113-G1113</x:f>
        <x:v>23.424444444444447</x:v>
      </x:c>
      <x:c r="J1113" s="8" t="n">
        <x:v>0.3587926698480893</x:v>
      </x:c>
      <x:c r="K1113" s="8" t="n">
        <x:v>0.3587926698480893</x:v>
      </x:c>
      <x:c r="L1113" s="8" t="n">
        <x:v>0</x:v>
      </x:c>
      <x:c r="M1113" s="7" t="n">
        <x:v>460.14589999685995</x:v>
      </x:c>
      <x:c r="N1113" s="2" t="str">
        <x:v>qiskit.primitives.StatevectorSampler</x:v>
      </x:c>
      <x:c r="O1113" s="9" t="str">
        <x:v>00001100</x:v>
      </x:c>
    </x:row>
    <x:row r="1114" ht="18" customHeight="1">
      <x:c r="A1114" s="2" t="str">
        <x:v>legacy_n6_08</x:v>
      </x:c>
      <x:c r="B1114" s="2" t="str">
        <x:v>BPSO</x:v>
      </x:c>
      <x:c r="C1114" s="2" t="n">
        <x:v>456</x:v>
      </x:c>
      <x:c r="D1114" s="2" t="str">
        <x:v>success</x:v>
      </x:c>
      <x:c r="E1114" s="2" t="n">
        <x:v>8</x:v>
      </x:c>
      <x:c r="F1114" s="7" t="n">
        <x:v>85.11111111111111</x:v>
      </x:c>
      <x:c r="G1114" s="7" t="n">
        <x:v>61.68666666666667</x:v>
      </x:c>
      <x:c r="H1114" s="7" t="n">
        <x:f>IF(F1114=0,"n.a.",100*(F1114-G1114)/F1114)</x:f>
        <x:v>27.522193211488254</x:v>
      </x:c>
      <x:c r="I1114" s="7" t="n">
        <x:f>F1114-G1114</x:f>
        <x:v>23.424444444444447</x:v>
      </x:c>
      <x:c r="J1114" s="8" t="n">
        <x:v>0.3587926698480893</x:v>
      </x:c>
      <x:c r="K1114" s="8" t="n">
        <x:v>0.3587926698480893</x:v>
      </x:c>
      <x:c r="L1114" s="8" t="n">
        <x:v>0</x:v>
      </x:c>
      <x:c r="M1114" s="7" t="n">
        <x:v>19.229599987738766</x:v>
      </x:c>
      <x:c r="N1114" s="2" t="str">
        <x:v>repository_particle_dynamics_on_frozen_qubo</x:v>
      </x:c>
      <x:c r="O1114" s="9" t="str">
        <x:v>00010100</x:v>
      </x:c>
    </x:row>
    <x:row r="1115" ht="18" customHeight="1">
      <x:c r="A1115" s="2" t="str">
        <x:v>legacy_n6_08</x:v>
      </x:c>
      <x:c r="B1115" s="2" t="str">
        <x:v>QAOA</x:v>
      </x:c>
      <x:c r="C1115" s="2" t="n">
        <x:v>456</x:v>
      </x:c>
      <x:c r="D1115" s="2" t="str">
        <x:v>success</x:v>
      </x:c>
      <x:c r="E1115" s="2" t="n">
        <x:v>8</x:v>
      </x:c>
      <x:c r="F1115" s="7" t="n">
        <x:v>85.11111111111111</x:v>
      </x:c>
      <x:c r="G1115" s="7" t="n">
        <x:v>61.68666666666667</x:v>
      </x:c>
      <x:c r="H1115" s="7" t="n">
        <x:f>IF(F1115=0,"n.a.",100*(F1115-G1115)/F1115)</x:f>
        <x:v>27.522193211488254</x:v>
      </x:c>
      <x:c r="I1115" s="7" t="n">
        <x:f>F1115-G1115</x:f>
        <x:v>23.424444444444447</x:v>
      </x:c>
      <x:c r="J1115" s="8" t="n">
        <x:v>0.3587926698480893</x:v>
      </x:c>
      <x:c r="K1115" s="8" t="n">
        <x:v>0.3587926698480893</x:v>
      </x:c>
      <x:c r="L1115" s="8" t="n">
        <x:v>0</x:v>
      </x:c>
      <x:c r="M1115" s="7" t="n">
        <x:v>870.7783999998355</x:v>
      </x:c>
      <x:c r="N1115" s="2" t="str">
        <x:v>qiskit.primitives.StatevectorSampler</x:v>
      </x:c>
      <x:c r="O1115" s="9" t="str">
        <x:v>00000011</x:v>
      </x:c>
    </x:row>
    <x:row r="1116" ht="18" customHeight="1">
      <x:c r="A1116" s="2" t="str">
        <x:v>legacy_n6_08</x:v>
      </x:c>
      <x:c r="B1116" s="2" t="str">
        <x:v>BPSO</x:v>
      </x:c>
      <x:c r="C1116" s="2" t="n">
        <x:v>789</x:v>
      </x:c>
      <x:c r="D1116" s="2" t="str">
        <x:v>success</x:v>
      </x:c>
      <x:c r="E1116" s="2" t="n">
        <x:v>8</x:v>
      </x:c>
      <x:c r="F1116" s="7" t="n">
        <x:v>85.11111111111111</x:v>
      </x:c>
      <x:c r="G1116" s="7" t="n">
        <x:v>61.68666666666667</x:v>
      </x:c>
      <x:c r="H1116" s="7" t="n">
        <x:f>IF(F1116=0,"n.a.",100*(F1116-G1116)/F1116)</x:f>
        <x:v>27.522193211488254</x:v>
      </x:c>
      <x:c r="I1116" s="7" t="n">
        <x:f>F1116-G1116</x:f>
        <x:v>23.424444444444447</x:v>
      </x:c>
      <x:c r="J1116" s="8" t="n">
        <x:v>0.3587926698480893</x:v>
      </x:c>
      <x:c r="K1116" s="8" t="n">
        <x:v>0.3587926698480893</x:v>
      </x:c>
      <x:c r="L1116" s="8" t="n">
        <x:v>0</x:v>
      </x:c>
      <x:c r="M1116" s="7" t="n">
        <x:v>55.37860000913497</x:v>
      </x:c>
      <x:c r="N1116" s="2" t="str">
        <x:v>repository_particle_dynamics_on_frozen_qubo</x:v>
      </x:c>
      <x:c r="O1116" s="9" t="str">
        <x:v>00001010</x:v>
      </x:c>
    </x:row>
    <x:row r="1117" ht="18" customHeight="1">
      <x:c r="A1117" s="2" t="str">
        <x:v>legacy_n6_08</x:v>
      </x:c>
      <x:c r="B1117" s="2" t="str">
        <x:v>QAOA</x:v>
      </x:c>
      <x:c r="C1117" s="2" t="n">
        <x:v>789</x:v>
      </x:c>
      <x:c r="D1117" s="2" t="str">
        <x:v>success</x:v>
      </x:c>
      <x:c r="E1117" s="2" t="n">
        <x:v>8</x:v>
      </x:c>
      <x:c r="F1117" s="7" t="n">
        <x:v>85.11111111111111</x:v>
      </x:c>
      <x:c r="G1117" s="7" t="n">
        <x:v>61.68666666666667</x:v>
      </x:c>
      <x:c r="H1117" s="7" t="n">
        <x:f>IF(F1117=0,"n.a.",100*(F1117-G1117)/F1117)</x:f>
        <x:v>27.522193211488254</x:v>
      </x:c>
      <x:c r="I1117" s="7" t="n">
        <x:f>F1117-G1117</x:f>
        <x:v>23.424444444444447</x:v>
      </x:c>
      <x:c r="J1117" s="8" t="n">
        <x:v>0.3587926698480893</x:v>
      </x:c>
      <x:c r="K1117" s="8" t="n">
        <x:v>0.3587926698480893</x:v>
      </x:c>
      <x:c r="L1117" s="8" t="n">
        <x:v>0</x:v>
      </x:c>
      <x:c r="M1117" s="7" t="n">
        <x:v>1387.906000003568</x:v>
      </x:c>
      <x:c r="N1117" s="2" t="str">
        <x:v>qiskit.primitives.StatevectorSampler</x:v>
      </x:c>
      <x:c r="O1117" s="9" t="str">
        <x:v>00010001</x:v>
      </x:c>
    </x:row>
    <x:row r="1118" ht="18" customHeight="1">
      <x:c r="A1118" s="2" t="str">
        <x:v>legacy_n6_08</x:v>
      </x:c>
      <x:c r="B1118" s="2" t="str">
        <x:v>BPSO</x:v>
      </x:c>
      <x:c r="C1118" s="2" t="n">
        <x:v>2026</x:v>
      </x:c>
      <x:c r="D1118" s="2" t="str">
        <x:v>success</x:v>
      </x:c>
      <x:c r="E1118" s="2" t="n">
        <x:v>8</x:v>
      </x:c>
      <x:c r="F1118" s="7" t="n">
        <x:v>85.11111111111111</x:v>
      </x:c>
      <x:c r="G1118" s="7" t="n">
        <x:v>61.68666666666667</x:v>
      </x:c>
      <x:c r="H1118" s="7" t="n">
        <x:f>IF(F1118=0,"n.a.",100*(F1118-G1118)/F1118)</x:f>
        <x:v>27.522193211488254</x:v>
      </x:c>
      <x:c r="I1118" s="7" t="n">
        <x:f>F1118-G1118</x:f>
        <x:v>23.424444444444447</x:v>
      </x:c>
      <x:c r="J1118" s="8" t="n">
        <x:v>0.3587926698480893</x:v>
      </x:c>
      <x:c r="K1118" s="8" t="n">
        <x:v>0.3587926698480893</x:v>
      </x:c>
      <x:c r="L1118" s="8" t="n">
        <x:v>0</x:v>
      </x:c>
      <x:c r="M1118" s="7" t="n">
        <x:v>49.88459999731276</x:v>
      </x:c>
      <x:c r="N1118" s="2" t="str">
        <x:v>repository_particle_dynamics_on_frozen_qubo</x:v>
      </x:c>
      <x:c r="O1118" s="9" t="str">
        <x:v>00001010</x:v>
      </x:c>
    </x:row>
    <x:row r="1119" ht="18" customHeight="1">
      <x:c r="A1119" s="2" t="str">
        <x:v>legacy_n6_08</x:v>
      </x:c>
      <x:c r="B1119" s="2" t="str">
        <x:v>QAOA</x:v>
      </x:c>
      <x:c r="C1119" s="2" t="n">
        <x:v>2026</x:v>
      </x:c>
      <x:c r="D1119" s="2" t="str">
        <x:v>success</x:v>
      </x:c>
      <x:c r="E1119" s="2" t="n">
        <x:v>8</x:v>
      </x:c>
      <x:c r="F1119" s="7" t="n">
        <x:v>85.11111111111111</x:v>
      </x:c>
      <x:c r="G1119" s="7" t="n">
        <x:v>61.68666666666667</x:v>
      </x:c>
      <x:c r="H1119" s="7" t="n">
        <x:f>IF(F1119=0,"n.a.",100*(F1119-G1119)/F1119)</x:f>
        <x:v>27.522193211488254</x:v>
      </x:c>
      <x:c r="I1119" s="7" t="n">
        <x:f>F1119-G1119</x:f>
        <x:v>23.424444444444447</x:v>
      </x:c>
      <x:c r="J1119" s="8" t="n">
        <x:v>0.3587926698480893</x:v>
      </x:c>
      <x:c r="K1119" s="8" t="n">
        <x:v>0.3587926698480893</x:v>
      </x:c>
      <x:c r="L1119" s="8" t="n">
        <x:v>0</x:v>
      </x:c>
      <x:c r="M1119" s="7" t="n">
        <x:v>2553.878100006841</x:v>
      </x:c>
      <x:c r="N1119" s="2" t="str">
        <x:v>qiskit.primitives.StatevectorSampler</x:v>
      </x:c>
      <x:c r="O1119" s="9" t="str">
        <x:v>00000110</x:v>
      </x:c>
    </x:row>
    <x:row r="1120" ht="18" customHeight="1">
      <x:c r="A1120" s="2" t="str">
        <x:v>legacy_n6_09</x:v>
      </x:c>
      <x:c r="B1120" s="2" t="str">
        <x:v>Unmanaged</x:v>
      </x:c>
      <x:c r="C1120" s="2"/>
      <x:c r="D1120" s="2" t="str">
        <x:v>baseline</x:v>
      </x:c>
      <x:c r="E1120" s="2" t="n">
        <x:v>10</x:v>
      </x:c>
      <x:c r="F1120" s="7" t="n">
        <x:v>84.67083333333333</x:v>
      </x:c>
      <x:c r="G1120" s="7" t="n">
        <x:v>84.67083333333333</x:v>
      </x:c>
      <x:c r="H1120" s="7" t="n">
        <x:f>IF(F1120=0,"n.a.",100*(F1120-G1120)/F1120)</x:f>
        <x:v>0</x:v>
      </x:c>
      <x:c r="I1120" s="7" t="n">
        <x:f>F1120-G1120</x:f>
        <x:v>0</x:v>
      </x:c>
      <x:c r="J1120" s="8"/>
      <x:c r="K1120" s="8" t="n">
        <x:v>0.783726977168568</x:v>
      </x:c>
      <x:c r="L1120" s="8"/>
      <x:c r="M1120" s="7"/>
      <x:c r="N1120" s="2" t="str">
        <x:v>unmanaged_input</x:v>
      </x:c>
      <x:c r="O1120" s="9"/>
    </x:row>
    <x:row r="1121" ht="18" customHeight="1">
      <x:c r="A1121" s="2" t="str">
        <x:v>legacy_n6_09</x:v>
      </x:c>
      <x:c r="B1121" s="2" t="str">
        <x:v>Exact J</x:v>
      </x:c>
      <x:c r="C1121" s="2"/>
      <x:c r="D1121" s="2" t="str">
        <x:v>success</x:v>
      </x:c>
      <x:c r="E1121" s="2" t="n">
        <x:v>10</x:v>
      </x:c>
      <x:c r="F1121" s="7" t="n">
        <x:v>84.67083333333333</x:v>
      </x:c>
      <x:c r="G1121" s="7" t="n">
        <x:v>75.19375</x:v>
      </x:c>
      <x:c r="H1121" s="7" t="n">
        <x:f>IF(F1121=0,"n.a.",100*(F1121-G1121)/F1121)</x:f>
        <x:v>11.192854682348317</x:v>
      </x:c>
      <x:c r="I1121" s="7" t="n">
        <x:f>F1121-G1121</x:f>
        <x:v>9.47708333333334</x:v>
      </x:c>
      <x:c r="J1121" s="8" t="n">
        <x:v>0.783726977168568</x:v>
      </x:c>
      <x:c r="K1121" s="8" t="n">
        <x:v>0.783726977168568</x:v>
      </x:c>
      <x:c r="L1121" s="8" t="n">
        <x:v>0</x:v>
      </x:c>
      <x:c r="M1121" s="7"/>
      <x:c r="N1121" s="2" t="str">
        <x:v>exhaustive_enumeration</x:v>
      </x:c>
      <x:c r="O1121" s="9" t="str">
        <x:v>0001111111</x:v>
      </x:c>
    </x:row>
    <x:row r="1122" ht="18" customHeight="1">
      <x:c r="A1122" s="2" t="str">
        <x:v>legacy_n6_09</x:v>
      </x:c>
      <x:c r="B1122" s="2" t="str">
        <x:v>Exact peak</x:v>
      </x:c>
      <x:c r="C1122" s="2"/>
      <x:c r="D1122" s="2" t="str">
        <x:v>success</x:v>
      </x:c>
      <x:c r="E1122" s="2" t="n">
        <x:v>10</x:v>
      </x:c>
      <x:c r="F1122" s="7" t="n">
        <x:v>84.67083333333333</x:v>
      </x:c>
      <x:c r="G1122" s="7" t="n">
        <x:v>74.55555555555556</x:v>
      </x:c>
      <x:c r="H1122" s="7" t="n">
        <x:f>IF(F1122=0,"n.a.",100*(F1122-G1122)/F1122)</x:f>
        <x:v>11.946590554926757</x:v>
      </x:c>
      <x:c r="I1122" s="7" t="n">
        <x:f>F1122-G1122</x:f>
        <x:v>10.115277777777777</x:v>
      </x:c>
      <x:c r="J1122" s="8" t="n">
        <x:v>0.8558528812853589</x:v>
      </x:c>
      <x:c r="K1122" s="8" t="n">
        <x:v>0.783726977168568</x:v>
      </x:c>
      <x:c r="L1122" s="8" t="n">
        <x:v>0.07212590411679087</x:v>
      </x:c>
      <x:c r="M1122" s="7"/>
      <x:c r="N1122" s="2" t="str">
        <x:v>exhaustive_enumeration</x:v>
      </x:c>
      <x:c r="O1122" s="9" t="str">
        <x:v>0000110111</x:v>
      </x:c>
    </x:row>
    <x:row r="1123" ht="18" customHeight="1">
      <x:c r="A1123" s="2" t="str">
        <x:v>legacy_n6_09</x:v>
      </x:c>
      <x:c r="B1123" s="2" t="str">
        <x:v>BPSO</x:v>
      </x:c>
      <x:c r="C1123" s="2" t="n">
        <x:v>42</x:v>
      </x:c>
      <x:c r="D1123" s="2" t="str">
        <x:v>success</x:v>
      </x:c>
      <x:c r="E1123" s="2" t="n">
        <x:v>10</x:v>
      </x:c>
      <x:c r="F1123" s="7" t="n">
        <x:v>84.67083333333333</x:v>
      </x:c>
      <x:c r="G1123" s="7" t="n">
        <x:v>75.19375</x:v>
      </x:c>
      <x:c r="H1123" s="7" t="n">
        <x:f>IF(F1123=0,"n.a.",100*(F1123-G1123)/F1123)</x:f>
        <x:v>11.192854682348317</x:v>
      </x:c>
      <x:c r="I1123" s="7" t="n">
        <x:f>F1123-G1123</x:f>
        <x:v>9.47708333333334</x:v>
      </x:c>
      <x:c r="J1123" s="8" t="n">
        <x:v>0.783726977168568</x:v>
      </x:c>
      <x:c r="K1123" s="8" t="n">
        <x:v>0.783726977168568</x:v>
      </x:c>
      <x:c r="L1123" s="8" t="n">
        <x:v>0</x:v>
      </x:c>
      <x:c r="M1123" s="7" t="n">
        <x:v>181.32150000019465</x:v>
      </x:c>
      <x:c r="N1123" s="2" t="str">
        <x:v>repository_particle_dynamics_on_frozen_qubo</x:v>
      </x:c>
      <x:c r="O1123" s="9" t="str">
        <x:v>1010011111</x:v>
      </x:c>
    </x:row>
    <x:row r="1124" ht="18" customHeight="1">
      <x:c r="A1124" s="2" t="str">
        <x:v>legacy_n6_09</x:v>
      </x:c>
      <x:c r="B1124" s="2" t="str">
        <x:v>QAOA</x:v>
      </x:c>
      <x:c r="C1124" s="2" t="n">
        <x:v>42</x:v>
      </x:c>
      <x:c r="D1124" s="2" t="str">
        <x:v>success</x:v>
      </x:c>
      <x:c r="E1124" s="2" t="n">
        <x:v>10</x:v>
      </x:c>
      <x:c r="F1124" s="7" t="n">
        <x:v>84.67083333333333</x:v>
      </x:c>
      <x:c r="G1124" s="7" t="n">
        <x:v>75.19375</x:v>
      </x:c>
      <x:c r="H1124" s="7" t="n">
        <x:f>IF(F1124=0,"n.a.",100*(F1124-G1124)/F1124)</x:f>
        <x:v>11.192854682348317</x:v>
      </x:c>
      <x:c r="I1124" s="7" t="n">
        <x:f>F1124-G1124</x:f>
        <x:v>9.47708333333334</x:v>
      </x:c>
      <x:c r="J1124" s="8" t="n">
        <x:v>0.783726977168568</x:v>
      </x:c>
      <x:c r="K1124" s="8" t="n">
        <x:v>0.783726977168568</x:v>
      </x:c>
      <x:c r="L1124" s="8" t="n">
        <x:v>0</x:v>
      </x:c>
      <x:c r="M1124" s="7" t="n">
        <x:v>2142.909200003487</x:v>
      </x:c>
      <x:c r="N1124" s="2" t="str">
        <x:v>qiskit.primitives.StatevectorSampler</x:v>
      </x:c>
      <x:c r="O1124" s="9" t="str">
        <x:v>1011001111</x:v>
      </x:c>
    </x:row>
    <x:row r="1125" ht="18" customHeight="1">
      <x:c r="A1125" s="2" t="str">
        <x:v>legacy_n6_09</x:v>
      </x:c>
      <x:c r="B1125" s="2" t="str">
        <x:v>BPSO</x:v>
      </x:c>
      <x:c r="C1125" s="2" t="n">
        <x:v>123</x:v>
      </x:c>
      <x:c r="D1125" s="2" t="str">
        <x:v>success</x:v>
      </x:c>
      <x:c r="E1125" s="2" t="n">
        <x:v>10</x:v>
      </x:c>
      <x:c r="F1125" s="7" t="n">
        <x:v>84.67083333333333</x:v>
      </x:c>
      <x:c r="G1125" s="7" t="n">
        <x:v>75.19375</x:v>
      </x:c>
      <x:c r="H1125" s="7" t="n">
        <x:f>IF(F1125=0,"n.a.",100*(F1125-G1125)/F1125)</x:f>
        <x:v>11.192854682348317</x:v>
      </x:c>
      <x:c r="I1125" s="7" t="n">
        <x:f>F1125-G1125</x:f>
        <x:v>9.47708333333334</x:v>
      </x:c>
      <x:c r="J1125" s="8" t="n">
        <x:v>0.783726977168568</x:v>
      </x:c>
      <x:c r="K1125" s="8" t="n">
        <x:v>0.783726977168568</x:v>
      </x:c>
      <x:c r="L1125" s="8" t="n">
        <x:v>0</x:v>
      </x:c>
      <x:c r="M1125" s="7" t="n">
        <x:v>58.36270000145305</x:v>
      </x:c>
      <x:c r="N1125" s="2" t="str">
        <x:v>repository_particle_dynamics_on_frozen_qubo</x:v>
      </x:c>
      <x:c r="O1125" s="9" t="str">
        <x:v>0001111111</x:v>
      </x:c>
    </x:row>
    <x:row r="1126" ht="18" customHeight="1">
      <x:c r="A1126" s="2" t="str">
        <x:v>legacy_n6_09</x:v>
      </x:c>
      <x:c r="B1126" s="2" t="str">
        <x:v>QAOA</x:v>
      </x:c>
      <x:c r="C1126" s="2" t="n">
        <x:v>123</x:v>
      </x:c>
      <x:c r="D1126" s="2" t="str">
        <x:v>success</x:v>
      </x:c>
      <x:c r="E1126" s="2" t="n">
        <x:v>10</x:v>
      </x:c>
      <x:c r="F1126" s="7" t="n">
        <x:v>84.67083333333333</x:v>
      </x:c>
      <x:c r="G1126" s="7" t="n">
        <x:v>75.19375</x:v>
      </x:c>
      <x:c r="H1126" s="7" t="n">
        <x:f>IF(F1126=0,"n.a.",100*(F1126-G1126)/F1126)</x:f>
        <x:v>11.192854682348317</x:v>
      </x:c>
      <x:c r="I1126" s="7" t="n">
        <x:f>F1126-G1126</x:f>
        <x:v>9.47708333333334</x:v>
      </x:c>
      <x:c r="J1126" s="8" t="n">
        <x:v>0.783726977168568</x:v>
      </x:c>
      <x:c r="K1126" s="8" t="n">
        <x:v>0.783726977168568</x:v>
      </x:c>
      <x:c r="L1126" s="8" t="n">
        <x:v>0</x:v>
      </x:c>
      <x:c r="M1126" s="7" t="n">
        <x:v>2239.657600002829</x:v>
      </x:c>
      <x:c r="N1126" s="2" t="str">
        <x:v>qiskit.primitives.StatevectorSampler</x:v>
      </x:c>
      <x:c r="O1126" s="9" t="str">
        <x:v>0011101111</x:v>
      </x:c>
    </x:row>
    <x:row r="1127" ht="18" customHeight="1">
      <x:c r="A1127" s="2" t="str">
        <x:v>legacy_n6_09</x:v>
      </x:c>
      <x:c r="B1127" s="2" t="str">
        <x:v>BPSO</x:v>
      </x:c>
      <x:c r="C1127" s="2" t="n">
        <x:v>456</x:v>
      </x:c>
      <x:c r="D1127" s="2" t="str">
        <x:v>success</x:v>
      </x:c>
      <x:c r="E1127" s="2" t="n">
        <x:v>10</x:v>
      </x:c>
      <x:c r="F1127" s="7" t="n">
        <x:v>84.67083333333333</x:v>
      </x:c>
      <x:c r="G1127" s="7" t="n">
        <x:v>75.19375</x:v>
      </x:c>
      <x:c r="H1127" s="7" t="n">
        <x:f>IF(F1127=0,"n.a.",100*(F1127-G1127)/F1127)</x:f>
        <x:v>11.192854682348317</x:v>
      </x:c>
      <x:c r="I1127" s="7" t="n">
        <x:f>F1127-G1127</x:f>
        <x:v>9.47708333333334</x:v>
      </x:c>
      <x:c r="J1127" s="8" t="n">
        <x:v>0.783726977168568</x:v>
      </x:c>
      <x:c r="K1127" s="8" t="n">
        <x:v>0.783726977168568</x:v>
      </x:c>
      <x:c r="L1127" s="8" t="n">
        <x:v>0</x:v>
      </x:c>
      <x:c r="M1127" s="7" t="n">
        <x:v>22.24459999706596</x:v>
      </x:c>
      <x:c r="N1127" s="2" t="str">
        <x:v>repository_particle_dynamics_on_frozen_qubo</x:v>
      </x:c>
      <x:c r="O1127" s="9" t="str">
        <x:v>1100011111</x:v>
      </x:c>
    </x:row>
    <x:row r="1128" ht="18" customHeight="1">
      <x:c r="A1128" s="2" t="str">
        <x:v>legacy_n6_09</x:v>
      </x:c>
      <x:c r="B1128" s="2" t="str">
        <x:v>QAOA</x:v>
      </x:c>
      <x:c r="C1128" s="2" t="n">
        <x:v>456</x:v>
      </x:c>
      <x:c r="D1128" s="2" t="str">
        <x:v>success</x:v>
      </x:c>
      <x:c r="E1128" s="2" t="n">
        <x:v>10</x:v>
      </x:c>
      <x:c r="F1128" s="7" t="n">
        <x:v>84.67083333333333</x:v>
      </x:c>
      <x:c r="G1128" s="7" t="n">
        <x:v>75.19375</x:v>
      </x:c>
      <x:c r="H1128" s="7" t="n">
        <x:f>IF(F1128=0,"n.a.",100*(F1128-G1128)/F1128)</x:f>
        <x:v>11.192854682348317</x:v>
      </x:c>
      <x:c r="I1128" s="7" t="n">
        <x:f>F1128-G1128</x:f>
        <x:v>9.47708333333334</x:v>
      </x:c>
      <x:c r="J1128" s="8" t="n">
        <x:v>0.783726977168568</x:v>
      </x:c>
      <x:c r="K1128" s="8" t="n">
        <x:v>0.783726977168568</x:v>
      </x:c>
      <x:c r="L1128" s="8" t="n">
        <x:v>0</x:v>
      </x:c>
      <x:c r="M1128" s="7" t="n">
        <x:v>721.6392999980599</x:v>
      </x:c>
      <x:c r="N1128" s="2" t="str">
        <x:v>qiskit.primitives.StatevectorSampler</x:v>
      </x:c>
      <x:c r="O1128" s="9" t="str">
        <x:v>1000111111</x:v>
      </x:c>
    </x:row>
    <x:row r="1129" ht="18" customHeight="1">
      <x:c r="A1129" s="2" t="str">
        <x:v>legacy_n6_09</x:v>
      </x:c>
      <x:c r="B1129" s="2" t="str">
        <x:v>BPSO</x:v>
      </x:c>
      <x:c r="C1129" s="2" t="n">
        <x:v>789</x:v>
      </x:c>
      <x:c r="D1129" s="2" t="str">
        <x:v>success</x:v>
      </x:c>
      <x:c r="E1129" s="2" t="n">
        <x:v>10</x:v>
      </x:c>
      <x:c r="F1129" s="7" t="n">
        <x:v>84.67083333333333</x:v>
      </x:c>
      <x:c r="G1129" s="7" t="n">
        <x:v>75.19375</x:v>
      </x:c>
      <x:c r="H1129" s="7" t="n">
        <x:f>IF(F1129=0,"n.a.",100*(F1129-G1129)/F1129)</x:f>
        <x:v>11.192854682348317</x:v>
      </x:c>
      <x:c r="I1129" s="7" t="n">
        <x:f>F1129-G1129</x:f>
        <x:v>9.47708333333334</x:v>
      </x:c>
      <x:c r="J1129" s="8" t="n">
        <x:v>0.783726977168568</x:v>
      </x:c>
      <x:c r="K1129" s="8" t="n">
        <x:v>0.783726977168568</x:v>
      </x:c>
      <x:c r="L1129" s="8" t="n">
        <x:v>0</x:v>
      </x:c>
      <x:c r="M1129" s="7" t="n">
        <x:v>21.256299995002337</x:v>
      </x:c>
      <x:c r="N1129" s="2" t="str">
        <x:v>repository_particle_dynamics_on_frozen_qubo</x:v>
      </x:c>
      <x:c r="O1129" s="9" t="str">
        <x:v>1010011111</x:v>
      </x:c>
    </x:row>
    <x:row r="1130" ht="18" customHeight="1">
      <x:c r="A1130" s="2" t="str">
        <x:v>legacy_n6_09</x:v>
      </x:c>
      <x:c r="B1130" s="2" t="str">
        <x:v>QAOA</x:v>
      </x:c>
      <x:c r="C1130" s="2" t="n">
        <x:v>789</x:v>
      </x:c>
      <x:c r="D1130" s="2" t="str">
        <x:v>success</x:v>
      </x:c>
      <x:c r="E1130" s="2" t="n">
        <x:v>10</x:v>
      </x:c>
      <x:c r="F1130" s="7" t="n">
        <x:v>84.67083333333333</x:v>
      </x:c>
      <x:c r="G1130" s="7" t="n">
        <x:v>75.19375</x:v>
      </x:c>
      <x:c r="H1130" s="7" t="n">
        <x:f>IF(F1130=0,"n.a.",100*(F1130-G1130)/F1130)</x:f>
        <x:v>11.192854682348317</x:v>
      </x:c>
      <x:c r="I1130" s="7" t="n">
        <x:f>F1130-G1130</x:f>
        <x:v>9.47708333333334</x:v>
      </x:c>
      <x:c r="J1130" s="8" t="n">
        <x:v>0.783726977168568</x:v>
      </x:c>
      <x:c r="K1130" s="8" t="n">
        <x:v>0.783726977168568</x:v>
      </x:c>
      <x:c r="L1130" s="8" t="n">
        <x:v>0</x:v>
      </x:c>
      <x:c r="M1130" s="7" t="n">
        <x:v>822.8982000000542</x:v>
      </x:c>
      <x:c r="N1130" s="2" t="str">
        <x:v>qiskit.primitives.StatevectorSampler</x:v>
      </x:c>
      <x:c r="O1130" s="9" t="str">
        <x:v>1100101111</x:v>
      </x:c>
    </x:row>
    <x:row r="1131" ht="18" customHeight="1">
      <x:c r="A1131" s="2" t="str">
        <x:v>legacy_n6_09</x:v>
      </x:c>
      <x:c r="B1131" s="2" t="str">
        <x:v>BPSO</x:v>
      </x:c>
      <x:c r="C1131" s="2" t="n">
        <x:v>2026</x:v>
      </x:c>
      <x:c r="D1131" s="2" t="str">
        <x:v>success</x:v>
      </x:c>
      <x:c r="E1131" s="2" t="n">
        <x:v>10</x:v>
      </x:c>
      <x:c r="F1131" s="7" t="n">
        <x:v>84.67083333333333</x:v>
      </x:c>
      <x:c r="G1131" s="7" t="n">
        <x:v>75.19375</x:v>
      </x:c>
      <x:c r="H1131" s="7" t="n">
        <x:f>IF(F1131=0,"n.a.",100*(F1131-G1131)/F1131)</x:f>
        <x:v>11.192854682348317</x:v>
      </x:c>
      <x:c r="I1131" s="7" t="n">
        <x:f>F1131-G1131</x:f>
        <x:v>9.47708333333334</x:v>
      </x:c>
      <x:c r="J1131" s="8" t="n">
        <x:v>0.783726977168568</x:v>
      </x:c>
      <x:c r="K1131" s="8" t="n">
        <x:v>0.783726977168568</x:v>
      </x:c>
      <x:c r="L1131" s="8" t="n">
        <x:v>0</x:v>
      </x:c>
      <x:c r="M1131" s="7" t="n">
        <x:v>20.97450000292156</x:v>
      </x:c>
      <x:c r="N1131" s="2" t="str">
        <x:v>repository_particle_dynamics_on_frozen_qubo</x:v>
      </x:c>
      <x:c r="O1131" s="9" t="str">
        <x:v>1010101111</x:v>
      </x:c>
    </x:row>
    <x:row r="1132" ht="18" customHeight="1">
      <x:c r="A1132" s="2" t="str">
        <x:v>legacy_n6_09</x:v>
      </x:c>
      <x:c r="B1132" s="2" t="str">
        <x:v>QAOA</x:v>
      </x:c>
      <x:c r="C1132" s="2" t="n">
        <x:v>2026</x:v>
      </x:c>
      <x:c r="D1132" s="2" t="str">
        <x:v>success</x:v>
      </x:c>
      <x:c r="E1132" s="2" t="n">
        <x:v>10</x:v>
      </x:c>
      <x:c r="F1132" s="7" t="n">
        <x:v>84.67083333333333</x:v>
      </x:c>
      <x:c r="G1132" s="7" t="n">
        <x:v>75.19375</x:v>
      </x:c>
      <x:c r="H1132" s="7" t="n">
        <x:f>IF(F1132=0,"n.a.",100*(F1132-G1132)/F1132)</x:f>
        <x:v>11.192854682348317</x:v>
      </x:c>
      <x:c r="I1132" s="7" t="n">
        <x:f>F1132-G1132</x:f>
        <x:v>9.47708333333334</x:v>
      </x:c>
      <x:c r="J1132" s="8" t="n">
        <x:v>0.783726977168568</x:v>
      </x:c>
      <x:c r="K1132" s="8" t="n">
        <x:v>0.783726977168568</x:v>
      </x:c>
      <x:c r="L1132" s="8" t="n">
        <x:v>0</x:v>
      </x:c>
      <x:c r="M1132" s="7" t="n">
        <x:v>731.0456999985036</x:v>
      </x:c>
      <x:c r="N1132" s="2" t="str">
        <x:v>qiskit.primitives.StatevectorSampler</x:v>
      </x:c>
      <x:c r="O1132" s="9" t="str">
        <x:v>0101101111</x:v>
      </x:c>
    </x:row>
    <x:row r="1133" ht="18" customHeight="1">
      <x:c r="A1133" s="2" t="str">
        <x:v>legacy_n6_10</x:v>
      </x:c>
      <x:c r="B1133" s="2" t="str">
        <x:v>Unmanaged</x:v>
      </x:c>
      <x:c r="C1133" s="2"/>
      <x:c r="D1133" s="2" t="str">
        <x:v>baseline</x:v>
      </x:c>
      <x:c r="E1133" s="2" t="n">
        <x:v>8</x:v>
      </x:c>
      <x:c r="F1133" s="7" t="n">
        <x:v>78.9</x:v>
      </x:c>
      <x:c r="G1133" s="7" t="n">
        <x:v>78.9</x:v>
      </x:c>
      <x:c r="H1133" s="7" t="n">
        <x:f>IF(F1133=0,"n.a.",100*(F1133-G1133)/F1133)</x:f>
        <x:v>0</x:v>
      </x:c>
      <x:c r="I1133" s="7" t="n">
        <x:f>F1133-G1133</x:f>
        <x:v>0</x:v>
      </x:c>
      <x:c r="J1133" s="8"/>
      <x:c r="K1133" s="8" t="n">
        <x:v>0.4075850855196763</x:v>
      </x:c>
      <x:c r="L1133" s="8"/>
      <x:c r="M1133" s="7"/>
      <x:c r="N1133" s="2" t="str">
        <x:v>unmanaged_input</x:v>
      </x:c>
      <x:c r="O1133" s="9"/>
    </x:row>
    <x:row r="1134" ht="18" customHeight="1">
      <x:c r="A1134" s="2" t="str">
        <x:v>legacy_n6_10</x:v>
      </x:c>
      <x:c r="B1134" s="2" t="str">
        <x:v>Exact J</x:v>
      </x:c>
      <x:c r="C1134" s="2"/>
      <x:c r="D1134" s="2" t="str">
        <x:v>success</x:v>
      </x:c>
      <x:c r="E1134" s="2" t="n">
        <x:v>8</x:v>
      </x:c>
      <x:c r="F1134" s="7" t="n">
        <x:v>78.9</x:v>
      </x:c>
      <x:c r="G1134" s="7" t="n">
        <x:v>60.220000000000006</x:v>
      </x:c>
      <x:c r="H1134" s="7" t="n">
        <x:f>IF(F1134=0,"n.a.",100*(F1134-G1134)/F1134)</x:f>
        <x:v>23.675538656527248</x:v>
      </x:c>
      <x:c r="I1134" s="7" t="n">
        <x:f>F1134-G1134</x:f>
        <x:v>18.68</x:v>
      </x:c>
      <x:c r="J1134" s="8" t="n">
        <x:v>0.4075850855196763</x:v>
      </x:c>
      <x:c r="K1134" s="8" t="n">
        <x:v>0.4075850855196763</x:v>
      </x:c>
      <x:c r="L1134" s="8" t="n">
        <x:v>0</x:v>
      </x:c>
      <x:c r="M1134" s="7"/>
      <x:c r="N1134" s="2" t="str">
        <x:v>exhaustive_enumeration</x:v>
      </x:c>
      <x:c r="O1134" s="9" t="str">
        <x:v>00010011</x:v>
      </x:c>
    </x:row>
    <x:row r="1135" ht="18" customHeight="1">
      <x:c r="A1135" s="2" t="str">
        <x:v>legacy_n6_10</x:v>
      </x:c>
      <x:c r="B1135" s="2" t="str">
        <x:v>Exact peak</x:v>
      </x:c>
      <x:c r="C1135" s="2"/>
      <x:c r="D1135" s="2" t="str">
        <x:v>success</x:v>
      </x:c>
      <x:c r="E1135" s="2" t="n">
        <x:v>8</x:v>
      </x:c>
      <x:c r="F1135" s="7" t="n">
        <x:v>78.9</x:v>
      </x:c>
      <x:c r="G1135" s="7" t="n">
        <x:v>60.220000000000006</x:v>
      </x:c>
      <x:c r="H1135" s="7" t="n">
        <x:f>IF(F1135=0,"n.a.",100*(F1135-G1135)/F1135)</x:f>
        <x:v>23.675538656527248</x:v>
      </x:c>
      <x:c r="I1135" s="7" t="n">
        <x:f>F1135-G1135</x:f>
        <x:v>18.68</x:v>
      </x:c>
      <x:c r="J1135" s="8" t="n">
        <x:v>0.4075850855196763</x:v>
      </x:c>
      <x:c r="K1135" s="8" t="n">
        <x:v>0.4075850855196763</x:v>
      </x:c>
      <x:c r="L1135" s="8" t="n">
        <x:v>0</x:v>
      </x:c>
      <x:c r="M1135" s="7"/>
      <x:c r="N1135" s="2" t="str">
        <x:v>exhaustive_enumeration</x:v>
      </x:c>
      <x:c r="O1135" s="9" t="str">
        <x:v>00010011</x:v>
      </x:c>
    </x:row>
    <x:row r="1136" ht="18" customHeight="1">
      <x:c r="A1136" s="2" t="str">
        <x:v>legacy_n6_10</x:v>
      </x:c>
      <x:c r="B1136" s="2" t="str">
        <x:v>BPSO</x:v>
      </x:c>
      <x:c r="C1136" s="2" t="n">
        <x:v>42</x:v>
      </x:c>
      <x:c r="D1136" s="2" t="str">
        <x:v>success</x:v>
      </x:c>
      <x:c r="E1136" s="2" t="n">
        <x:v>8</x:v>
      </x:c>
      <x:c r="F1136" s="7" t="n">
        <x:v>78.9</x:v>
      </x:c>
      <x:c r="G1136" s="7" t="n">
        <x:v>60.220000000000006</x:v>
      </x:c>
      <x:c r="H1136" s="7" t="n">
        <x:f>IF(F1136=0,"n.a.",100*(F1136-G1136)/F1136)</x:f>
        <x:v>23.675538656527248</x:v>
      </x:c>
      <x:c r="I1136" s="7" t="n">
        <x:f>F1136-G1136</x:f>
        <x:v>18.68</x:v>
      </x:c>
      <x:c r="J1136" s="8" t="n">
        <x:v>0.4075850855196763</x:v>
      </x:c>
      <x:c r="K1136" s="8" t="n">
        <x:v>0.4075850855196763</x:v>
      </x:c>
      <x:c r="L1136" s="8" t="n">
        <x:v>0</x:v>
      </x:c>
      <x:c r="M1136" s="7" t="n">
        <x:v>17.644699997617863</x:v>
      </x:c>
      <x:c r="N1136" s="2" t="str">
        <x:v>repository_particle_dynamics_on_frozen_qubo</x:v>
      </x:c>
      <x:c r="O1136" s="9" t="str">
        <x:v>00010011</x:v>
      </x:c>
    </x:row>
    <x:row r="1137" ht="18" customHeight="1">
      <x:c r="A1137" s="2" t="str">
        <x:v>legacy_n6_10</x:v>
      </x:c>
      <x:c r="B1137" s="2" t="str">
        <x:v>QAOA</x:v>
      </x:c>
      <x:c r="C1137" s="2" t="n">
        <x:v>42</x:v>
      </x:c>
      <x:c r="D1137" s="2" t="str">
        <x:v>success</x:v>
      </x:c>
      <x:c r="E1137" s="2" t="n">
        <x:v>8</x:v>
      </x:c>
      <x:c r="F1137" s="7" t="n">
        <x:v>78.9</x:v>
      </x:c>
      <x:c r="G1137" s="7" t="n">
        <x:v>60.220000000000006</x:v>
      </x:c>
      <x:c r="H1137" s="7" t="n">
        <x:f>IF(F1137=0,"n.a.",100*(F1137-G1137)/F1137)</x:f>
        <x:v>23.675538656527248</x:v>
      </x:c>
      <x:c r="I1137" s="7" t="n">
        <x:f>F1137-G1137</x:f>
        <x:v>18.68</x:v>
      </x:c>
      <x:c r="J1137" s="8" t="n">
        <x:v>0.4075850855196763</x:v>
      </x:c>
      <x:c r="K1137" s="8" t="n">
        <x:v>0.4075850855196763</x:v>
      </x:c>
      <x:c r="L1137" s="8" t="n">
        <x:v>0</x:v>
      </x:c>
      <x:c r="M1137" s="7" t="n">
        <x:v>415.0649000075646</x:v>
      </x:c>
      <x:c r="N1137" s="2" t="str">
        <x:v>qiskit.primitives.StatevectorSampler</x:v>
      </x:c>
      <x:c r="O1137" s="9" t="str">
        <x:v>10000011</x:v>
      </x:c>
    </x:row>
    <x:row r="1138" ht="18" customHeight="1">
      <x:c r="A1138" s="2" t="str">
        <x:v>legacy_n6_10</x:v>
      </x:c>
      <x:c r="B1138" s="2" t="str">
        <x:v>BPSO</x:v>
      </x:c>
      <x:c r="C1138" s="2" t="n">
        <x:v>123</x:v>
      </x:c>
      <x:c r="D1138" s="2" t="str">
        <x:v>success</x:v>
      </x:c>
      <x:c r="E1138" s="2" t="n">
        <x:v>8</x:v>
      </x:c>
      <x:c r="F1138" s="7" t="n">
        <x:v>78.9</x:v>
      </x:c>
      <x:c r="G1138" s="7" t="n">
        <x:v>60.220000000000006</x:v>
      </x:c>
      <x:c r="H1138" s="7" t="n">
        <x:f>IF(F1138=0,"n.a.",100*(F1138-G1138)/F1138)</x:f>
        <x:v>23.675538656527248</x:v>
      </x:c>
      <x:c r="I1138" s="7" t="n">
        <x:f>F1138-G1138</x:f>
        <x:v>18.68</x:v>
      </x:c>
      <x:c r="J1138" s="8" t="n">
        <x:v>0.4075850855196763</x:v>
      </x:c>
      <x:c r="K1138" s="8" t="n">
        <x:v>0.4075850855196763</x:v>
      </x:c>
      <x:c r="L1138" s="8" t="n">
        <x:v>0</x:v>
      </x:c>
      <x:c r="M1138" s="7" t="n">
        <x:v>17.691900007775985</x:v>
      </x:c>
      <x:c r="N1138" s="2" t="str">
        <x:v>repository_particle_dynamics_on_frozen_qubo</x:v>
      </x:c>
      <x:c r="O1138" s="9" t="str">
        <x:v>10000110</x:v>
      </x:c>
    </x:row>
    <x:row r="1139" ht="18" customHeight="1">
      <x:c r="A1139" s="2" t="str">
        <x:v>legacy_n6_10</x:v>
      </x:c>
      <x:c r="B1139" s="2" t="str">
        <x:v>QAOA</x:v>
      </x:c>
      <x:c r="C1139" s="2" t="n">
        <x:v>123</x:v>
      </x:c>
      <x:c r="D1139" s="2" t="str">
        <x:v>success</x:v>
      </x:c>
      <x:c r="E1139" s="2" t="n">
        <x:v>8</x:v>
      </x:c>
      <x:c r="F1139" s="7" t="n">
        <x:v>78.9</x:v>
      </x:c>
      <x:c r="G1139" s="7" t="n">
        <x:v>60.220000000000006</x:v>
      </x:c>
      <x:c r="H1139" s="7" t="n">
        <x:f>IF(F1139=0,"n.a.",100*(F1139-G1139)/F1139)</x:f>
        <x:v>23.675538656527248</x:v>
      </x:c>
      <x:c r="I1139" s="7" t="n">
        <x:f>F1139-G1139</x:f>
        <x:v>18.68</x:v>
      </x:c>
      <x:c r="J1139" s="8" t="n">
        <x:v>0.4075850855196763</x:v>
      </x:c>
      <x:c r="K1139" s="8" t="n">
        <x:v>0.4075850855196763</x:v>
      </x:c>
      <x:c r="L1139" s="8" t="n">
        <x:v>0</x:v>
      </x:c>
      <x:c r="M1139" s="7" t="n">
        <x:v>626.9304999877932</x:v>
      </x:c>
      <x:c r="N1139" s="2" t="str">
        <x:v>qiskit.primitives.StatevectorSampler</x:v>
      </x:c>
      <x:c r="O1139" s="9" t="str">
        <x:v>00010011</x:v>
      </x:c>
    </x:row>
    <x:row r="1140" ht="18" customHeight="1">
      <x:c r="A1140" s="2" t="str">
        <x:v>legacy_n6_10</x:v>
      </x:c>
      <x:c r="B1140" s="2" t="str">
        <x:v>BPSO</x:v>
      </x:c>
      <x:c r="C1140" s="2" t="n">
        <x:v>456</x:v>
      </x:c>
      <x:c r="D1140" s="2" t="str">
        <x:v>success</x:v>
      </x:c>
      <x:c r="E1140" s="2" t="n">
        <x:v>8</x:v>
      </x:c>
      <x:c r="F1140" s="7" t="n">
        <x:v>78.9</x:v>
      </x:c>
      <x:c r="G1140" s="7" t="n">
        <x:v>60.220000000000006</x:v>
      </x:c>
      <x:c r="H1140" s="7" t="n">
        <x:f>IF(F1140=0,"n.a.",100*(F1140-G1140)/F1140)</x:f>
        <x:v>23.675538656527248</x:v>
      </x:c>
      <x:c r="I1140" s="7" t="n">
        <x:f>F1140-G1140</x:f>
        <x:v>18.68</x:v>
      </x:c>
      <x:c r="J1140" s="8" t="n">
        <x:v>0.4075850855196763</x:v>
      </x:c>
      <x:c r="K1140" s="8" t="n">
        <x:v>0.4075850855196763</x:v>
      </x:c>
      <x:c r="L1140" s="8" t="n">
        <x:v>0</x:v>
      </x:c>
      <x:c r="M1140" s="7" t="n">
        <x:v>17.864900000859052</x:v>
      </x:c>
      <x:c r="N1140" s="2" t="str">
        <x:v>repository_particle_dynamics_on_frozen_qubo</x:v>
      </x:c>
      <x:c r="O1140" s="9" t="str">
        <x:v>00011001</x:v>
      </x:c>
    </x:row>
    <x:row r="1141" ht="18" customHeight="1">
      <x:c r="A1141" s="2" t="str">
        <x:v>legacy_n6_10</x:v>
      </x:c>
      <x:c r="B1141" s="2" t="str">
        <x:v>QAOA</x:v>
      </x:c>
      <x:c r="C1141" s="2" t="n">
        <x:v>456</x:v>
      </x:c>
      <x:c r="D1141" s="2" t="str">
        <x:v>success</x:v>
      </x:c>
      <x:c r="E1141" s="2" t="n">
        <x:v>8</x:v>
      </x:c>
      <x:c r="F1141" s="7" t="n">
        <x:v>78.9</x:v>
      </x:c>
      <x:c r="G1141" s="7" t="n">
        <x:v>60.220000000000006</x:v>
      </x:c>
      <x:c r="H1141" s="7" t="n">
        <x:f>IF(F1141=0,"n.a.",100*(F1141-G1141)/F1141)</x:f>
        <x:v>23.675538656527248</x:v>
      </x:c>
      <x:c r="I1141" s="7" t="n">
        <x:f>F1141-G1141</x:f>
        <x:v>18.68</x:v>
      </x:c>
      <x:c r="J1141" s="8" t="n">
        <x:v>0.4075850855196763</x:v>
      </x:c>
      <x:c r="K1141" s="8" t="n">
        <x:v>0.4075850855196763</x:v>
      </x:c>
      <x:c r="L1141" s="8" t="n">
        <x:v>0</x:v>
      </x:c>
      <x:c r="M1141" s="7" t="n">
        <x:v>459.0223999985028</x:v>
      </x:c>
      <x:c r="N1141" s="2" t="str">
        <x:v>qiskit.primitives.StatevectorSampler</x:v>
      </x:c>
      <x:c r="O1141" s="9" t="str">
        <x:v>10000011</x:v>
      </x:c>
    </x:row>
    <x:row r="1142" ht="18" customHeight="1">
      <x:c r="A1142" s="2" t="str">
        <x:v>legacy_n6_10</x:v>
      </x:c>
      <x:c r="B1142" s="2" t="str">
        <x:v>BPSO</x:v>
      </x:c>
      <x:c r="C1142" s="2" t="n">
        <x:v>789</x:v>
      </x:c>
      <x:c r="D1142" s="2" t="str">
        <x:v>success</x:v>
      </x:c>
      <x:c r="E1142" s="2" t="n">
        <x:v>8</x:v>
      </x:c>
      <x:c r="F1142" s="7" t="n">
        <x:v>78.9</x:v>
      </x:c>
      <x:c r="G1142" s="7" t="n">
        <x:v>60.220000000000006</x:v>
      </x:c>
      <x:c r="H1142" s="7" t="n">
        <x:f>IF(F1142=0,"n.a.",100*(F1142-G1142)/F1142)</x:f>
        <x:v>23.675538656527248</x:v>
      </x:c>
      <x:c r="I1142" s="7" t="n">
        <x:f>F1142-G1142</x:f>
        <x:v>18.68</x:v>
      </x:c>
      <x:c r="J1142" s="8" t="n">
        <x:v>0.4075850855196763</x:v>
      </x:c>
      <x:c r="K1142" s="8" t="n">
        <x:v>0.4075850855196763</x:v>
      </x:c>
      <x:c r="L1142" s="8" t="n">
        <x:v>0</x:v>
      </x:c>
      <x:c r="M1142" s="7" t="n">
        <x:v>17.580300002009608</x:v>
      </x:c>
      <x:c r="N1142" s="2" t="str">
        <x:v>repository_particle_dynamics_on_frozen_qubo</x:v>
      </x:c>
      <x:c r="O1142" s="9" t="str">
        <x:v>10001100</x:v>
      </x:c>
    </x:row>
    <x:row r="1143" ht="18" customHeight="1">
      <x:c r="A1143" s="2" t="str">
        <x:v>legacy_n6_10</x:v>
      </x:c>
      <x:c r="B1143" s="2" t="str">
        <x:v>QAOA</x:v>
      </x:c>
      <x:c r="C1143" s="2" t="n">
        <x:v>789</x:v>
      </x:c>
      <x:c r="D1143" s="2" t="str">
        <x:v>success</x:v>
      </x:c>
      <x:c r="E1143" s="2" t="n">
        <x:v>8</x:v>
      </x:c>
      <x:c r="F1143" s="7" t="n">
        <x:v>78.9</x:v>
      </x:c>
      <x:c r="G1143" s="7" t="n">
        <x:v>60.220000000000006</x:v>
      </x:c>
      <x:c r="H1143" s="7" t="n">
        <x:f>IF(F1143=0,"n.a.",100*(F1143-G1143)/F1143)</x:f>
        <x:v>23.675538656527248</x:v>
      </x:c>
      <x:c r="I1143" s="7" t="n">
        <x:f>F1143-G1143</x:f>
        <x:v>18.68</x:v>
      </x:c>
      <x:c r="J1143" s="8" t="n">
        <x:v>0.4075850855196763</x:v>
      </x:c>
      <x:c r="K1143" s="8" t="n">
        <x:v>0.4075850855196763</x:v>
      </x:c>
      <x:c r="L1143" s="8" t="n">
        <x:v>0</x:v>
      </x:c>
      <x:c r="M1143" s="7" t="n">
        <x:v>337.6084999908926</x:v>
      </x:c>
      <x:c r="N1143" s="2" t="str">
        <x:v>qiskit.primitives.StatevectorSampler</x:v>
      </x:c>
      <x:c r="O1143" s="9" t="str">
        <x:v>00010101</x:v>
      </x:c>
    </x:row>
    <x:row r="1144" ht="18" customHeight="1">
      <x:c r="A1144" s="2" t="str">
        <x:v>legacy_n6_10</x:v>
      </x:c>
      <x:c r="B1144" s="2" t="str">
        <x:v>BPSO</x:v>
      </x:c>
      <x:c r="C1144" s="2" t="n">
        <x:v>2026</x:v>
      </x:c>
      <x:c r="D1144" s="2" t="str">
        <x:v>success</x:v>
      </x:c>
      <x:c r="E1144" s="2" t="n">
        <x:v>8</x:v>
      </x:c>
      <x:c r="F1144" s="7" t="n">
        <x:v>78.9</x:v>
      </x:c>
      <x:c r="G1144" s="7" t="n">
        <x:v>60.220000000000006</x:v>
      </x:c>
      <x:c r="H1144" s="7" t="n">
        <x:f>IF(F1144=0,"n.a.",100*(F1144-G1144)/F1144)</x:f>
        <x:v>23.675538656527248</x:v>
      </x:c>
      <x:c r="I1144" s="7" t="n">
        <x:f>F1144-G1144</x:f>
        <x:v>18.68</x:v>
      </x:c>
      <x:c r="J1144" s="8" t="n">
        <x:v>0.4075850855196763</x:v>
      </x:c>
      <x:c r="K1144" s="8" t="n">
        <x:v>0.4075850855196763</x:v>
      </x:c>
      <x:c r="L1144" s="8" t="n">
        <x:v>0</x:v>
      </x:c>
      <x:c r="M1144" s="7" t="n">
        <x:v>18.02010000392329</x:v>
      </x:c>
      <x:c r="N1144" s="2" t="str">
        <x:v>repository_particle_dynamics_on_frozen_qubo</x:v>
      </x:c>
      <x:c r="O1144" s="9" t="str">
        <x:v>01000110</x:v>
      </x:c>
    </x:row>
    <x:row r="1145" ht="18" customHeight="1">
      <x:c r="A1145" s="2" t="str">
        <x:v>legacy_n6_10</x:v>
      </x:c>
      <x:c r="B1145" s="2" t="str">
        <x:v>QAOA</x:v>
      </x:c>
      <x:c r="C1145" s="2" t="n">
        <x:v>2026</x:v>
      </x:c>
      <x:c r="D1145" s="2" t="str">
        <x:v>success</x:v>
      </x:c>
      <x:c r="E1145" s="2" t="n">
        <x:v>8</x:v>
      </x:c>
      <x:c r="F1145" s="7" t="n">
        <x:v>78.9</x:v>
      </x:c>
      <x:c r="G1145" s="7" t="n">
        <x:v>60.220000000000006</x:v>
      </x:c>
      <x:c r="H1145" s="7" t="n">
        <x:f>IF(F1145=0,"n.a.",100*(F1145-G1145)/F1145)</x:f>
        <x:v>23.675538656527248</x:v>
      </x:c>
      <x:c r="I1145" s="7" t="n">
        <x:f>F1145-G1145</x:f>
        <x:v>18.68</x:v>
      </x:c>
      <x:c r="J1145" s="8" t="n">
        <x:v>0.4075850855196763</x:v>
      </x:c>
      <x:c r="K1145" s="8" t="n">
        <x:v>0.4075850855196763</x:v>
      </x:c>
      <x:c r="L1145" s="8" t="n">
        <x:v>0</x:v>
      </x:c>
      <x:c r="M1145" s="7" t="n">
        <x:v>436.485400001402</x:v>
      </x:c>
      <x:c r="N1145" s="2" t="str">
        <x:v>qiskit.primitives.StatevectorSampler</x:v>
      </x:c>
      <x:c r="O1145" s="9" t="str">
        <x:v>00011001</x:v>
      </x:c>
    </x:row>
    <x:row r="1146" ht="18" customHeight="1">
      <x:c r="A1146" s="2" t="str">
        <x:v>legacy_n6_11</x:v>
      </x:c>
      <x:c r="B1146" s="2" t="str">
        <x:v>Unmanaged</x:v>
      </x:c>
      <x:c r="C1146" s="2"/>
      <x:c r="D1146" s="2" t="str">
        <x:v>baseline</x:v>
      </x:c>
      <x:c r="E1146" s="2" t="n">
        <x:v>10</x:v>
      </x:c>
      <x:c r="F1146" s="7" t="n">
        <x:v>78.78857142857143</x:v>
      </x:c>
      <x:c r="G1146" s="7" t="n">
        <x:v>78.78857142857143</x:v>
      </x:c>
      <x:c r="H1146" s="7" t="n">
        <x:f>IF(F1146=0,"n.a.",100*(F1146-G1146)/F1146)</x:f>
        <x:v>0</x:v>
      </x:c>
      <x:c r="I1146" s="7" t="n">
        <x:f>F1146-G1146</x:f>
        <x:v>0</x:v>
      </x:c>
      <x:c r="J1146" s="8"/>
      <x:c r="K1146" s="8" t="n">
        <x:v>1.088712313807078</x:v>
      </x:c>
      <x:c r="L1146" s="8"/>
      <x:c r="M1146" s="7"/>
      <x:c r="N1146" s="2" t="str">
        <x:v>unmanaged_input</x:v>
      </x:c>
      <x:c r="O1146" s="9"/>
    </x:row>
    <x:row r="1147" ht="18" customHeight="1">
      <x:c r="A1147" s="2" t="str">
        <x:v>legacy_n6_11</x:v>
      </x:c>
      <x:c r="B1147" s="2" t="str">
        <x:v>Exact J</x:v>
      </x:c>
      <x:c r="C1147" s="2"/>
      <x:c r="D1147" s="2" t="str">
        <x:v>success</x:v>
      </x:c>
      <x:c r="E1147" s="2" t="n">
        <x:v>10</x:v>
      </x:c>
      <x:c r="F1147" s="7" t="n">
        <x:v>78.78857142857143</x:v>
      </x:c>
      <x:c r="G1147" s="7" t="n">
        <x:v>90.87333333333333</x:v>
      </x:c>
      <x:c r="H1147" s="7" t="n">
        <x:f>IF(F1147=0,"n.a.",100*(F1147-G1147)/F1147)</x:f>
        <x:v>-15.338216806885212</x:v>
      </x:c>
      <x:c r="I1147" s="7" t="n">
        <x:f>F1147-G1147</x:f>
        <x:v>-12.084761904761905</x:v>
      </x:c>
      <x:c r="J1147" s="8" t="n">
        <x:v>1.088712313807078</x:v>
      </x:c>
      <x:c r="K1147" s="8" t="n">
        <x:v>1.088712313807078</x:v>
      </x:c>
      <x:c r="L1147" s="8" t="n">
        <x:v>0</x:v>
      </x:c>
      <x:c r="M1147" s="7"/>
      <x:c r="N1147" s="2" t="str">
        <x:v>exhaustive_enumeration</x:v>
      </x:c>
      <x:c r="O1147" s="9" t="str">
        <x:v>0011001101</x:v>
      </x:c>
    </x:row>
    <x:row r="1148" ht="18" customHeight="1">
      <x:c r="A1148" s="2" t="str">
        <x:v>legacy_n6_11</x:v>
      </x:c>
      <x:c r="B1148" s="2" t="str">
        <x:v>Exact peak</x:v>
      </x:c>
      <x:c r="C1148" s="2"/>
      <x:c r="D1148" s="2" t="str">
        <x:v>success</x:v>
      </x:c>
      <x:c r="E1148" s="2" t="n">
        <x:v>10</x:v>
      </x:c>
      <x:c r="F1148" s="7" t="n">
        <x:v>78.78857142857143</x:v>
      </x:c>
      <x:c r="G1148" s="7" t="n">
        <x:v>90.87333333333333</x:v>
      </x:c>
      <x:c r="H1148" s="7" t="n">
        <x:f>IF(F1148=0,"n.a.",100*(F1148-G1148)/F1148)</x:f>
        <x:v>-15.338216806885212</x:v>
      </x:c>
      <x:c r="I1148" s="7" t="n">
        <x:f>F1148-G1148</x:f>
        <x:v>-12.084761904761905</x:v>
      </x:c>
      <x:c r="J1148" s="8" t="n">
        <x:v>1.088712313807078</x:v>
      </x:c>
      <x:c r="K1148" s="8" t="n">
        <x:v>1.088712313807078</x:v>
      </x:c>
      <x:c r="L1148" s="8" t="n">
        <x:v>0</x:v>
      </x:c>
      <x:c r="M1148" s="7"/>
      <x:c r="N1148" s="2" t="str">
        <x:v>exhaustive_enumeration</x:v>
      </x:c>
      <x:c r="O1148" s="9" t="str">
        <x:v>0011001101</x:v>
      </x:c>
    </x:row>
    <x:row r="1149" ht="18" customHeight="1">
      <x:c r="A1149" s="2" t="str">
        <x:v>legacy_n6_11</x:v>
      </x:c>
      <x:c r="B1149" s="2" t="str">
        <x:v>BPSO</x:v>
      </x:c>
      <x:c r="C1149" s="2" t="n">
        <x:v>42</x:v>
      </x:c>
      <x:c r="D1149" s="2" t="str">
        <x:v>success</x:v>
      </x:c>
      <x:c r="E1149" s="2" t="n">
        <x:v>10</x:v>
      </x:c>
      <x:c r="F1149" s="7" t="n">
        <x:v>78.78857142857143</x:v>
      </x:c>
      <x:c r="G1149" s="7" t="n">
        <x:v>90.87333333333333</x:v>
      </x:c>
      <x:c r="H1149" s="7" t="n">
        <x:f>IF(F1149=0,"n.a.",100*(F1149-G1149)/F1149)</x:f>
        <x:v>-15.338216806885212</x:v>
      </x:c>
      <x:c r="I1149" s="7" t="n">
        <x:f>F1149-G1149</x:f>
        <x:v>-12.084761904761905</x:v>
      </x:c>
      <x:c r="J1149" s="8" t="n">
        <x:v>1.088712313807078</x:v>
      </x:c>
      <x:c r="K1149" s="8" t="n">
        <x:v>1.088712313807078</x:v>
      </x:c>
      <x:c r="L1149" s="8" t="n">
        <x:v>0</x:v>
      </x:c>
      <x:c r="M1149" s="7" t="n">
        <x:v>20.779500002390705</x:v>
      </x:c>
      <x:c r="N1149" s="2" t="str">
        <x:v>repository_particle_dynamics_on_frozen_qubo</x:v>
      </x:c>
      <x:c r="O1149" s="9" t="str">
        <x:v>0110110010</x:v>
      </x:c>
    </x:row>
    <x:row r="1150" ht="18" customHeight="1">
      <x:c r="A1150" s="2" t="str">
        <x:v>legacy_n6_11</x:v>
      </x:c>
      <x:c r="B1150" s="2" t="str">
        <x:v>QAOA</x:v>
      </x:c>
      <x:c r="C1150" s="2" t="n">
        <x:v>42</x:v>
      </x:c>
      <x:c r="D1150" s="2" t="str">
        <x:v>success</x:v>
      </x:c>
      <x:c r="E1150" s="2" t="n">
        <x:v>10</x:v>
      </x:c>
      <x:c r="F1150" s="7" t="n">
        <x:v>78.78857142857143</x:v>
      </x:c>
      <x:c r="G1150" s="7" t="n">
        <x:v>90.87333333333333</x:v>
      </x:c>
      <x:c r="H1150" s="7" t="n">
        <x:f>IF(F1150=0,"n.a.",100*(F1150-G1150)/F1150)</x:f>
        <x:v>-15.338216806885212</x:v>
      </x:c>
      <x:c r="I1150" s="7" t="n">
        <x:f>F1150-G1150</x:f>
        <x:v>-12.084761904761905</x:v>
      </x:c>
      <x:c r="J1150" s="8" t="n">
        <x:v>1.0887123138070784</x:v>
      </x:c>
      <x:c r="K1150" s="8" t="n">
        <x:v>1.088712313807078</x:v>
      </x:c>
      <x:c r="L1150" s="8" t="n">
        <x:v>4.440892098500626e-16</x:v>
      </x:c>
      <x:c r="M1150" s="7" t="n">
        <x:v>959.6098000038182</x:v>
      </x:c>
      <x:c r="N1150" s="2" t="str">
        <x:v>qiskit.primitives.StatevectorSampler</x:v>
      </x:c>
      <x:c r="O1150" s="9" t="str">
        <x:v>0110001101</x:v>
      </x:c>
    </x:row>
    <x:row r="1151" ht="18" customHeight="1">
      <x:c r="A1151" s="2" t="str">
        <x:v>legacy_n6_11</x:v>
      </x:c>
      <x:c r="B1151" s="2" t="str">
        <x:v>BPSO</x:v>
      </x:c>
      <x:c r="C1151" s="2" t="n">
        <x:v>123</x:v>
      </x:c>
      <x:c r="D1151" s="2" t="str">
        <x:v>success</x:v>
      </x:c>
      <x:c r="E1151" s="2" t="n">
        <x:v>10</x:v>
      </x:c>
      <x:c r="F1151" s="7" t="n">
        <x:v>78.78857142857143</x:v>
      </x:c>
      <x:c r="G1151" s="7" t="n">
        <x:v>90.87333333333333</x:v>
      </x:c>
      <x:c r="H1151" s="7" t="n">
        <x:f>IF(F1151=0,"n.a.",100*(F1151-G1151)/F1151)</x:f>
        <x:v>-15.338216806885212</x:v>
      </x:c>
      <x:c r="I1151" s="7" t="n">
        <x:f>F1151-G1151</x:f>
        <x:v>-12.084761904761905</x:v>
      </x:c>
      <x:c r="J1151" s="8" t="n">
        <x:v>1.088712313807078</x:v>
      </x:c>
      <x:c r="K1151" s="8" t="n">
        <x:v>1.088712313807078</x:v>
      </x:c>
      <x:c r="L1151" s="8" t="n">
        <x:v>0</x:v>
      </x:c>
      <x:c r="M1151" s="7" t="n">
        <x:v>21.970899993903004</x:v>
      </x:c>
      <x:c r="N1151" s="2" t="str">
        <x:v>repository_particle_dynamics_on_frozen_qubo</x:v>
      </x:c>
      <x:c r="O1151" s="9" t="str">
        <x:v>1010011010</x:v>
      </x:c>
    </x:row>
    <x:row r="1152" ht="18" customHeight="1">
      <x:c r="A1152" s="2" t="str">
        <x:v>legacy_n6_11</x:v>
      </x:c>
      <x:c r="B1152" s="2" t="str">
        <x:v>QAOA</x:v>
      </x:c>
      <x:c r="C1152" s="2" t="n">
        <x:v>123</x:v>
      </x:c>
      <x:c r="D1152" s="2" t="str">
        <x:v>success</x:v>
      </x:c>
      <x:c r="E1152" s="2" t="n">
        <x:v>10</x:v>
      </x:c>
      <x:c r="F1152" s="7" t="n">
        <x:v>78.78857142857143</x:v>
      </x:c>
      <x:c r="G1152" s="7" t="n">
        <x:v>90.87333333333333</x:v>
      </x:c>
      <x:c r="H1152" s="7" t="n">
        <x:f>IF(F1152=0,"n.a.",100*(F1152-G1152)/F1152)</x:f>
        <x:v>-15.338216806885212</x:v>
      </x:c>
      <x:c r="I1152" s="7" t="n">
        <x:f>F1152-G1152</x:f>
        <x:v>-12.084761904761905</x:v>
      </x:c>
      <x:c r="J1152" s="8" t="n">
        <x:v>1.0887123138070784</x:v>
      </x:c>
      <x:c r="K1152" s="8" t="n">
        <x:v>1.088712313807078</x:v>
      </x:c>
      <x:c r="L1152" s="8" t="n">
        <x:v>4.440892098500626e-16</x:v>
      </x:c>
      <x:c r="M1152" s="7" t="n">
        <x:v>838.4921999968356</x:v>
      </x:c>
      <x:c r="N1152" s="2" t="str">
        <x:v>qiskit.primitives.StatevectorSampler</x:v>
      </x:c>
      <x:c r="O1152" s="9" t="str">
        <x:v>1100110001</x:v>
      </x:c>
    </x:row>
    <x:row r="1153" ht="18" customHeight="1">
      <x:c r="A1153" s="2" t="str">
        <x:v>legacy_n6_11</x:v>
      </x:c>
      <x:c r="B1153" s="2" t="str">
        <x:v>BPSO</x:v>
      </x:c>
      <x:c r="C1153" s="2" t="n">
        <x:v>456</x:v>
      </x:c>
      <x:c r="D1153" s="2" t="str">
        <x:v>success</x:v>
      </x:c>
      <x:c r="E1153" s="2" t="n">
        <x:v>10</x:v>
      </x:c>
      <x:c r="F1153" s="7" t="n">
        <x:v>78.78857142857143</x:v>
      </x:c>
      <x:c r="G1153" s="7" t="n">
        <x:v>90.87333333333333</x:v>
      </x:c>
      <x:c r="H1153" s="7" t="n">
        <x:f>IF(F1153=0,"n.a.",100*(F1153-G1153)/F1153)</x:f>
        <x:v>-15.338216806885212</x:v>
      </x:c>
      <x:c r="I1153" s="7" t="n">
        <x:f>F1153-G1153</x:f>
        <x:v>-12.084761904761905</x:v>
      </x:c>
      <x:c r="J1153" s="8" t="n">
        <x:v>1.088712313807078</x:v>
      </x:c>
      <x:c r="K1153" s="8" t="n">
        <x:v>1.088712313807078</x:v>
      </x:c>
      <x:c r="L1153" s="8" t="n">
        <x:v>0</x:v>
      </x:c>
      <x:c r="M1153" s="7" t="n">
        <x:v>20.520300007774495</x:v>
      </x:c>
      <x:c r="N1153" s="2" t="str">
        <x:v>repository_particle_dynamics_on_frozen_qubo</x:v>
      </x:c>
      <x:c r="O1153" s="9" t="str">
        <x:v>1010101001</x:v>
      </x:c>
    </x:row>
    <x:row r="1154" ht="18" customHeight="1">
      <x:c r="A1154" s="2" t="str">
        <x:v>legacy_n6_11</x:v>
      </x:c>
      <x:c r="B1154" s="2" t="str">
        <x:v>QAOA</x:v>
      </x:c>
      <x:c r="C1154" s="2" t="n">
        <x:v>456</x:v>
      </x:c>
      <x:c r="D1154" s="2" t="str">
        <x:v>success</x:v>
      </x:c>
      <x:c r="E1154" s="2" t="n">
        <x:v>10</x:v>
      </x:c>
      <x:c r="F1154" s="7" t="n">
        <x:v>78.78857142857143</x:v>
      </x:c>
      <x:c r="G1154" s="7" t="n">
        <x:v>90.87333333333333</x:v>
      </x:c>
      <x:c r="H1154" s="7" t="n">
        <x:f>IF(F1154=0,"n.a.",100*(F1154-G1154)/F1154)</x:f>
        <x:v>-15.338216806885212</x:v>
      </x:c>
      <x:c r="I1154" s="7" t="n">
        <x:f>F1154-G1154</x:f>
        <x:v>-12.084761904761905</x:v>
      </x:c>
      <x:c r="J1154" s="8" t="n">
        <x:v>1.0887123138070784</x:v>
      </x:c>
      <x:c r="K1154" s="8" t="n">
        <x:v>1.088712313807078</x:v>
      </x:c>
      <x:c r="L1154" s="8" t="n">
        <x:v>4.440892098500626e-16</x:v>
      </x:c>
      <x:c r="M1154" s="7" t="n">
        <x:v>718.9321999903768</x:v>
      </x:c>
      <x:c r="N1154" s="2" t="str">
        <x:v>qiskit.primitives.StatevectorSampler</x:v>
      </x:c>
      <x:c r="O1154" s="9" t="str">
        <x:v>1010101001</x:v>
      </x:c>
    </x:row>
    <x:row r="1155" ht="18" customHeight="1">
      <x:c r="A1155" s="2" t="str">
        <x:v>legacy_n6_11</x:v>
      </x:c>
      <x:c r="B1155" s="2" t="str">
        <x:v>BPSO</x:v>
      </x:c>
      <x:c r="C1155" s="2" t="n">
        <x:v>789</x:v>
      </x:c>
      <x:c r="D1155" s="2" t="str">
        <x:v>success</x:v>
      </x:c>
      <x:c r="E1155" s="2" t="n">
        <x:v>10</x:v>
      </x:c>
      <x:c r="F1155" s="7" t="n">
        <x:v>78.78857142857143</x:v>
      </x:c>
      <x:c r="G1155" s="7" t="n">
        <x:v>90.87333333333333</x:v>
      </x:c>
      <x:c r="H1155" s="7" t="n">
        <x:f>IF(F1155=0,"n.a.",100*(F1155-G1155)/F1155)</x:f>
        <x:v>-15.338216806885212</x:v>
      </x:c>
      <x:c r="I1155" s="7" t="n">
        <x:f>F1155-G1155</x:f>
        <x:v>-12.084761904761905</x:v>
      </x:c>
      <x:c r="J1155" s="8" t="n">
        <x:v>1.088712313807078</x:v>
      </x:c>
      <x:c r="K1155" s="8" t="n">
        <x:v>1.088712313807078</x:v>
      </x:c>
      <x:c r="L1155" s="8" t="n">
        <x:v>0</x:v>
      </x:c>
      <x:c r="M1155" s="7" t="n">
        <x:v>22.819699996034615</x:v>
      </x:c>
      <x:c r="N1155" s="2" t="str">
        <x:v>repository_particle_dynamics_on_frozen_qubo</x:v>
      </x:c>
      <x:c r="O1155" s="9" t="str">
        <x:v>0110101010</x:v>
      </x:c>
    </x:row>
    <x:row r="1156" ht="18" customHeight="1">
      <x:c r="A1156" s="2" t="str">
        <x:v>legacy_n6_11</x:v>
      </x:c>
      <x:c r="B1156" s="2" t="str">
        <x:v>QAOA</x:v>
      </x:c>
      <x:c r="C1156" s="2" t="n">
        <x:v>789</x:v>
      </x:c>
      <x:c r="D1156" s="2" t="str">
        <x:v>success</x:v>
      </x:c>
      <x:c r="E1156" s="2" t="n">
        <x:v>10</x:v>
      </x:c>
      <x:c r="F1156" s="7" t="n">
        <x:v>78.78857142857143</x:v>
      </x:c>
      <x:c r="G1156" s="7" t="n">
        <x:v>90.87333333333333</x:v>
      </x:c>
      <x:c r="H1156" s="7" t="n">
        <x:f>IF(F1156=0,"n.a.",100*(F1156-G1156)/F1156)</x:f>
        <x:v>-15.338216806885212</x:v>
      </x:c>
      <x:c r="I1156" s="7" t="n">
        <x:f>F1156-G1156</x:f>
        <x:v>-12.084761904761905</x:v>
      </x:c>
      <x:c r="J1156" s="8" t="n">
        <x:v>1.0887123138070784</x:v>
      </x:c>
      <x:c r="K1156" s="8" t="n">
        <x:v>1.088712313807078</x:v>
      </x:c>
      <x:c r="L1156" s="8" t="n">
        <x:v>4.440892098500626e-16</x:v>
      </x:c>
      <x:c r="M1156" s="7" t="n">
        <x:v>741.4538000011817</x:v>
      </x:c>
      <x:c r="N1156" s="2" t="str">
        <x:v>qiskit.primitives.StatevectorSampler</x:v>
      </x:c>
      <x:c r="O1156" s="9" t="str">
        <x:v>1100110010</x:v>
      </x:c>
    </x:row>
    <x:row r="1157" ht="18" customHeight="1">
      <x:c r="A1157" s="2" t="str">
        <x:v>legacy_n6_11</x:v>
      </x:c>
      <x:c r="B1157" s="2" t="str">
        <x:v>BPSO</x:v>
      </x:c>
      <x:c r="C1157" s="2" t="n">
        <x:v>2026</x:v>
      </x:c>
      <x:c r="D1157" s="2" t="str">
        <x:v>success</x:v>
      </x:c>
      <x:c r="E1157" s="2" t="n">
        <x:v>10</x:v>
      </x:c>
      <x:c r="F1157" s="7" t="n">
        <x:v>78.78857142857143</x:v>
      </x:c>
      <x:c r="G1157" s="7" t="n">
        <x:v>90.87333333333333</x:v>
      </x:c>
      <x:c r="H1157" s="7" t="n">
        <x:f>IF(F1157=0,"n.a.",100*(F1157-G1157)/F1157)</x:f>
        <x:v>-15.338216806885212</x:v>
      </x:c>
      <x:c r="I1157" s="7" t="n">
        <x:f>F1157-G1157</x:f>
        <x:v>-12.084761904761905</x:v>
      </x:c>
      <x:c r="J1157" s="8" t="n">
        <x:v>1.088712313807078</x:v>
      </x:c>
      <x:c r="K1157" s="8" t="n">
        <x:v>1.088712313807078</x:v>
      </x:c>
      <x:c r="L1157" s="8" t="n">
        <x:v>0</x:v>
      </x:c>
      <x:c r="M1157" s="7" t="n">
        <x:v>22.448099989560433</x:v>
      </x:c>
      <x:c r="N1157" s="2" t="str">
        <x:v>repository_particle_dynamics_on_frozen_qubo</x:v>
      </x:c>
      <x:c r="O1157" s="9" t="str">
        <x:v>1100001101</x:v>
      </x:c>
    </x:row>
    <x:row r="1158" ht="18" customHeight="1">
      <x:c r="A1158" s="2" t="str">
        <x:v>legacy_n6_11</x:v>
      </x:c>
      <x:c r="B1158" s="2" t="str">
        <x:v>QAOA</x:v>
      </x:c>
      <x:c r="C1158" s="2" t="n">
        <x:v>2026</x:v>
      </x:c>
      <x:c r="D1158" s="2" t="str">
        <x:v>success</x:v>
      </x:c>
      <x:c r="E1158" s="2" t="n">
        <x:v>10</x:v>
      </x:c>
      <x:c r="F1158" s="7" t="n">
        <x:v>78.78857142857143</x:v>
      </x:c>
      <x:c r="G1158" s="7" t="n">
        <x:v>90.87333333333333</x:v>
      </x:c>
      <x:c r="H1158" s="7" t="n">
        <x:f>IF(F1158=0,"n.a.",100*(F1158-G1158)/F1158)</x:f>
        <x:v>-15.338216806885212</x:v>
      </x:c>
      <x:c r="I1158" s="7" t="n">
        <x:f>F1158-G1158</x:f>
        <x:v>-12.084761904761905</x:v>
      </x:c>
      <x:c r="J1158" s="8" t="n">
        <x:v>1.0887123138070784</x:v>
      </x:c>
      <x:c r="K1158" s="8" t="n">
        <x:v>1.088712313807078</x:v>
      </x:c>
      <x:c r="L1158" s="8" t="n">
        <x:v>4.440892098500626e-16</x:v>
      </x:c>
      <x:c r="M1158" s="7" t="n">
        <x:v>641.0146999987774</x:v>
      </x:c>
      <x:c r="N1158" s="2" t="str">
        <x:v>qiskit.primitives.StatevectorSampler</x:v>
      </x:c>
      <x:c r="O1158" s="9" t="str">
        <x:v>1001010101</x:v>
      </x:c>
    </x:row>
    <x:row r="1159" ht="18" customHeight="1">
      <x:c r="A1159" s="2" t="str">
        <x:v>legacy_n6_12</x:v>
      </x:c>
      <x:c r="B1159" s="2" t="str">
        <x:v>Unmanaged</x:v>
      </x:c>
      <x:c r="C1159" s="2"/>
      <x:c r="D1159" s="2" t="str">
        <x:v>baseline</x:v>
      </x:c>
      <x:c r="E1159" s="2" t="n">
        <x:v>8</x:v>
      </x:c>
      <x:c r="F1159" s="7" t="n">
        <x:v>84.2611111111111</x:v>
      </x:c>
      <x:c r="G1159" s="7" t="n">
        <x:v>84.2611111111111</x:v>
      </x:c>
      <x:c r="H1159" s="7" t="n">
        <x:f>IF(F1159=0,"n.a.",100*(F1159-G1159)/F1159)</x:f>
        <x:v>0</x:v>
      </x:c>
      <x:c r="I1159" s="7" t="n">
        <x:f>F1159-G1159</x:f>
        <x:v>0</x:v>
      </x:c>
      <x:c r="J1159" s="8"/>
      <x:c r="K1159" s="8" t="n">
        <x:v>0.335592300520672</x:v>
      </x:c>
      <x:c r="L1159" s="8"/>
      <x:c r="M1159" s="7"/>
      <x:c r="N1159" s="2" t="str">
        <x:v>unmanaged_input</x:v>
      </x:c>
      <x:c r="O1159" s="9"/>
    </x:row>
    <x:row r="1160" ht="18" customHeight="1">
      <x:c r="A1160" s="2" t="str">
        <x:v>legacy_n6_12</x:v>
      </x:c>
      <x:c r="B1160" s="2" t="str">
        <x:v>Exact J</x:v>
      </x:c>
      <x:c r="C1160" s="2"/>
      <x:c r="D1160" s="2" t="str">
        <x:v>success</x:v>
      </x:c>
      <x:c r="E1160" s="2" t="n">
        <x:v>8</x:v>
      </x:c>
      <x:c r="F1160" s="7" t="n">
        <x:v>84.2611111111111</x:v>
      </x:c>
      <x:c r="G1160" s="7" t="n">
        <x:v>63.30857142857143</x:v>
      </x:c>
      <x:c r="H1160" s="7" t="n">
        <x:f>IF(F1160=0,"n.a.",100*(F1160-G1160)/F1160)</x:f>
        <x:v>24.86620388248923</x:v>
      </x:c>
      <x:c r="I1160" s="7" t="n">
        <x:f>F1160-G1160</x:f>
        <x:v>20.952539682539673</x:v>
      </x:c>
      <x:c r="J1160" s="8" t="n">
        <x:v>0.335592300520672</x:v>
      </x:c>
      <x:c r="K1160" s="8" t="n">
        <x:v>0.335592300520672</x:v>
      </x:c>
      <x:c r="L1160" s="8" t="n">
        <x:v>0</x:v>
      </x:c>
      <x:c r="M1160" s="7"/>
      <x:c r="N1160" s="2" t="str">
        <x:v>exhaustive_enumeration</x:v>
      </x:c>
      <x:c r="O1160" s="9" t="str">
        <x:v>01100111</x:v>
      </x:c>
    </x:row>
    <x:row r="1161" ht="18" customHeight="1">
      <x:c r="A1161" s="2" t="str">
        <x:v>legacy_n6_12</x:v>
      </x:c>
      <x:c r="B1161" s="2" t="str">
        <x:v>Exact peak</x:v>
      </x:c>
      <x:c r="C1161" s="2"/>
      <x:c r="D1161" s="2" t="str">
        <x:v>success</x:v>
      </x:c>
      <x:c r="E1161" s="2" t="n">
        <x:v>8</x:v>
      </x:c>
      <x:c r="F1161" s="7" t="n">
        <x:v>84.2611111111111</x:v>
      </x:c>
      <x:c r="G1161" s="7" t="n">
        <x:v>62.083333333333336</x:v>
      </x:c>
      <x:c r="H1161" s="7" t="n">
        <x:f>IF(F1161=0,"n.a.",100*(F1161-G1161)/F1161)</x:f>
        <x:v>26.3203006527329</x:v>
      </x:c>
      <x:c r="I1161" s="7" t="n">
        <x:f>F1161-G1161</x:f>
        <x:v>22.17777777777777</x:v>
      </x:c>
      <x:c r="J1161" s="8" t="n">
        <x:v>0.3859653927686806</x:v>
      </x:c>
      <x:c r="K1161" s="8" t="n">
        <x:v>0.335592300520672</x:v>
      </x:c>
      <x:c r="L1161" s="8" t="n">
        <x:v>0.050373092248008566</x:v>
      </x:c>
      <x:c r="M1161" s="7"/>
      <x:c r="N1161" s="2" t="str">
        <x:v>exhaustive_enumeration</x:v>
      </x:c>
      <x:c r="O1161" s="9" t="str">
        <x:v>11100111</x:v>
      </x:c>
    </x:row>
    <x:row r="1162" ht="18" customHeight="1">
      <x:c r="A1162" s="2" t="str">
        <x:v>legacy_n6_12</x:v>
      </x:c>
      <x:c r="B1162" s="2" t="str">
        <x:v>BPSO</x:v>
      </x:c>
      <x:c r="C1162" s="2" t="n">
        <x:v>42</x:v>
      </x:c>
      <x:c r="D1162" s="2" t="str">
        <x:v>success</x:v>
      </x:c>
      <x:c r="E1162" s="2" t="n">
        <x:v>8</x:v>
      </x:c>
      <x:c r="F1162" s="7" t="n">
        <x:v>84.2611111111111</x:v>
      </x:c>
      <x:c r="G1162" s="7" t="n">
        <x:v>63.30857142857143</x:v>
      </x:c>
      <x:c r="H1162" s="7" t="n">
        <x:f>IF(F1162=0,"n.a.",100*(F1162-G1162)/F1162)</x:f>
        <x:v>24.86620388248923</x:v>
      </x:c>
      <x:c r="I1162" s="7" t="n">
        <x:f>F1162-G1162</x:f>
        <x:v>20.952539682539673</x:v>
      </x:c>
      <x:c r="J1162" s="8" t="n">
        <x:v>0.335592300520672</x:v>
      </x:c>
      <x:c r="K1162" s="8" t="n">
        <x:v>0.335592300520672</x:v>
      </x:c>
      <x:c r="L1162" s="8" t="n">
        <x:v>0</x:v>
      </x:c>
      <x:c r="M1162" s="7" t="n">
        <x:v>18.133499994291924</x:v>
      </x:c>
      <x:c r="N1162" s="2" t="str">
        <x:v>repository_particle_dynamics_on_frozen_qubo</x:v>
      </x:c>
      <x:c r="O1162" s="9" t="str">
        <x:v>01100111</x:v>
      </x:c>
    </x:row>
    <x:row r="1163" ht="18" customHeight="1">
      <x:c r="A1163" s="2" t="str">
        <x:v>legacy_n6_12</x:v>
      </x:c>
      <x:c r="B1163" s="2" t="str">
        <x:v>QAOA</x:v>
      </x:c>
      <x:c r="C1163" s="2" t="n">
        <x:v>42</x:v>
      </x:c>
      <x:c r="D1163" s="2" t="str">
        <x:v>success</x:v>
      </x:c>
      <x:c r="E1163" s="2" t="n">
        <x:v>8</x:v>
      </x:c>
      <x:c r="F1163" s="7" t="n">
        <x:v>84.2611111111111</x:v>
      </x:c>
      <x:c r="G1163" s="7" t="n">
        <x:v>63.30857142857143</x:v>
      </x:c>
      <x:c r="H1163" s="7" t="n">
        <x:f>IF(F1163=0,"n.a.",100*(F1163-G1163)/F1163)</x:f>
        <x:v>24.86620388248923</x:v>
      </x:c>
      <x:c r="I1163" s="7" t="n">
        <x:f>F1163-G1163</x:f>
        <x:v>20.952539682539673</x:v>
      </x:c>
      <x:c r="J1163" s="8" t="n">
        <x:v>0.335592300520672</x:v>
      </x:c>
      <x:c r="K1163" s="8" t="n">
        <x:v>0.335592300520672</x:v>
      </x:c>
      <x:c r="L1163" s="8" t="n">
        <x:v>0</x:v>
      </x:c>
      <x:c r="M1163" s="7" t="n">
        <x:v>469.60090000357013</x:v>
      </x:c>
      <x:c r="N1163" s="2" t="str">
        <x:v>qiskit.primitives.StatevectorSampler</x:v>
      </x:c>
      <x:c r="O1163" s="9" t="str">
        <x:v>10101101</x:v>
      </x:c>
    </x:row>
    <x:row r="1164" ht="18" customHeight="1">
      <x:c r="A1164" s="2" t="str">
        <x:v>legacy_n6_12</x:v>
      </x:c>
      <x:c r="B1164" s="2" t="str">
        <x:v>BPSO</x:v>
      </x:c>
      <x:c r="C1164" s="2" t="n">
        <x:v>123</x:v>
      </x:c>
      <x:c r="D1164" s="2" t="str">
        <x:v>success</x:v>
      </x:c>
      <x:c r="E1164" s="2" t="n">
        <x:v>8</x:v>
      </x:c>
      <x:c r="F1164" s="7" t="n">
        <x:v>84.2611111111111</x:v>
      </x:c>
      <x:c r="G1164" s="7" t="n">
        <x:v>63.30857142857143</x:v>
      </x:c>
      <x:c r="H1164" s="7" t="n">
        <x:f>IF(F1164=0,"n.a.",100*(F1164-G1164)/F1164)</x:f>
        <x:v>24.86620388248923</x:v>
      </x:c>
      <x:c r="I1164" s="7" t="n">
        <x:f>F1164-G1164</x:f>
        <x:v>20.952539682539673</x:v>
      </x:c>
      <x:c r="J1164" s="8" t="n">
        <x:v>0.335592300520672</x:v>
      </x:c>
      <x:c r="K1164" s="8" t="n">
        <x:v>0.335592300520672</x:v>
      </x:c>
      <x:c r="L1164" s="8" t="n">
        <x:v>0</x:v>
      </x:c>
      <x:c r="M1164" s="7" t="n">
        <x:v>18.784800005960278</x:v>
      </x:c>
      <x:c r="N1164" s="2" t="str">
        <x:v>repository_particle_dynamics_on_frozen_qubo</x:v>
      </x:c>
      <x:c r="O1164" s="9" t="str">
        <x:v>01101101</x:v>
      </x:c>
    </x:row>
    <x:row r="1165" ht="18" customHeight="1">
      <x:c r="A1165" s="2" t="str">
        <x:v>legacy_n6_12</x:v>
      </x:c>
      <x:c r="B1165" s="2" t="str">
        <x:v>QAOA</x:v>
      </x:c>
      <x:c r="C1165" s="2" t="n">
        <x:v>123</x:v>
      </x:c>
      <x:c r="D1165" s="2" t="str">
        <x:v>success</x:v>
      </x:c>
      <x:c r="E1165" s="2" t="n">
        <x:v>8</x:v>
      </x:c>
      <x:c r="F1165" s="7" t="n">
        <x:v>84.2611111111111</x:v>
      </x:c>
      <x:c r="G1165" s="7" t="n">
        <x:v>63.30857142857143</x:v>
      </x:c>
      <x:c r="H1165" s="7" t="n">
        <x:f>IF(F1165=0,"n.a.",100*(F1165-G1165)/F1165)</x:f>
        <x:v>24.86620388248923</x:v>
      </x:c>
      <x:c r="I1165" s="7" t="n">
        <x:f>F1165-G1165</x:f>
        <x:v>20.952539682539673</x:v>
      </x:c>
      <x:c r="J1165" s="8" t="n">
        <x:v>0.335592300520672</x:v>
      </x:c>
      <x:c r="K1165" s="8" t="n">
        <x:v>0.335592300520672</x:v>
      </x:c>
      <x:c r="L1165" s="8" t="n">
        <x:v>0</x:v>
      </x:c>
      <x:c r="M1165" s="7" t="n">
        <x:v>438.56290000258014</x:v>
      </x:c>
      <x:c r="N1165" s="2" t="str">
        <x:v>qiskit.primitives.StatevectorSampler</x:v>
      </x:c>
      <x:c r="O1165" s="9" t="str">
        <x:v>01100111</x:v>
      </x:c>
    </x:row>
    <x:row r="1166" ht="18" customHeight="1">
      <x:c r="A1166" s="2" t="str">
        <x:v>legacy_n6_12</x:v>
      </x:c>
      <x:c r="B1166" s="2" t="str">
        <x:v>BPSO</x:v>
      </x:c>
      <x:c r="C1166" s="2" t="n">
        <x:v>456</x:v>
      </x:c>
      <x:c r="D1166" s="2" t="str">
        <x:v>success</x:v>
      </x:c>
      <x:c r="E1166" s="2" t="n">
        <x:v>8</x:v>
      </x:c>
      <x:c r="F1166" s="7" t="n">
        <x:v>84.2611111111111</x:v>
      </x:c>
      <x:c r="G1166" s="7" t="n">
        <x:v>63.30857142857143</x:v>
      </x:c>
      <x:c r="H1166" s="7" t="n">
        <x:f>IF(F1166=0,"n.a.",100*(F1166-G1166)/F1166)</x:f>
        <x:v>24.86620388248923</x:v>
      </x:c>
      <x:c r="I1166" s="7" t="n">
        <x:f>F1166-G1166</x:f>
        <x:v>20.952539682539673</x:v>
      </x:c>
      <x:c r="J1166" s="8" t="n">
        <x:v>0.335592300520672</x:v>
      </x:c>
      <x:c r="K1166" s="8" t="n">
        <x:v>0.335592300520672</x:v>
      </x:c>
      <x:c r="L1166" s="8" t="n">
        <x:v>0</x:v>
      </x:c>
      <x:c r="M1166" s="7" t="n">
        <x:v>18.3275000017602</x:v>
      </x:c>
      <x:c r="N1166" s="2" t="str">
        <x:v>repository_particle_dynamics_on_frozen_qubo</x:v>
      </x:c>
      <x:c r="O1166" s="9" t="str">
        <x:v>01101011</x:v>
      </x:c>
    </x:row>
    <x:row r="1167" ht="18" customHeight="1">
      <x:c r="A1167" s="2" t="str">
        <x:v>legacy_n6_12</x:v>
      </x:c>
      <x:c r="B1167" s="2" t="str">
        <x:v>QAOA</x:v>
      </x:c>
      <x:c r="C1167" s="2" t="n">
        <x:v>456</x:v>
      </x:c>
      <x:c r="D1167" s="2" t="str">
        <x:v>success</x:v>
      </x:c>
      <x:c r="E1167" s="2" t="n">
        <x:v>8</x:v>
      </x:c>
      <x:c r="F1167" s="7" t="n">
        <x:v>84.2611111111111</x:v>
      </x:c>
      <x:c r="G1167" s="7" t="n">
        <x:v>63.30857142857143</x:v>
      </x:c>
      <x:c r="H1167" s="7" t="n">
        <x:f>IF(F1167=0,"n.a.",100*(F1167-G1167)/F1167)</x:f>
        <x:v>24.86620388248923</x:v>
      </x:c>
      <x:c r="I1167" s="7" t="n">
        <x:f>F1167-G1167</x:f>
        <x:v>20.952539682539673</x:v>
      </x:c>
      <x:c r="J1167" s="8" t="n">
        <x:v>0.335592300520672</x:v>
      </x:c>
      <x:c r="K1167" s="8" t="n">
        <x:v>0.335592300520672</x:v>
      </x:c>
      <x:c r="L1167" s="8" t="n">
        <x:v>0</x:v>
      </x:c>
      <x:c r="M1167" s="7" t="n">
        <x:v>438.4849000052782</x:v>
      </x:c>
      <x:c r="N1167" s="2" t="str">
        <x:v>qiskit.primitives.StatevectorSampler</x:v>
      </x:c>
      <x:c r="O1167" s="9" t="str">
        <x:v>11010011</x:v>
      </x:c>
    </x:row>
    <x:row r="1168" ht="18" customHeight="1">
      <x:c r="A1168" s="2" t="str">
        <x:v>legacy_n6_12</x:v>
      </x:c>
      <x:c r="B1168" s="2" t="str">
        <x:v>BPSO</x:v>
      </x:c>
      <x:c r="C1168" s="2" t="n">
        <x:v>789</x:v>
      </x:c>
      <x:c r="D1168" s="2" t="str">
        <x:v>success</x:v>
      </x:c>
      <x:c r="E1168" s="2" t="n">
        <x:v>8</x:v>
      </x:c>
      <x:c r="F1168" s="7" t="n">
        <x:v>84.2611111111111</x:v>
      </x:c>
      <x:c r="G1168" s="7" t="n">
        <x:v>63.30857142857143</x:v>
      </x:c>
      <x:c r="H1168" s="7" t="n">
        <x:f>IF(F1168=0,"n.a.",100*(F1168-G1168)/F1168)</x:f>
        <x:v>24.86620388248923</x:v>
      </x:c>
      <x:c r="I1168" s="7" t="n">
        <x:f>F1168-G1168</x:f>
        <x:v>20.952539682539673</x:v>
      </x:c>
      <x:c r="J1168" s="8" t="n">
        <x:v>0.335592300520672</x:v>
      </x:c>
      <x:c r="K1168" s="8" t="n">
        <x:v>0.335592300520672</x:v>
      </x:c>
      <x:c r="L1168" s="8" t="n">
        <x:v>0</x:v>
      </x:c>
      <x:c r="M1168" s="7" t="n">
        <x:v>17.768800011253916</x:v>
      </x:c>
      <x:c r="N1168" s="2" t="str">
        <x:v>repository_particle_dynamics_on_frozen_qubo</x:v>
      </x:c>
      <x:c r="O1168" s="9" t="str">
        <x:v>11010101</x:v>
      </x:c>
    </x:row>
    <x:row r="1169" ht="18" customHeight="1">
      <x:c r="A1169" s="2" t="str">
        <x:v>legacy_n6_12</x:v>
      </x:c>
      <x:c r="B1169" s="2" t="str">
        <x:v>QAOA</x:v>
      </x:c>
      <x:c r="C1169" s="2" t="n">
        <x:v>789</x:v>
      </x:c>
      <x:c r="D1169" s="2" t="str">
        <x:v>success</x:v>
      </x:c>
      <x:c r="E1169" s="2" t="n">
        <x:v>8</x:v>
      </x:c>
      <x:c r="F1169" s="7" t="n">
        <x:v>84.2611111111111</x:v>
      </x:c>
      <x:c r="G1169" s="7" t="n">
        <x:v>63.30857142857143</x:v>
      </x:c>
      <x:c r="H1169" s="7" t="n">
        <x:f>IF(F1169=0,"n.a.",100*(F1169-G1169)/F1169)</x:f>
        <x:v>24.86620388248923</x:v>
      </x:c>
      <x:c r="I1169" s="7" t="n">
        <x:f>F1169-G1169</x:f>
        <x:v>20.952539682539673</x:v>
      </x:c>
      <x:c r="J1169" s="8" t="n">
        <x:v>0.335592300520672</x:v>
      </x:c>
      <x:c r="K1169" s="8" t="n">
        <x:v>0.335592300520672</x:v>
      </x:c>
      <x:c r="L1169" s="8" t="n">
        <x:v>0</x:v>
      </x:c>
      <x:c r="M1169" s="7" t="n">
        <x:v>534.8804000095697</x:v>
      </x:c>
      <x:c r="N1169" s="2" t="str">
        <x:v>qiskit.primitives.StatevectorSampler</x:v>
      </x:c>
      <x:c r="O1169" s="9" t="str">
        <x:v>11011001</x:v>
      </x:c>
    </x:row>
    <x:row r="1170" ht="18" customHeight="1">
      <x:c r="A1170" s="2" t="str">
        <x:v>legacy_n6_12</x:v>
      </x:c>
      <x:c r="B1170" s="2" t="str">
        <x:v>BPSO</x:v>
      </x:c>
      <x:c r="C1170" s="2" t="n">
        <x:v>2026</x:v>
      </x:c>
      <x:c r="D1170" s="2" t="str">
        <x:v>success</x:v>
      </x:c>
      <x:c r="E1170" s="2" t="n">
        <x:v>8</x:v>
      </x:c>
      <x:c r="F1170" s="7" t="n">
        <x:v>84.2611111111111</x:v>
      </x:c>
      <x:c r="G1170" s="7" t="n">
        <x:v>63.30857142857143</x:v>
      </x:c>
      <x:c r="H1170" s="7" t="n">
        <x:f>IF(F1170=0,"n.a.",100*(F1170-G1170)/F1170)</x:f>
        <x:v>24.86620388248923</x:v>
      </x:c>
      <x:c r="I1170" s="7" t="n">
        <x:f>F1170-G1170</x:f>
        <x:v>20.952539682539673</x:v>
      </x:c>
      <x:c r="J1170" s="8" t="n">
        <x:v>0.335592300520672</x:v>
      </x:c>
      <x:c r="K1170" s="8" t="n">
        <x:v>0.335592300520672</x:v>
      </x:c>
      <x:c r="L1170" s="8" t="n">
        <x:v>0</x:v>
      </x:c>
      <x:c r="M1170" s="7" t="n">
        <x:v>18.23780000268016</x:v>
      </x:c>
      <x:c r="N1170" s="2" t="str">
        <x:v>repository_particle_dynamics_on_frozen_qubo</x:v>
      </x:c>
      <x:c r="O1170" s="9" t="str">
        <x:v>11011010</x:v>
      </x:c>
    </x:row>
    <x:row r="1171" ht="18" customHeight="1">
      <x:c r="A1171" s="2" t="str">
        <x:v>legacy_n6_12</x:v>
      </x:c>
      <x:c r="B1171" s="2" t="str">
        <x:v>QAOA</x:v>
      </x:c>
      <x:c r="C1171" s="2" t="n">
        <x:v>2026</x:v>
      </x:c>
      <x:c r="D1171" s="2" t="str">
        <x:v>success</x:v>
      </x:c>
      <x:c r="E1171" s="2" t="n">
        <x:v>8</x:v>
      </x:c>
      <x:c r="F1171" s="7" t="n">
        <x:v>84.2611111111111</x:v>
      </x:c>
      <x:c r="G1171" s="7" t="n">
        <x:v>63.30857142857143</x:v>
      </x:c>
      <x:c r="H1171" s="7" t="n">
        <x:f>IF(F1171=0,"n.a.",100*(F1171-G1171)/F1171)</x:f>
        <x:v>24.86620388248923</x:v>
      </x:c>
      <x:c r="I1171" s="7" t="n">
        <x:f>F1171-G1171</x:f>
        <x:v>20.952539682539673</x:v>
      </x:c>
      <x:c r="J1171" s="8" t="n">
        <x:v>0.335592300520672</x:v>
      </x:c>
      <x:c r="K1171" s="8" t="n">
        <x:v>0.335592300520672</x:v>
      </x:c>
      <x:c r="L1171" s="8" t="n">
        <x:v>0</x:v>
      </x:c>
      <x:c r="M1171" s="7" t="n">
        <x:v>506.8466999946395</x:v>
      </x:c>
      <x:c r="N1171" s="2" t="str">
        <x:v>qiskit.primitives.StatevectorSampler</x:v>
      </x:c>
      <x:c r="O1171" s="9" t="str">
        <x:v>11010110</x:v>
      </x:c>
    </x:row>
    <x:row r="1172" ht="18" customHeight="1">
      <x:c r="A1172" s="2" t="str">
        <x:v>legacy_n6_13</x:v>
      </x:c>
      <x:c r="B1172" s="2" t="str">
        <x:v>Unmanaged</x:v>
      </x:c>
      <x:c r="C1172" s="2"/>
      <x:c r="D1172" s="2" t="str">
        <x:v>baseline</x:v>
      </x:c>
      <x:c r="E1172" s="2" t="n">
        <x:v>5</x:v>
      </x:c>
      <x:c r="F1172" s="7" t="n">
        <x:v>77.8409090909091</x:v>
      </x:c>
      <x:c r="G1172" s="7" t="n">
        <x:v>77.8409090909091</x:v>
      </x:c>
      <x:c r="H1172" s="7" t="n">
        <x:f>IF(F1172=0,"n.a.",100*(F1172-G1172)/F1172)</x:f>
        <x:v>0</x:v>
      </x:c>
      <x:c r="I1172" s="7" t="n">
        <x:f>F1172-G1172</x:f>
        <x:v>0</x:v>
      </x:c>
      <x:c r="J1172" s="8"/>
      <x:c r="K1172" s="8" t="n">
        <x:v>0.601514966640689</x:v>
      </x:c>
      <x:c r="L1172" s="8"/>
      <x:c r="M1172" s="7"/>
      <x:c r="N1172" s="2" t="str">
        <x:v>unmanaged_input</x:v>
      </x:c>
      <x:c r="O1172" s="9"/>
    </x:row>
    <x:row r="1173" ht="18" customHeight="1">
      <x:c r="A1173" s="2" t="str">
        <x:v>legacy_n6_13</x:v>
      </x:c>
      <x:c r="B1173" s="2" t="str">
        <x:v>Exact J</x:v>
      </x:c>
      <x:c r="C1173" s="2"/>
      <x:c r="D1173" s="2" t="str">
        <x:v>success</x:v>
      </x:c>
      <x:c r="E1173" s="2" t="n">
        <x:v>5</x:v>
      </x:c>
      <x:c r="F1173" s="7" t="n">
        <x:v>77.8409090909091</x:v>
      </x:c>
      <x:c r="G1173" s="7" t="n">
        <x:v>67.0529411764706</x:v>
      </x:c>
      <x:c r="H1173" s="7" t="n">
        <x:f>IF(F1173=0,"n.a.",100*(F1173-G1173)/F1173)</x:f>
        <x:v>13.858995276942885</x:v>
      </x:c>
      <x:c r="I1173" s="7" t="n">
        <x:f>F1173-G1173</x:f>
        <x:v>10.787967914438497</x:v>
      </x:c>
      <x:c r="J1173" s="8" t="n">
        <x:v>0.601514966640689</x:v>
      </x:c>
      <x:c r="K1173" s="8" t="n">
        <x:v>0.601514966640689</x:v>
      </x:c>
      <x:c r="L1173" s="8" t="n">
        <x:v>0</x:v>
      </x:c>
      <x:c r="M1173" s="7"/>
      <x:c r="N1173" s="2" t="str">
        <x:v>exhaustive_enumeration</x:v>
      </x:c>
      <x:c r="O1173" s="9" t="str">
        <x:v>00011</x:v>
      </x:c>
    </x:row>
    <x:row r="1174" ht="18" customHeight="1">
      <x:c r="A1174" s="2" t="str">
        <x:v>legacy_n6_13</x:v>
      </x:c>
      <x:c r="B1174" s="2" t="str">
        <x:v>Exact peak</x:v>
      </x:c>
      <x:c r="C1174" s="2"/>
      <x:c r="D1174" s="2" t="str">
        <x:v>success</x:v>
      </x:c>
      <x:c r="E1174" s="2" t="n">
        <x:v>5</x:v>
      </x:c>
      <x:c r="F1174" s="7" t="n">
        <x:v>77.8409090909091</x:v>
      </x:c>
      <x:c r="G1174" s="7" t="n">
        <x:v>67.0529411764706</x:v>
      </x:c>
      <x:c r="H1174" s="7" t="n">
        <x:f>IF(F1174=0,"n.a.",100*(F1174-G1174)/F1174)</x:f>
        <x:v>13.858995276942885</x:v>
      </x:c>
      <x:c r="I1174" s="7" t="n">
        <x:f>F1174-G1174</x:f>
        <x:v>10.787967914438497</x:v>
      </x:c>
      <x:c r="J1174" s="8" t="n">
        <x:v>0.601514966640689</x:v>
      </x:c>
      <x:c r="K1174" s="8" t="n">
        <x:v>0.601514966640689</x:v>
      </x:c>
      <x:c r="L1174" s="8" t="n">
        <x:v>0</x:v>
      </x:c>
      <x:c r="M1174" s="7"/>
      <x:c r="N1174" s="2" t="str">
        <x:v>exhaustive_enumeration</x:v>
      </x:c>
      <x:c r="O1174" s="9" t="str">
        <x:v>00011</x:v>
      </x:c>
    </x:row>
    <x:row r="1175" ht="18" customHeight="1">
      <x:c r="A1175" s="2" t="str">
        <x:v>legacy_n6_13</x:v>
      </x:c>
      <x:c r="B1175" s="2" t="str">
        <x:v>BPSO</x:v>
      </x:c>
      <x:c r="C1175" s="2" t="n">
        <x:v>42</x:v>
      </x:c>
      <x:c r="D1175" s="2" t="str">
        <x:v>success</x:v>
      </x:c>
      <x:c r="E1175" s="2" t="n">
        <x:v>5</x:v>
      </x:c>
      <x:c r="F1175" s="7" t="n">
        <x:v>77.8409090909091</x:v>
      </x:c>
      <x:c r="G1175" s="7" t="n">
        <x:v>67.0529411764706</x:v>
      </x:c>
      <x:c r="H1175" s="7" t="n">
        <x:f>IF(F1175=0,"n.a.",100*(F1175-G1175)/F1175)</x:f>
        <x:v>13.858995276942885</x:v>
      </x:c>
      <x:c r="I1175" s="7" t="n">
        <x:f>F1175-G1175</x:f>
        <x:v>10.787967914438497</x:v>
      </x:c>
      <x:c r="J1175" s="8" t="n">
        <x:v>0.601514966640689</x:v>
      </x:c>
      <x:c r="K1175" s="8" t="n">
        <x:v>0.601514966640689</x:v>
      </x:c>
      <x:c r="L1175" s="8" t="n">
        <x:v>0</x:v>
      </x:c>
      <x:c r="M1175" s="7" t="n">
        <x:v>18.423499990603887</x:v>
      </x:c>
      <x:c r="N1175" s="2" t="str">
        <x:v>repository_particle_dynamics_on_frozen_qubo</x:v>
      </x:c>
      <x:c r="O1175" s="9" t="str">
        <x:v>11000</x:v>
      </x:c>
    </x:row>
    <x:row r="1176" ht="18" customHeight="1">
      <x:c r="A1176" s="2" t="str">
        <x:v>legacy_n6_13</x:v>
      </x:c>
      <x:c r="B1176" s="2" t="str">
        <x:v>QAOA</x:v>
      </x:c>
      <x:c r="C1176" s="2" t="n">
        <x:v>42</x:v>
      </x:c>
      <x:c r="D1176" s="2" t="str">
        <x:v>success</x:v>
      </x:c>
      <x:c r="E1176" s="2" t="n">
        <x:v>5</x:v>
      </x:c>
      <x:c r="F1176" s="7" t="n">
        <x:v>77.8409090909091</x:v>
      </x:c>
      <x:c r="G1176" s="7" t="n">
        <x:v>67.0529411764706</x:v>
      </x:c>
      <x:c r="H1176" s="7" t="n">
        <x:f>IF(F1176=0,"n.a.",100*(F1176-G1176)/F1176)</x:f>
        <x:v>13.858995276942885</x:v>
      </x:c>
      <x:c r="I1176" s="7" t="n">
        <x:f>F1176-G1176</x:f>
        <x:v>10.787967914438497</x:v>
      </x:c>
      <x:c r="J1176" s="8" t="n">
        <x:v>0.601514966640689</x:v>
      </x:c>
      <x:c r="K1176" s="8" t="n">
        <x:v>0.601514966640689</x:v>
      </x:c>
      <x:c r="L1176" s="8" t="n">
        <x:v>0</x:v>
      </x:c>
      <x:c r="M1176" s="7" t="n">
        <x:v>233.03499999747146</x:v>
      </x:c>
      <x:c r="N1176" s="2" t="str">
        <x:v>qiskit.primitives.StatevectorSampler</x:v>
      </x:c>
      <x:c r="O1176" s="9" t="str">
        <x:v>00011</x:v>
      </x:c>
    </x:row>
    <x:row r="1177" ht="18" customHeight="1">
      <x:c r="A1177" s="2" t="str">
        <x:v>legacy_n6_13</x:v>
      </x:c>
      <x:c r="B1177" s="2" t="str">
        <x:v>BPSO</x:v>
      </x:c>
      <x:c r="C1177" s="2" t="n">
        <x:v>123</x:v>
      </x:c>
      <x:c r="D1177" s="2" t="str">
        <x:v>success</x:v>
      </x:c>
      <x:c r="E1177" s="2" t="n">
        <x:v>5</x:v>
      </x:c>
      <x:c r="F1177" s="7" t="n">
        <x:v>77.8409090909091</x:v>
      </x:c>
      <x:c r="G1177" s="7" t="n">
        <x:v>67.0529411764706</x:v>
      </x:c>
      <x:c r="H1177" s="7" t="n">
        <x:f>IF(F1177=0,"n.a.",100*(F1177-G1177)/F1177)</x:f>
        <x:v>13.858995276942885</x:v>
      </x:c>
      <x:c r="I1177" s="7" t="n">
        <x:f>F1177-G1177</x:f>
        <x:v>10.787967914438497</x:v>
      </x:c>
      <x:c r="J1177" s="8" t="n">
        <x:v>0.601514966640689</x:v>
      </x:c>
      <x:c r="K1177" s="8" t="n">
        <x:v>0.601514966640689</x:v>
      </x:c>
      <x:c r="L1177" s="8" t="n">
        <x:v>0</x:v>
      </x:c>
      <x:c r="M1177" s="7" t="n">
        <x:v>16.377199994167313</x:v>
      </x:c>
      <x:c r="N1177" s="2" t="str">
        <x:v>repository_particle_dynamics_on_frozen_qubo</x:v>
      </x:c>
      <x:c r="O1177" s="9" t="str">
        <x:v>01010</x:v>
      </x:c>
    </x:row>
    <x:row r="1178" ht="18" customHeight="1">
      <x:c r="A1178" s="2" t="str">
        <x:v>legacy_n6_13</x:v>
      </x:c>
      <x:c r="B1178" s="2" t="str">
        <x:v>QAOA</x:v>
      </x:c>
      <x:c r="C1178" s="2" t="n">
        <x:v>123</x:v>
      </x:c>
      <x:c r="D1178" s="2" t="str">
        <x:v>success</x:v>
      </x:c>
      <x:c r="E1178" s="2" t="n">
        <x:v>5</x:v>
      </x:c>
      <x:c r="F1178" s="7" t="n">
        <x:v>77.8409090909091</x:v>
      </x:c>
      <x:c r="G1178" s="7" t="n">
        <x:v>67.0529411764706</x:v>
      </x:c>
      <x:c r="H1178" s="7" t="n">
        <x:f>IF(F1178=0,"n.a.",100*(F1178-G1178)/F1178)</x:f>
        <x:v>13.858995276942885</x:v>
      </x:c>
      <x:c r="I1178" s="7" t="n">
        <x:f>F1178-G1178</x:f>
        <x:v>10.787967914438497</x:v>
      </x:c>
      <x:c r="J1178" s="8" t="n">
        <x:v>0.601514966640689</x:v>
      </x:c>
      <x:c r="K1178" s="8" t="n">
        <x:v>0.601514966640689</x:v>
      </x:c>
      <x:c r="L1178" s="8" t="n">
        <x:v>0</x:v>
      </x:c>
      <x:c r="M1178" s="7" t="n">
        <x:v>232.4047000001883</x:v>
      </x:c>
      <x:c r="N1178" s="2" t="str">
        <x:v>qiskit.primitives.StatevectorSampler</x:v>
      </x:c>
      <x:c r="O1178" s="9" t="str">
        <x:v>11000</x:v>
      </x:c>
    </x:row>
    <x:row r="1179" ht="18" customHeight="1">
      <x:c r="A1179" s="2" t="str">
        <x:v>legacy_n6_13</x:v>
      </x:c>
      <x:c r="B1179" s="2" t="str">
        <x:v>BPSO</x:v>
      </x:c>
      <x:c r="C1179" s="2" t="n">
        <x:v>456</x:v>
      </x:c>
      <x:c r="D1179" s="2" t="str">
        <x:v>success</x:v>
      </x:c>
      <x:c r="E1179" s="2" t="n">
        <x:v>5</x:v>
      </x:c>
      <x:c r="F1179" s="7" t="n">
        <x:v>77.8409090909091</x:v>
      </x:c>
      <x:c r="G1179" s="7" t="n">
        <x:v>67.0529411764706</x:v>
      </x:c>
      <x:c r="H1179" s="7" t="n">
        <x:f>IF(F1179=0,"n.a.",100*(F1179-G1179)/F1179)</x:f>
        <x:v>13.858995276942885</x:v>
      </x:c>
      <x:c r="I1179" s="7" t="n">
        <x:f>F1179-G1179</x:f>
        <x:v>10.787967914438497</x:v>
      </x:c>
      <x:c r="J1179" s="8" t="n">
        <x:v>0.601514966640689</x:v>
      </x:c>
      <x:c r="K1179" s="8" t="n">
        <x:v>0.601514966640689</x:v>
      </x:c>
      <x:c r="L1179" s="8" t="n">
        <x:v>0</x:v>
      </x:c>
      <x:c r="M1179" s="7" t="n">
        <x:v>14.500100005534478</x:v>
      </x:c>
      <x:c r="N1179" s="2" t="str">
        <x:v>repository_particle_dynamics_on_frozen_qubo</x:v>
      </x:c>
      <x:c r="O1179" s="9" t="str">
        <x:v>00011</x:v>
      </x:c>
    </x:row>
    <x:row r="1180" ht="18" customHeight="1">
      <x:c r="A1180" s="2" t="str">
        <x:v>legacy_n6_13</x:v>
      </x:c>
      <x:c r="B1180" s="2" t="str">
        <x:v>QAOA</x:v>
      </x:c>
      <x:c r="C1180" s="2" t="n">
        <x:v>456</x:v>
      </x:c>
      <x:c r="D1180" s="2" t="str">
        <x:v>success</x:v>
      </x:c>
      <x:c r="E1180" s="2" t="n">
        <x:v>5</x:v>
      </x:c>
      <x:c r="F1180" s="7" t="n">
        <x:v>77.8409090909091</x:v>
      </x:c>
      <x:c r="G1180" s="7" t="n">
        <x:v>67.0529411764706</x:v>
      </x:c>
      <x:c r="H1180" s="7" t="n">
        <x:f>IF(F1180=0,"n.a.",100*(F1180-G1180)/F1180)</x:f>
        <x:v>13.858995276942885</x:v>
      </x:c>
      <x:c r="I1180" s="7" t="n">
        <x:f>F1180-G1180</x:f>
        <x:v>10.787967914438497</x:v>
      </x:c>
      <x:c r="J1180" s="8" t="n">
        <x:v>0.601514966640689</x:v>
      </x:c>
      <x:c r="K1180" s="8" t="n">
        <x:v>0.601514966640689</x:v>
      </x:c>
      <x:c r="L1180" s="8" t="n">
        <x:v>0</x:v>
      </x:c>
      <x:c r="M1180" s="7" t="n">
        <x:v>234.78729999624193</x:v>
      </x:c>
      <x:c r="N1180" s="2" t="str">
        <x:v>qiskit.primitives.StatevectorSampler</x:v>
      </x:c>
      <x:c r="O1180" s="9" t="str">
        <x:v>10001</x:v>
      </x:c>
    </x:row>
    <x:row r="1181" ht="18" customHeight="1">
      <x:c r="A1181" s="2" t="str">
        <x:v>legacy_n6_13</x:v>
      </x:c>
      <x:c r="B1181" s="2" t="str">
        <x:v>BPSO</x:v>
      </x:c>
      <x:c r="C1181" s="2" t="n">
        <x:v>789</x:v>
      </x:c>
      <x:c r="D1181" s="2" t="str">
        <x:v>success</x:v>
      </x:c>
      <x:c r="E1181" s="2" t="n">
        <x:v>5</x:v>
      </x:c>
      <x:c r="F1181" s="7" t="n">
        <x:v>77.8409090909091</x:v>
      </x:c>
      <x:c r="G1181" s="7" t="n">
        <x:v>67.0529411764706</x:v>
      </x:c>
      <x:c r="H1181" s="7" t="n">
        <x:f>IF(F1181=0,"n.a.",100*(F1181-G1181)/F1181)</x:f>
        <x:v>13.858995276942885</x:v>
      </x:c>
      <x:c r="I1181" s="7" t="n">
        <x:f>F1181-G1181</x:f>
        <x:v>10.787967914438497</x:v>
      </x:c>
      <x:c r="J1181" s="8" t="n">
        <x:v>0.601514966640689</x:v>
      </x:c>
      <x:c r="K1181" s="8" t="n">
        <x:v>0.601514966640689</x:v>
      </x:c>
      <x:c r="L1181" s="8" t="n">
        <x:v>0</x:v>
      </x:c>
      <x:c r="M1181" s="7" t="n">
        <x:v>14.625199997681193</x:v>
      </x:c>
      <x:c r="N1181" s="2" t="str">
        <x:v>repository_particle_dynamics_on_frozen_qubo</x:v>
      </x:c>
      <x:c r="O1181" s="9" t="str">
        <x:v>01100</x:v>
      </x:c>
    </x:row>
    <x:row r="1182" ht="18" customHeight="1">
      <x:c r="A1182" s="2" t="str">
        <x:v>legacy_n6_13</x:v>
      </x:c>
      <x:c r="B1182" s="2" t="str">
        <x:v>QAOA</x:v>
      </x:c>
      <x:c r="C1182" s="2" t="n">
        <x:v>789</x:v>
      </x:c>
      <x:c r="D1182" s="2" t="str">
        <x:v>success</x:v>
      </x:c>
      <x:c r="E1182" s="2" t="n">
        <x:v>5</x:v>
      </x:c>
      <x:c r="F1182" s="7" t="n">
        <x:v>77.8409090909091</x:v>
      </x:c>
      <x:c r="G1182" s="7" t="n">
        <x:v>67.0529411764706</x:v>
      </x:c>
      <x:c r="H1182" s="7" t="n">
        <x:f>IF(F1182=0,"n.a.",100*(F1182-G1182)/F1182)</x:f>
        <x:v>13.858995276942885</x:v>
      </x:c>
      <x:c r="I1182" s="7" t="n">
        <x:f>F1182-G1182</x:f>
        <x:v>10.787967914438497</x:v>
      </x:c>
      <x:c r="J1182" s="8" t="n">
        <x:v>0.601514966640689</x:v>
      </x:c>
      <x:c r="K1182" s="8" t="n">
        <x:v>0.601514966640689</x:v>
      </x:c>
      <x:c r="L1182" s="8" t="n">
        <x:v>0</x:v>
      </x:c>
      <x:c r="M1182" s="7" t="n">
        <x:v>174.72530000668485</x:v>
      </x:c>
      <x:c r="N1182" s="2" t="str">
        <x:v>qiskit.primitives.StatevectorSampler</x:v>
      </x:c>
      <x:c r="O1182" s="9" t="str">
        <x:v>10100</x:v>
      </x:c>
    </x:row>
    <x:row r="1183" ht="18" customHeight="1">
      <x:c r="A1183" s="2" t="str">
        <x:v>legacy_n6_13</x:v>
      </x:c>
      <x:c r="B1183" s="2" t="str">
        <x:v>BPSO</x:v>
      </x:c>
      <x:c r="C1183" s="2" t="n">
        <x:v>2026</x:v>
      </x:c>
      <x:c r="D1183" s="2" t="str">
        <x:v>success</x:v>
      </x:c>
      <x:c r="E1183" s="2" t="n">
        <x:v>5</x:v>
      </x:c>
      <x:c r="F1183" s="7" t="n">
        <x:v>77.8409090909091</x:v>
      </x:c>
      <x:c r="G1183" s="7" t="n">
        <x:v>67.0529411764706</x:v>
      </x:c>
      <x:c r="H1183" s="7" t="n">
        <x:f>IF(F1183=0,"n.a.",100*(F1183-G1183)/F1183)</x:f>
        <x:v>13.858995276942885</x:v>
      </x:c>
      <x:c r="I1183" s="7" t="n">
        <x:f>F1183-G1183</x:f>
        <x:v>10.787967914438497</x:v>
      </x:c>
      <x:c r="J1183" s="8" t="n">
        <x:v>0.601514966640689</x:v>
      </x:c>
      <x:c r="K1183" s="8" t="n">
        <x:v>0.601514966640689</x:v>
      </x:c>
      <x:c r="L1183" s="8" t="n">
        <x:v>0</x:v>
      </x:c>
      <x:c r="M1183" s="7" t="n">
        <x:v>14.918799992301501</x:v>
      </x:c>
      <x:c r="N1183" s="2" t="str">
        <x:v>repository_particle_dynamics_on_frozen_qubo</x:v>
      </x:c>
      <x:c r="O1183" s="9" t="str">
        <x:v>10100</x:v>
      </x:c>
    </x:row>
    <x:row r="1184" ht="18" customHeight="1">
      <x:c r="A1184" s="2" t="str">
        <x:v>legacy_n6_13</x:v>
      </x:c>
      <x:c r="B1184" s="2" t="str">
        <x:v>QAOA</x:v>
      </x:c>
      <x:c r="C1184" s="2" t="n">
        <x:v>2026</x:v>
      </x:c>
      <x:c r="D1184" s="2" t="str">
        <x:v>success</x:v>
      </x:c>
      <x:c r="E1184" s="2" t="n">
        <x:v>5</x:v>
      </x:c>
      <x:c r="F1184" s="7" t="n">
        <x:v>77.8409090909091</x:v>
      </x:c>
      <x:c r="G1184" s="7" t="n">
        <x:v>67.0529411764706</x:v>
      </x:c>
      <x:c r="H1184" s="7" t="n">
        <x:f>IF(F1184=0,"n.a.",100*(F1184-G1184)/F1184)</x:f>
        <x:v>13.858995276942885</x:v>
      </x:c>
      <x:c r="I1184" s="7" t="n">
        <x:f>F1184-G1184</x:f>
        <x:v>10.787967914438497</x:v>
      </x:c>
      <x:c r="J1184" s="8" t="n">
        <x:v>0.601514966640689</x:v>
      </x:c>
      <x:c r="K1184" s="8" t="n">
        <x:v>0.601514966640689</x:v>
      </x:c>
      <x:c r="L1184" s="8" t="n">
        <x:v>0</x:v>
      </x:c>
      <x:c r="M1184" s="7" t="n">
        <x:v>191.8232000025455</x:v>
      </x:c>
      <x:c r="N1184" s="2" t="str">
        <x:v>qiskit.primitives.StatevectorSampler</x:v>
      </x:c>
      <x:c r="O1184" s="9" t="str">
        <x:v>10010</x:v>
      </x:c>
    </x:row>
    <x:row r="1185" ht="18" customHeight="1">
      <x:c r="A1185" s="2" t="str">
        <x:v>legacy_n6_14</x:v>
      </x:c>
      <x:c r="B1185" s="2" t="str">
        <x:v>Unmanaged</x:v>
      </x:c>
      <x:c r="C1185" s="2"/>
      <x:c r="D1185" s="2" t="str">
        <x:v>baseline</x:v>
      </x:c>
      <x:c r="E1185" s="2" t="n">
        <x:v>10</x:v>
      </x:c>
      <x:c r="F1185" s="7" t="n">
        <x:v>84.38947368421054</x:v>
      </x:c>
      <x:c r="G1185" s="7" t="n">
        <x:v>84.38947368421054</x:v>
      </x:c>
      <x:c r="H1185" s="7" t="n">
        <x:f>IF(F1185=0,"n.a.",100*(F1185-G1185)/F1185)</x:f>
        <x:v>0</x:v>
      </x:c>
      <x:c r="I1185" s="7" t="n">
        <x:f>F1185-G1185</x:f>
        <x:v>0</x:v>
      </x:c>
      <x:c r="J1185" s="8"/>
      <x:c r="K1185" s="8" t="n">
        <x:v>0.40383144947544247</x:v>
      </x:c>
      <x:c r="L1185" s="8"/>
      <x:c r="M1185" s="7"/>
      <x:c r="N1185" s="2" t="str">
        <x:v>unmanaged_input</x:v>
      </x:c>
      <x:c r="O1185" s="9"/>
    </x:row>
    <x:row r="1186" ht="18" customHeight="1">
      <x:c r="A1186" s="2" t="str">
        <x:v>legacy_n6_14</x:v>
      </x:c>
      <x:c r="B1186" s="2" t="str">
        <x:v>Exact J</x:v>
      </x:c>
      <x:c r="C1186" s="2"/>
      <x:c r="D1186" s="2" t="str">
        <x:v>success</x:v>
      </x:c>
      <x:c r="E1186" s="2" t="n">
        <x:v>10</x:v>
      </x:c>
      <x:c r="F1186" s="7" t="n">
        <x:v>84.38947368421054</x:v>
      </x:c>
      <x:c r="G1186" s="7" t="n">
        <x:v>68.60000000000001</x:v>
      </x:c>
      <x:c r="H1186" s="7" t="n">
        <x:f>IF(F1186=0,"n.a.",100*(F1186-G1186)/F1186)</x:f>
        <x:v>18.71024073843084</x:v>
      </x:c>
      <x:c r="I1186" s="7" t="n">
        <x:f>F1186-G1186</x:f>
        <x:v>15.789473684210535</x:v>
      </x:c>
      <x:c r="J1186" s="8" t="n">
        <x:v>0.40383144947544247</x:v>
      </x:c>
      <x:c r="K1186" s="8" t="n">
        <x:v>0.40383144947544247</x:v>
      </x:c>
      <x:c r="L1186" s="8" t="n">
        <x:v>0</x:v>
      </x:c>
      <x:c r="M1186" s="7"/>
      <x:c r="N1186" s="2" t="str">
        <x:v>exhaustive_enumeration</x:v>
      </x:c>
      <x:c r="O1186" s="9" t="str">
        <x:v>0011101101</x:v>
      </x:c>
    </x:row>
    <x:row r="1187" ht="18" customHeight="1">
      <x:c r="A1187" s="2" t="str">
        <x:v>legacy_n6_14</x:v>
      </x:c>
      <x:c r="B1187" s="2" t="str">
        <x:v>Exact peak</x:v>
      </x:c>
      <x:c r="C1187" s="2"/>
      <x:c r="D1187" s="2" t="str">
        <x:v>success</x:v>
      </x:c>
      <x:c r="E1187" s="2" t="n">
        <x:v>10</x:v>
      </x:c>
      <x:c r="F1187" s="7" t="n">
        <x:v>84.38947368421054</x:v>
      </x:c>
      <x:c r="G1187" s="7" t="n">
        <x:v>68.60000000000001</x:v>
      </x:c>
      <x:c r="H1187" s="7" t="n">
        <x:f>IF(F1187=0,"n.a.",100*(F1187-G1187)/F1187)</x:f>
        <x:v>18.71024073843084</x:v>
      </x:c>
      <x:c r="I1187" s="7" t="n">
        <x:f>F1187-G1187</x:f>
        <x:v>15.789473684210535</x:v>
      </x:c>
      <x:c r="J1187" s="8" t="n">
        <x:v>0.40383144947544247</x:v>
      </x:c>
      <x:c r="K1187" s="8" t="n">
        <x:v>0.40383144947544247</x:v>
      </x:c>
      <x:c r="L1187" s="8" t="n">
        <x:v>0</x:v>
      </x:c>
      <x:c r="M1187" s="7"/>
      <x:c r="N1187" s="2" t="str">
        <x:v>exhaustive_enumeration</x:v>
      </x:c>
      <x:c r="O1187" s="9" t="str">
        <x:v>0011101101</x:v>
      </x:c>
    </x:row>
    <x:row r="1188" ht="18" customHeight="1">
      <x:c r="A1188" s="2" t="str">
        <x:v>legacy_n6_14</x:v>
      </x:c>
      <x:c r="B1188" s="2" t="str">
        <x:v>BPSO</x:v>
      </x:c>
      <x:c r="C1188" s="2" t="n">
        <x:v>42</x:v>
      </x:c>
      <x:c r="D1188" s="2" t="str">
        <x:v>success</x:v>
      </x:c>
      <x:c r="E1188" s="2" t="n">
        <x:v>10</x:v>
      </x:c>
      <x:c r="F1188" s="7" t="n">
        <x:v>84.38947368421054</x:v>
      </x:c>
      <x:c r="G1188" s="7" t="n">
        <x:v>68.60000000000001</x:v>
      </x:c>
      <x:c r="H1188" s="7" t="n">
        <x:f>IF(F1188=0,"n.a.",100*(F1188-G1188)/F1188)</x:f>
        <x:v>18.71024073843084</x:v>
      </x:c>
      <x:c r="I1188" s="7" t="n">
        <x:f>F1188-G1188</x:f>
        <x:v>15.789473684210535</x:v>
      </x:c>
      <x:c r="J1188" s="8" t="n">
        <x:v>0.40383144947544247</x:v>
      </x:c>
      <x:c r="K1188" s="8" t="n">
        <x:v>0.40383144947544247</x:v>
      </x:c>
      <x:c r="L1188" s="8" t="n">
        <x:v>0</x:v>
      </x:c>
      <x:c r="M1188" s="7" t="n">
        <x:v>20.707599993329495</x:v>
      </x:c>
      <x:c r="N1188" s="2" t="str">
        <x:v>repository_particle_dynamics_on_frozen_qubo</x:v>
      </x:c>
      <x:c r="O1188" s="9" t="str">
        <x:v>0110110101</x:v>
      </x:c>
    </x:row>
    <x:row r="1189" ht="18" customHeight="1">
      <x:c r="A1189" s="2" t="str">
        <x:v>legacy_n6_14</x:v>
      </x:c>
      <x:c r="B1189" s="2" t="str">
        <x:v>QAOA</x:v>
      </x:c>
      <x:c r="C1189" s="2" t="n">
        <x:v>42</x:v>
      </x:c>
      <x:c r="D1189" s="2" t="str">
        <x:v>success</x:v>
      </x:c>
      <x:c r="E1189" s="2" t="n">
        <x:v>10</x:v>
      </x:c>
      <x:c r="F1189" s="7" t="n">
        <x:v>84.38947368421054</x:v>
      </x:c>
      <x:c r="G1189" s="7" t="n">
        <x:v>68.60000000000001</x:v>
      </x:c>
      <x:c r="H1189" s="7" t="n">
        <x:f>IF(F1189=0,"n.a.",100*(F1189-G1189)/F1189)</x:f>
        <x:v>18.71024073843084</x:v>
      </x:c>
      <x:c r="I1189" s="7" t="n">
        <x:f>F1189-G1189</x:f>
        <x:v>15.789473684210535</x:v>
      </x:c>
      <x:c r="J1189" s="8" t="n">
        <x:v>0.4038314494754428</x:v>
      </x:c>
      <x:c r="K1189" s="8" t="n">
        <x:v>0.40383144947544247</x:v>
      </x:c>
      <x:c r="L1189" s="8" t="n">
        <x:v>3.3306690738754696e-16</x:v>
      </x:c>
      <x:c r="M1189" s="7" t="n">
        <x:v>729.6324999915669</x:v>
      </x:c>
      <x:c r="N1189" s="2" t="str">
        <x:v>qiskit.primitives.StatevectorSampler</x:v>
      </x:c>
      <x:c r="O1189" s="9" t="str">
        <x:v>1100110110</x:v>
      </x:c>
    </x:row>
    <x:row r="1190" ht="18" customHeight="1">
      <x:c r="A1190" s="2" t="str">
        <x:v>legacy_n6_14</x:v>
      </x:c>
      <x:c r="B1190" s="2" t="str">
        <x:v>BPSO</x:v>
      </x:c>
      <x:c r="C1190" s="2" t="n">
        <x:v>123</x:v>
      </x:c>
      <x:c r="D1190" s="2" t="str">
        <x:v>success</x:v>
      </x:c>
      <x:c r="E1190" s="2" t="n">
        <x:v>10</x:v>
      </x:c>
      <x:c r="F1190" s="7" t="n">
        <x:v>84.38947368421054</x:v>
      </x:c>
      <x:c r="G1190" s="7" t="n">
        <x:v>68.60000000000001</x:v>
      </x:c>
      <x:c r="H1190" s="7" t="n">
        <x:f>IF(F1190=0,"n.a.",100*(F1190-G1190)/F1190)</x:f>
        <x:v>18.71024073843084</x:v>
      </x:c>
      <x:c r="I1190" s="7" t="n">
        <x:f>F1190-G1190</x:f>
        <x:v>15.789473684210535</x:v>
      </x:c>
      <x:c r="J1190" s="8" t="n">
        <x:v>0.40383144947544247</x:v>
      </x:c>
      <x:c r="K1190" s="8" t="n">
        <x:v>0.40383144947544247</x:v>
      </x:c>
      <x:c r="L1190" s="8" t="n">
        <x:v>0</x:v>
      </x:c>
      <x:c r="M1190" s="7" t="n">
        <x:v>21.675099997082725</x:v>
      </x:c>
      <x:c r="N1190" s="2" t="str">
        <x:v>repository_particle_dynamics_on_frozen_qubo</x:v>
      </x:c>
      <x:c r="O1190" s="9" t="str">
        <x:v>1001110110</x:v>
      </x:c>
    </x:row>
    <x:row r="1191" ht="18" customHeight="1">
      <x:c r="A1191" s="2" t="str">
        <x:v>legacy_n6_14</x:v>
      </x:c>
      <x:c r="B1191" s="2" t="str">
        <x:v>QAOA</x:v>
      </x:c>
      <x:c r="C1191" s="2" t="n">
        <x:v>123</x:v>
      </x:c>
      <x:c r="D1191" s="2" t="str">
        <x:v>success</x:v>
      </x:c>
      <x:c r="E1191" s="2" t="n">
        <x:v>10</x:v>
      </x:c>
      <x:c r="F1191" s="7" t="n">
        <x:v>84.38947368421054</x:v>
      </x:c>
      <x:c r="G1191" s="7" t="n">
        <x:v>68.60000000000001</x:v>
      </x:c>
      <x:c r="H1191" s="7" t="n">
        <x:f>IF(F1191=0,"n.a.",100*(F1191-G1191)/F1191)</x:f>
        <x:v>18.71024073843084</x:v>
      </x:c>
      <x:c r="I1191" s="7" t="n">
        <x:f>F1191-G1191</x:f>
        <x:v>15.789473684210535</x:v>
      </x:c>
      <x:c r="J1191" s="8" t="n">
        <x:v>0.4038314494754428</x:v>
      </x:c>
      <x:c r="K1191" s="8" t="n">
        <x:v>0.40383144947544247</x:v>
      </x:c>
      <x:c r="L1191" s="8" t="n">
        <x:v>3.3306690738754696e-16</x:v>
      </x:c>
      <x:c r="M1191" s="7" t="n">
        <x:v>741.9475000060629</x:v>
      </x:c>
      <x:c r="N1191" s="2" t="str">
        <x:v>qiskit.primitives.StatevectorSampler</x:v>
      </x:c>
      <x:c r="O1191" s="9" t="str">
        <x:v>0011111001</x:v>
      </x:c>
    </x:row>
    <x:row r="1192" ht="18" customHeight="1">
      <x:c r="A1192" s="2" t="str">
        <x:v>legacy_n6_14</x:v>
      </x:c>
      <x:c r="B1192" s="2" t="str">
        <x:v>BPSO</x:v>
      </x:c>
      <x:c r="C1192" s="2" t="n">
        <x:v>456</x:v>
      </x:c>
      <x:c r="D1192" s="2" t="str">
        <x:v>success</x:v>
      </x:c>
      <x:c r="E1192" s="2" t="n">
        <x:v>10</x:v>
      </x:c>
      <x:c r="F1192" s="7" t="n">
        <x:v>84.38947368421054</x:v>
      </x:c>
      <x:c r="G1192" s="7" t="n">
        <x:v>68.60000000000001</x:v>
      </x:c>
      <x:c r="H1192" s="7" t="n">
        <x:f>IF(F1192=0,"n.a.",100*(F1192-G1192)/F1192)</x:f>
        <x:v>18.71024073843084</x:v>
      </x:c>
      <x:c r="I1192" s="7" t="n">
        <x:f>F1192-G1192</x:f>
        <x:v>15.789473684210535</x:v>
      </x:c>
      <x:c r="J1192" s="8" t="n">
        <x:v>0.40383144947544247</x:v>
      </x:c>
      <x:c r="K1192" s="8" t="n">
        <x:v>0.40383144947544247</x:v>
      </x:c>
      <x:c r="L1192" s="8" t="n">
        <x:v>0</x:v>
      </x:c>
      <x:c r="M1192" s="7" t="n">
        <x:v>30.164200012222864</x:v>
      </x:c>
      <x:c r="N1192" s="2" t="str">
        <x:v>repository_particle_dynamics_on_frozen_qubo</x:v>
      </x:c>
      <x:c r="O1192" s="9" t="str">
        <x:v>1101001110</x:v>
      </x:c>
    </x:row>
    <x:row r="1193" ht="18" customHeight="1">
      <x:c r="A1193" s="2" t="str">
        <x:v>legacy_n6_14</x:v>
      </x:c>
      <x:c r="B1193" s="2" t="str">
        <x:v>QAOA</x:v>
      </x:c>
      <x:c r="C1193" s="2" t="n">
        <x:v>456</x:v>
      </x:c>
      <x:c r="D1193" s="2" t="str">
        <x:v>success</x:v>
      </x:c>
      <x:c r="E1193" s="2" t="n">
        <x:v>10</x:v>
      </x:c>
      <x:c r="F1193" s="7" t="n">
        <x:v>84.38947368421054</x:v>
      </x:c>
      <x:c r="G1193" s="7" t="n">
        <x:v>68.60000000000001</x:v>
      </x:c>
      <x:c r="H1193" s="7" t="n">
        <x:f>IF(F1193=0,"n.a.",100*(F1193-G1193)/F1193)</x:f>
        <x:v>18.71024073843084</x:v>
      </x:c>
      <x:c r="I1193" s="7" t="n">
        <x:f>F1193-G1193</x:f>
        <x:v>15.789473684210535</x:v>
      </x:c>
      <x:c r="J1193" s="8" t="n">
        <x:v>0.4038314494754428</x:v>
      </x:c>
      <x:c r="K1193" s="8" t="n">
        <x:v>0.40383144947544247</x:v>
      </x:c>
      <x:c r="L1193" s="8" t="n">
        <x:v>3.3306690738754696e-16</x:v>
      </x:c>
      <x:c r="M1193" s="7" t="n">
        <x:v>821.2969000014709</x:v>
      </x:c>
      <x:c r="N1193" s="2" t="str">
        <x:v>qiskit.primitives.StatevectorSampler</x:v>
      </x:c>
      <x:c r="O1193" s="9" t="str">
        <x:v>0101101110</x:v>
      </x:c>
    </x:row>
    <x:row r="1194" ht="18" customHeight="1">
      <x:c r="A1194" s="2" t="str">
        <x:v>legacy_n6_14</x:v>
      </x:c>
      <x:c r="B1194" s="2" t="str">
        <x:v>BPSO</x:v>
      </x:c>
      <x:c r="C1194" s="2" t="n">
        <x:v>789</x:v>
      </x:c>
      <x:c r="D1194" s="2" t="str">
        <x:v>success</x:v>
      </x:c>
      <x:c r="E1194" s="2" t="n">
        <x:v>10</x:v>
      </x:c>
      <x:c r="F1194" s="7" t="n">
        <x:v>84.38947368421054</x:v>
      </x:c>
      <x:c r="G1194" s="7" t="n">
        <x:v>68.60000000000001</x:v>
      </x:c>
      <x:c r="H1194" s="7" t="n">
        <x:f>IF(F1194=0,"n.a.",100*(F1194-G1194)/F1194)</x:f>
        <x:v>18.71024073843084</x:v>
      </x:c>
      <x:c r="I1194" s="7" t="n">
        <x:f>F1194-G1194</x:f>
        <x:v>15.789473684210535</x:v>
      </x:c>
      <x:c r="J1194" s="8" t="n">
        <x:v>0.40383144947544247</x:v>
      </x:c>
      <x:c r="K1194" s="8" t="n">
        <x:v>0.40383144947544247</x:v>
      </x:c>
      <x:c r="L1194" s="8" t="n">
        <x:v>0</x:v>
      </x:c>
      <x:c r="M1194" s="7" t="n">
        <x:v>21.251300000585616</x:v>
      </x:c>
      <x:c r="N1194" s="2" t="str">
        <x:v>repository_particle_dynamics_on_frozen_qubo</x:v>
      </x:c>
      <x:c r="O1194" s="9" t="str">
        <x:v>0110110101</x:v>
      </x:c>
    </x:row>
    <x:row r="1195" ht="18" customHeight="1">
      <x:c r="A1195" s="2" t="str">
        <x:v>legacy_n6_14</x:v>
      </x:c>
      <x:c r="B1195" s="2" t="str">
        <x:v>QAOA</x:v>
      </x:c>
      <x:c r="C1195" s="2" t="n">
        <x:v>789</x:v>
      </x:c>
      <x:c r="D1195" s="2" t="str">
        <x:v>success</x:v>
      </x:c>
      <x:c r="E1195" s="2" t="n">
        <x:v>10</x:v>
      </x:c>
      <x:c r="F1195" s="7" t="n">
        <x:v>84.38947368421054</x:v>
      </x:c>
      <x:c r="G1195" s="7" t="n">
        <x:v>68.60000000000001</x:v>
      </x:c>
      <x:c r="H1195" s="7" t="n">
        <x:f>IF(F1195=0,"n.a.",100*(F1195-G1195)/F1195)</x:f>
        <x:v>18.71024073843084</x:v>
      </x:c>
      <x:c r="I1195" s="7" t="n">
        <x:f>F1195-G1195</x:f>
        <x:v>15.789473684210535</x:v>
      </x:c>
      <x:c r="J1195" s="8" t="n">
        <x:v>0.4038314494754428</x:v>
      </x:c>
      <x:c r="K1195" s="8" t="n">
        <x:v>0.40383144947544247</x:v>
      </x:c>
      <x:c r="L1195" s="8" t="n">
        <x:v>3.3306690738754696e-16</x:v>
      </x:c>
      <x:c r="M1195" s="7" t="n">
        <x:v>730.1435999979731</x:v>
      </x:c>
      <x:c r="N1195" s="2" t="str">
        <x:v>qiskit.primitives.StatevectorSampler</x:v>
      </x:c>
      <x:c r="O1195" s="9" t="str">
        <x:v>1010101101</x:v>
      </x:c>
    </x:row>
    <x:row r="1196" ht="18" customHeight="1">
      <x:c r="A1196" s="2" t="str">
        <x:v>legacy_n6_14</x:v>
      </x:c>
      <x:c r="B1196" s="2" t="str">
        <x:v>BPSO</x:v>
      </x:c>
      <x:c r="C1196" s="2" t="n">
        <x:v>2026</x:v>
      </x:c>
      <x:c r="D1196" s="2" t="str">
        <x:v>success</x:v>
      </x:c>
      <x:c r="E1196" s="2" t="n">
        <x:v>10</x:v>
      </x:c>
      <x:c r="F1196" s="7" t="n">
        <x:v>84.38947368421054</x:v>
      </x:c>
      <x:c r="G1196" s="7" t="n">
        <x:v>68.60000000000001</x:v>
      </x:c>
      <x:c r="H1196" s="7" t="n">
        <x:f>IF(F1196=0,"n.a.",100*(F1196-G1196)/F1196)</x:f>
        <x:v>18.71024073843084</x:v>
      </x:c>
      <x:c r="I1196" s="7" t="n">
        <x:f>F1196-G1196</x:f>
        <x:v>15.789473684210535</x:v>
      </x:c>
      <x:c r="J1196" s="8" t="n">
        <x:v>0.40383144947544247</x:v>
      </x:c>
      <x:c r="K1196" s="8" t="n">
        <x:v>0.40383144947544247</x:v>
      </x:c>
      <x:c r="L1196" s="8" t="n">
        <x:v>0</x:v>
      </x:c>
      <x:c r="M1196" s="7" t="n">
        <x:v>21.471900006872602</x:v>
      </x:c>
      <x:c r="N1196" s="2" t="str">
        <x:v>repository_particle_dynamics_on_frozen_qubo</x:v>
      </x:c>
      <x:c r="O1196" s="9" t="str">
        <x:v>1010101110</x:v>
      </x:c>
    </x:row>
    <x:row r="1197" ht="18" customHeight="1">
      <x:c r="A1197" s="2" t="str">
        <x:v>legacy_n6_14</x:v>
      </x:c>
      <x:c r="B1197" s="2" t="str">
        <x:v>QAOA</x:v>
      </x:c>
      <x:c r="C1197" s="2" t="n">
        <x:v>2026</x:v>
      </x:c>
      <x:c r="D1197" s="2" t="str">
        <x:v>success</x:v>
      </x:c>
      <x:c r="E1197" s="2" t="n">
        <x:v>10</x:v>
      </x:c>
      <x:c r="F1197" s="7" t="n">
        <x:v>84.38947368421054</x:v>
      </x:c>
      <x:c r="G1197" s="7" t="n">
        <x:v>68.60000000000001</x:v>
      </x:c>
      <x:c r="H1197" s="7" t="n">
        <x:f>IF(F1197=0,"n.a.",100*(F1197-G1197)/F1197)</x:f>
        <x:v>18.71024073843084</x:v>
      </x:c>
      <x:c r="I1197" s="7" t="n">
        <x:f>F1197-G1197</x:f>
        <x:v>15.789473684210535</x:v>
      </x:c>
      <x:c r="J1197" s="8" t="n">
        <x:v>0.4038314494754428</x:v>
      </x:c>
      <x:c r="K1197" s="8" t="n">
        <x:v>0.40383144947544247</x:v>
      </x:c>
      <x:c r="L1197" s="8" t="n">
        <x:v>3.3306690738754696e-16</x:v>
      </x:c>
      <x:c r="M1197" s="7" t="n">
        <x:v>823.0095000035362</x:v>
      </x:c>
      <x:c r="N1197" s="2" t="str">
        <x:v>qiskit.primitives.StatevectorSampler</x:v>
      </x:c>
      <x:c r="O1197" s="9" t="str">
        <x:v>0111010110</x:v>
      </x:c>
    </x:row>
    <x:row r="1198" ht="18" customHeight="1">
      <x:c r="A1198" s="2" t="str">
        <x:v>legacy_n6_15</x:v>
      </x:c>
      <x:c r="B1198" s="2" t="str">
        <x:v>Unmanaged</x:v>
      </x:c>
      <x:c r="C1198" s="2"/>
      <x:c r="D1198" s="2" t="str">
        <x:v>baseline</x:v>
      </x:c>
      <x:c r="E1198" s="2" t="n">
        <x:v>4</x:v>
      </x:c>
      <x:c r="F1198" s="7" t="n">
        <x:v>78.51764705882353</x:v>
      </x:c>
      <x:c r="G1198" s="7" t="n">
        <x:v>78.51764705882353</x:v>
      </x:c>
      <x:c r="H1198" s="7" t="n">
        <x:f>IF(F1198=0,"n.a.",100*(F1198-G1198)/F1198)</x:f>
        <x:v>0</x:v>
      </x:c>
      <x:c r="I1198" s="7" t="n">
        <x:f>F1198-G1198</x:f>
        <x:v>0</x:v>
      </x:c>
      <x:c r="J1198" s="8"/>
      <x:c r="K1198" s="8" t="n">
        <x:v>0.41251978973283215</x:v>
      </x:c>
      <x:c r="L1198" s="8"/>
      <x:c r="M1198" s="7"/>
      <x:c r="N1198" s="2" t="str">
        <x:v>unmanaged_input</x:v>
      </x:c>
      <x:c r="O1198" s="9"/>
    </x:row>
    <x:row r="1199" ht="18" customHeight="1">
      <x:c r="A1199" s="2" t="str">
        <x:v>legacy_n6_15</x:v>
      </x:c>
      <x:c r="B1199" s="2" t="str">
        <x:v>Exact J</x:v>
      </x:c>
      <x:c r="C1199" s="2"/>
      <x:c r="D1199" s="2" t="str">
        <x:v>success</x:v>
      </x:c>
      <x:c r="E1199" s="2" t="n">
        <x:v>4</x:v>
      </x:c>
      <x:c r="F1199" s="7" t="n">
        <x:v>78.51764705882353</x:v>
      </x:c>
      <x:c r="G1199" s="7" t="n">
        <x:v>58.7125</x:v>
      </x:c>
      <x:c r="H1199" s="7" t="n">
        <x:f>IF(F1199=0,"n.a.",100*(F1199-G1199)/F1199)</x:f>
        <x:v>25.223816302067725</x:v>
      </x:c>
      <x:c r="I1199" s="7" t="n">
        <x:f>F1199-G1199</x:f>
        <x:v>19.80514705882353</x:v>
      </x:c>
      <x:c r="J1199" s="8" t="n">
        <x:v>0.41251978973283215</x:v>
      </x:c>
      <x:c r="K1199" s="8" t="n">
        <x:v>0.41251978973283215</x:v>
      </x:c>
      <x:c r="L1199" s="8" t="n">
        <x:v>0</x:v>
      </x:c>
      <x:c r="M1199" s="7"/>
      <x:c r="N1199" s="2" t="str">
        <x:v>exhaustive_enumeration</x:v>
      </x:c>
      <x:c r="O1199" s="9" t="str">
        <x:v>0011</x:v>
      </x:c>
    </x:row>
    <x:row r="1200" ht="18" customHeight="1">
      <x:c r="A1200" s="2" t="str">
        <x:v>legacy_n6_15</x:v>
      </x:c>
      <x:c r="B1200" s="2" t="str">
        <x:v>Exact peak</x:v>
      </x:c>
      <x:c r="C1200" s="2"/>
      <x:c r="D1200" s="2" t="str">
        <x:v>success</x:v>
      </x:c>
      <x:c r="E1200" s="2" t="n">
        <x:v>4</x:v>
      </x:c>
      <x:c r="F1200" s="7" t="n">
        <x:v>78.51764705882353</x:v>
      </x:c>
      <x:c r="G1200" s="7" t="n">
        <x:v>58.7125</x:v>
      </x:c>
      <x:c r="H1200" s="7" t="n">
        <x:f>IF(F1200=0,"n.a.",100*(F1200-G1200)/F1200)</x:f>
        <x:v>25.223816302067725</x:v>
      </x:c>
      <x:c r="I1200" s="7" t="n">
        <x:f>F1200-G1200</x:f>
        <x:v>19.80514705882353</x:v>
      </x:c>
      <x:c r="J1200" s="8" t="n">
        <x:v>0.41251978973283215</x:v>
      </x:c>
      <x:c r="K1200" s="8" t="n">
        <x:v>0.41251978973283215</x:v>
      </x:c>
      <x:c r="L1200" s="8" t="n">
        <x:v>0</x:v>
      </x:c>
      <x:c r="M1200" s="7"/>
      <x:c r="N1200" s="2" t="str">
        <x:v>exhaustive_enumeration</x:v>
      </x:c>
      <x:c r="O1200" s="9" t="str">
        <x:v>0011</x:v>
      </x:c>
    </x:row>
    <x:row r="1201" ht="18" customHeight="1">
      <x:c r="A1201" s="2" t="str">
        <x:v>legacy_n6_15</x:v>
      </x:c>
      <x:c r="B1201" s="2" t="str">
        <x:v>BPSO</x:v>
      </x:c>
      <x:c r="C1201" s="2" t="n">
        <x:v>42</x:v>
      </x:c>
      <x:c r="D1201" s="2" t="str">
        <x:v>success</x:v>
      </x:c>
      <x:c r="E1201" s="2" t="n">
        <x:v>4</x:v>
      </x:c>
      <x:c r="F1201" s="7" t="n">
        <x:v>78.51764705882353</x:v>
      </x:c>
      <x:c r="G1201" s="7" t="n">
        <x:v>58.7125</x:v>
      </x:c>
      <x:c r="H1201" s="7" t="n">
        <x:f>IF(F1201=0,"n.a.",100*(F1201-G1201)/F1201)</x:f>
        <x:v>25.223816302067725</x:v>
      </x:c>
      <x:c r="I1201" s="7" t="n">
        <x:f>F1201-G1201</x:f>
        <x:v>19.80514705882353</x:v>
      </x:c>
      <x:c r="J1201" s="8" t="n">
        <x:v>0.41251978973283215</x:v>
      </x:c>
      <x:c r="K1201" s="8" t="n">
        <x:v>0.41251978973283215</x:v>
      </x:c>
      <x:c r="L1201" s="8" t="n">
        <x:v>0</x:v>
      </x:c>
      <x:c r="M1201" s="7" t="n">
        <x:v>15.435499997693114</x:v>
      </x:c>
      <x:c r="N1201" s="2" t="str">
        <x:v>repository_particle_dynamics_on_frozen_qubo</x:v>
      </x:c>
      <x:c r="O1201" s="9" t="str">
        <x:v>0110</x:v>
      </x:c>
    </x:row>
    <x:row r="1202" ht="18" customHeight="1">
      <x:c r="A1202" s="2" t="str">
        <x:v>legacy_n6_15</x:v>
      </x:c>
      <x:c r="B1202" s="2" t="str">
        <x:v>QAOA</x:v>
      </x:c>
      <x:c r="C1202" s="2" t="n">
        <x:v>42</x:v>
      </x:c>
      <x:c r="D1202" s="2" t="str">
        <x:v>success</x:v>
      </x:c>
      <x:c r="E1202" s="2" t="n">
        <x:v>4</x:v>
      </x:c>
      <x:c r="F1202" s="7" t="n">
        <x:v>78.51764705882353</x:v>
      </x:c>
      <x:c r="G1202" s="7" t="n">
        <x:v>58.7125</x:v>
      </x:c>
      <x:c r="H1202" s="7" t="n">
        <x:f>IF(F1202=0,"n.a.",100*(F1202-G1202)/F1202)</x:f>
        <x:v>25.223816302067725</x:v>
      </x:c>
      <x:c r="I1202" s="7" t="n">
        <x:f>F1202-G1202</x:f>
        <x:v>19.80514705882353</x:v>
      </x:c>
      <x:c r="J1202" s="8" t="n">
        <x:v>0.41251978973283215</x:v>
      </x:c>
      <x:c r="K1202" s="8" t="n">
        <x:v>0.41251978973283215</x:v>
      </x:c>
      <x:c r="L1202" s="8" t="n">
        <x:v>0</x:v>
      </x:c>
      <x:c r="M1202" s="7" t="n">
        <x:v>188.47660000028554</x:v>
      </x:c>
      <x:c r="N1202" s="2" t="str">
        <x:v>qiskit.primitives.StatevectorSampler</x:v>
      </x:c>
      <x:c r="O1202" s="9" t="str">
        <x:v>0011</x:v>
      </x:c>
    </x:row>
    <x:row r="1203" ht="18" customHeight="1">
      <x:c r="A1203" s="2" t="str">
        <x:v>legacy_n6_15</x:v>
      </x:c>
      <x:c r="B1203" s="2" t="str">
        <x:v>BPSO</x:v>
      </x:c>
      <x:c r="C1203" s="2" t="n">
        <x:v>123</x:v>
      </x:c>
      <x:c r="D1203" s="2" t="str">
        <x:v>success</x:v>
      </x:c>
      <x:c r="E1203" s="2" t="n">
        <x:v>4</x:v>
      </x:c>
      <x:c r="F1203" s="7" t="n">
        <x:v>78.51764705882353</x:v>
      </x:c>
      <x:c r="G1203" s="7" t="n">
        <x:v>58.7125</x:v>
      </x:c>
      <x:c r="H1203" s="7" t="n">
        <x:f>IF(F1203=0,"n.a.",100*(F1203-G1203)/F1203)</x:f>
        <x:v>25.223816302067725</x:v>
      </x:c>
      <x:c r="I1203" s="7" t="n">
        <x:f>F1203-G1203</x:f>
        <x:v>19.80514705882353</x:v>
      </x:c>
      <x:c r="J1203" s="8" t="n">
        <x:v>0.41251978973283215</x:v>
      </x:c>
      <x:c r="K1203" s="8" t="n">
        <x:v>0.41251978973283215</x:v>
      </x:c>
      <x:c r="L1203" s="8" t="n">
        <x:v>0</x:v>
      </x:c>
      <x:c r="M1203" s="7" t="n">
        <x:v>14.906699987477623</x:v>
      </x:c>
      <x:c r="N1203" s="2" t="str">
        <x:v>repository_particle_dynamics_on_frozen_qubo</x:v>
      </x:c>
      <x:c r="O1203" s="9" t="str">
        <x:v>0110</x:v>
      </x:c>
    </x:row>
    <x:row r="1204" ht="18" customHeight="1">
      <x:c r="A1204" s="2" t="str">
        <x:v>legacy_n6_15</x:v>
      </x:c>
      <x:c r="B1204" s="2" t="str">
        <x:v>QAOA</x:v>
      </x:c>
      <x:c r="C1204" s="2" t="n">
        <x:v>123</x:v>
      </x:c>
      <x:c r="D1204" s="2" t="str">
        <x:v>success</x:v>
      </x:c>
      <x:c r="E1204" s="2" t="n">
        <x:v>4</x:v>
      </x:c>
      <x:c r="F1204" s="7" t="n">
        <x:v>78.51764705882353</x:v>
      </x:c>
      <x:c r="G1204" s="7" t="n">
        <x:v>58.7125</x:v>
      </x:c>
      <x:c r="H1204" s="7" t="n">
        <x:f>IF(F1204=0,"n.a.",100*(F1204-G1204)/F1204)</x:f>
        <x:v>25.223816302067725</x:v>
      </x:c>
      <x:c r="I1204" s="7" t="n">
        <x:f>F1204-G1204</x:f>
        <x:v>19.80514705882353</x:v>
      </x:c>
      <x:c r="J1204" s="8" t="n">
        <x:v>0.41251978973283215</x:v>
      </x:c>
      <x:c r="K1204" s="8" t="n">
        <x:v>0.41251978973283215</x:v>
      </x:c>
      <x:c r="L1204" s="8" t="n">
        <x:v>0</x:v>
      </x:c>
      <x:c r="M1204" s="7" t="n">
        <x:v>211.02139999857172</x:v>
      </x:c>
      <x:c r="N1204" s="2" t="str">
        <x:v>qiskit.primitives.StatevectorSampler</x:v>
      </x:c>
      <x:c r="O1204" s="9" t="str">
        <x:v>0101</x:v>
      </x:c>
    </x:row>
    <x:row r="1205" ht="18" customHeight="1">
      <x:c r="A1205" s="2" t="str">
        <x:v>legacy_n6_15</x:v>
      </x:c>
      <x:c r="B1205" s="2" t="str">
        <x:v>BPSO</x:v>
      </x:c>
      <x:c r="C1205" s="2" t="n">
        <x:v>456</x:v>
      </x:c>
      <x:c r="D1205" s="2" t="str">
        <x:v>success</x:v>
      </x:c>
      <x:c r="E1205" s="2" t="n">
        <x:v>4</x:v>
      </x:c>
      <x:c r="F1205" s="7" t="n">
        <x:v>78.51764705882353</x:v>
      </x:c>
      <x:c r="G1205" s="7" t="n">
        <x:v>58.7125</x:v>
      </x:c>
      <x:c r="H1205" s="7" t="n">
        <x:f>IF(F1205=0,"n.a.",100*(F1205-G1205)/F1205)</x:f>
        <x:v>25.223816302067725</x:v>
      </x:c>
      <x:c r="I1205" s="7" t="n">
        <x:f>F1205-G1205</x:f>
        <x:v>19.80514705882353</x:v>
      </x:c>
      <x:c r="J1205" s="8" t="n">
        <x:v>0.41251978973283215</x:v>
      </x:c>
      <x:c r="K1205" s="8" t="n">
        <x:v>0.41251978973283215</x:v>
      </x:c>
      <x:c r="L1205" s="8" t="n">
        <x:v>0</x:v>
      </x:c>
      <x:c r="M1205" s="7" t="n">
        <x:v>14.860099996440113</x:v>
      </x:c>
      <x:c r="N1205" s="2" t="str">
        <x:v>repository_particle_dynamics_on_frozen_qubo</x:v>
      </x:c>
      <x:c r="O1205" s="9" t="str">
        <x:v>0101</x:v>
      </x:c>
    </x:row>
    <x:row r="1206" ht="18" customHeight="1">
      <x:c r="A1206" s="2" t="str">
        <x:v>legacy_n6_15</x:v>
      </x:c>
      <x:c r="B1206" s="2" t="str">
        <x:v>QAOA</x:v>
      </x:c>
      <x:c r="C1206" s="2" t="n">
        <x:v>456</x:v>
      </x:c>
      <x:c r="D1206" s="2" t="str">
        <x:v>success</x:v>
      </x:c>
      <x:c r="E1206" s="2" t="n">
        <x:v>4</x:v>
      </x:c>
      <x:c r="F1206" s="7" t="n">
        <x:v>78.51764705882353</x:v>
      </x:c>
      <x:c r="G1206" s="7" t="n">
        <x:v>58.7125</x:v>
      </x:c>
      <x:c r="H1206" s="7" t="n">
        <x:f>IF(F1206=0,"n.a.",100*(F1206-G1206)/F1206)</x:f>
        <x:v>25.223816302067725</x:v>
      </x:c>
      <x:c r="I1206" s="7" t="n">
        <x:f>F1206-G1206</x:f>
        <x:v>19.80514705882353</x:v>
      </x:c>
      <x:c r="J1206" s="8" t="n">
        <x:v>0.41251978973283215</x:v>
      </x:c>
      <x:c r="K1206" s="8" t="n">
        <x:v>0.41251978973283215</x:v>
      </x:c>
      <x:c r="L1206" s="8" t="n">
        <x:v>0</x:v>
      </x:c>
      <x:c r="M1206" s="7" t="n">
        <x:v>173.59610000858083</x:v>
      </x:c>
      <x:c r="N1206" s="2" t="str">
        <x:v>qiskit.primitives.StatevectorSampler</x:v>
      </x:c>
      <x:c r="O1206" s="9" t="str">
        <x:v>0110</x:v>
      </x:c>
    </x:row>
    <x:row r="1207" ht="18" customHeight="1">
      <x:c r="A1207" s="2" t="str">
        <x:v>legacy_n6_15</x:v>
      </x:c>
      <x:c r="B1207" s="2" t="str">
        <x:v>BPSO</x:v>
      </x:c>
      <x:c r="C1207" s="2" t="n">
        <x:v>789</x:v>
      </x:c>
      <x:c r="D1207" s="2" t="str">
        <x:v>success</x:v>
      </x:c>
      <x:c r="E1207" s="2" t="n">
        <x:v>4</x:v>
      </x:c>
      <x:c r="F1207" s="7" t="n">
        <x:v>78.51764705882353</x:v>
      </x:c>
      <x:c r="G1207" s="7" t="n">
        <x:v>58.7125</x:v>
      </x:c>
      <x:c r="H1207" s="7" t="n">
        <x:f>IF(F1207=0,"n.a.",100*(F1207-G1207)/F1207)</x:f>
        <x:v>25.223816302067725</x:v>
      </x:c>
      <x:c r="I1207" s="7" t="n">
        <x:f>F1207-G1207</x:f>
        <x:v>19.80514705882353</x:v>
      </x:c>
      <x:c r="J1207" s="8" t="n">
        <x:v>0.41251978973283215</x:v>
      </x:c>
      <x:c r="K1207" s="8" t="n">
        <x:v>0.41251978973283215</x:v>
      </x:c>
      <x:c r="L1207" s="8" t="n">
        <x:v>0</x:v>
      </x:c>
      <x:c r="M1207" s="7" t="n">
        <x:v>14.449099995545112</x:v>
      </x:c>
      <x:c r="N1207" s="2" t="str">
        <x:v>repository_particle_dynamics_on_frozen_qubo</x:v>
      </x:c>
      <x:c r="O1207" s="9" t="str">
        <x:v>0110</x:v>
      </x:c>
    </x:row>
    <x:row r="1208" ht="18" customHeight="1">
      <x:c r="A1208" s="2" t="str">
        <x:v>legacy_n6_15</x:v>
      </x:c>
      <x:c r="B1208" s="2" t="str">
        <x:v>QAOA</x:v>
      </x:c>
      <x:c r="C1208" s="2" t="n">
        <x:v>789</x:v>
      </x:c>
      <x:c r="D1208" s="2" t="str">
        <x:v>success</x:v>
      </x:c>
      <x:c r="E1208" s="2" t="n">
        <x:v>4</x:v>
      </x:c>
      <x:c r="F1208" s="7" t="n">
        <x:v>78.51764705882353</x:v>
      </x:c>
      <x:c r="G1208" s="7" t="n">
        <x:v>58.7125</x:v>
      </x:c>
      <x:c r="H1208" s="7" t="n">
        <x:f>IF(F1208=0,"n.a.",100*(F1208-G1208)/F1208)</x:f>
        <x:v>25.223816302067725</x:v>
      </x:c>
      <x:c r="I1208" s="7" t="n">
        <x:f>F1208-G1208</x:f>
        <x:v>19.80514705882353</x:v>
      </x:c>
      <x:c r="J1208" s="8" t="n">
        <x:v>0.41251978973283215</x:v>
      </x:c>
      <x:c r="K1208" s="8" t="n">
        <x:v>0.41251978973283215</x:v>
      </x:c>
      <x:c r="L1208" s="8" t="n">
        <x:v>0</x:v>
      </x:c>
      <x:c r="M1208" s="7" t="n">
        <x:v>186.86800000432413</x:v>
      </x:c>
      <x:c r="N1208" s="2" t="str">
        <x:v>qiskit.primitives.StatevectorSampler</x:v>
      </x:c>
      <x:c r="O1208" s="9" t="str">
        <x:v>1100</x:v>
      </x:c>
    </x:row>
    <x:row r="1209" ht="18" customHeight="1">
      <x:c r="A1209" s="2" t="str">
        <x:v>legacy_n6_15</x:v>
      </x:c>
      <x:c r="B1209" s="2" t="str">
        <x:v>BPSO</x:v>
      </x:c>
      <x:c r="C1209" s="2" t="n">
        <x:v>2026</x:v>
      </x:c>
      <x:c r="D1209" s="2" t="str">
        <x:v>success</x:v>
      </x:c>
      <x:c r="E1209" s="2" t="n">
        <x:v>4</x:v>
      </x:c>
      <x:c r="F1209" s="7" t="n">
        <x:v>78.51764705882353</x:v>
      </x:c>
      <x:c r="G1209" s="7" t="n">
        <x:v>58.7125</x:v>
      </x:c>
      <x:c r="H1209" s="7" t="n">
        <x:f>IF(F1209=0,"n.a.",100*(F1209-G1209)/F1209)</x:f>
        <x:v>25.223816302067725</x:v>
      </x:c>
      <x:c r="I1209" s="7" t="n">
        <x:f>F1209-G1209</x:f>
        <x:v>19.80514705882353</x:v>
      </x:c>
      <x:c r="J1209" s="8" t="n">
        <x:v>0.41251978973283215</x:v>
      </x:c>
      <x:c r="K1209" s="8" t="n">
        <x:v>0.41251978973283215</x:v>
      </x:c>
      <x:c r="L1209" s="8" t="n">
        <x:v>0</x:v>
      </x:c>
      <x:c r="M1209" s="7" t="n">
        <x:v>14.0767999982927</x:v>
      </x:c>
      <x:c r="N1209" s="2" t="str">
        <x:v>repository_particle_dynamics_on_frozen_qubo</x:v>
      </x:c>
      <x:c r="O1209" s="9" t="str">
        <x:v>1001</x:v>
      </x:c>
    </x:row>
    <x:row r="1210" ht="18" customHeight="1">
      <x:c r="A1210" s="2" t="str">
        <x:v>legacy_n6_15</x:v>
      </x:c>
      <x:c r="B1210" s="2" t="str">
        <x:v>QAOA</x:v>
      </x:c>
      <x:c r="C1210" s="2" t="n">
        <x:v>2026</x:v>
      </x:c>
      <x:c r="D1210" s="2" t="str">
        <x:v>success</x:v>
      </x:c>
      <x:c r="E1210" s="2" t="n">
        <x:v>4</x:v>
      </x:c>
      <x:c r="F1210" s="7" t="n">
        <x:v>78.51764705882353</x:v>
      </x:c>
      <x:c r="G1210" s="7" t="n">
        <x:v>58.7125</x:v>
      </x:c>
      <x:c r="H1210" s="7" t="n">
        <x:f>IF(F1210=0,"n.a.",100*(F1210-G1210)/F1210)</x:f>
        <x:v>25.223816302067725</x:v>
      </x:c>
      <x:c r="I1210" s="7" t="n">
        <x:f>F1210-G1210</x:f>
        <x:v>19.80514705882353</x:v>
      </x:c>
      <x:c r="J1210" s="8" t="n">
        <x:v>0.41251978973283215</x:v>
      </x:c>
      <x:c r="K1210" s="8" t="n">
        <x:v>0.41251978973283215</x:v>
      </x:c>
      <x:c r="L1210" s="8" t="n">
        <x:v>0</x:v>
      </x:c>
      <x:c r="M1210" s="7" t="n">
        <x:v>190.1956999936374</x:v>
      </x:c>
      <x:c r="N1210" s="2" t="str">
        <x:v>qiskit.primitives.StatevectorSampler</x:v>
      </x:c>
      <x:c r="O1210" s="9" t="str">
        <x:v>1100</x:v>
      </x:c>
    </x:row>
    <x:row r="1211" ht="18" customHeight="1">
      <x:c r="A1211" s="2" t="str">
        <x:v>controlled_n6_off_peak_1</x:v>
      </x:c>
      <x:c r="B1211" s="2" t="str">
        <x:v>Unmanaged</x:v>
      </x:c>
      <x:c r="C1211" s="2"/>
      <x:c r="D1211" s="2" t="str">
        <x:v>baseline</x:v>
      </x:c>
      <x:c r="E1211" s="2" t="n">
        <x:v>0</x:v>
      </x:c>
      <x:c r="F1211" s="7" t="n">
        <x:v>20</x:v>
      </x:c>
      <x:c r="G1211" s="7" t="n">
        <x:v>20</x:v>
      </x:c>
      <x:c r="H1211" s="7" t="n">
        <x:f>IF(F1211=0,"n.a.",100*(F1211-G1211)/F1211)</x:f>
        <x:v>0</x:v>
      </x:c>
      <x:c r="I1211" s="7" t="n">
        <x:f>F1211-G1211</x:f>
        <x:v>0</x:v>
      </x:c>
      <x:c r="J1211" s="8"/>
      <x:c r="K1211" s="8" t="n">
        <x:v>3.268866666666667</x:v>
      </x:c>
      <x:c r="L1211" s="8"/>
      <x:c r="M1211" s="7"/>
      <x:c r="N1211" s="2" t="str">
        <x:v>unmanaged_input</x:v>
      </x:c>
      <x:c r="O1211" s="9"/>
    </x:row>
    <x:row r="1212" ht="18" customHeight="1">
      <x:c r="A1212" s="2" t="str">
        <x:v>controlled_n6_off_peak_1</x:v>
      </x:c>
      <x:c r="B1212" s="2" t="str">
        <x:v>Exact J</x:v>
      </x:c>
      <x:c r="C1212" s="2"/>
      <x:c r="D1212" s="2" t="str">
        <x:v>no_congestion</x:v>
      </x:c>
      <x:c r="E1212" s="2" t="n">
        <x:v>0</x:v>
      </x:c>
      <x:c r="F1212" s="7" t="n">
        <x:v>20</x:v>
      </x:c>
      <x:c r="G1212" s="7" t="n">
        <x:v>20</x:v>
      </x:c>
      <x:c r="H1212" s="7" t="n">
        <x:f>IF(F1212=0,"n.a.",100*(F1212-G1212)/F1212)</x:f>
        <x:v>0</x:v>
      </x:c>
      <x:c r="I1212" s="7" t="n">
        <x:f>F1212-G1212</x:f>
        <x:v>0</x:v>
      </x:c>
      <x:c r="J1212" s="8" t="n">
        <x:v>3.268866666666667</x:v>
      </x:c>
      <x:c r="K1212" s="8" t="n">
        <x:v>3.268866666666667</x:v>
      </x:c>
      <x:c r="L1212" s="8" t="n">
        <x:v>0</x:v>
      </x:c>
      <x:c r="M1212" s="7" t="n">
        <x:v>0</x:v>
      </x:c>
      <x:c r="N1212" s="2" t="str">
        <x:v>not_invoked</x:v>
      </x:c>
      <x:c r="O1212" s="9" t="str"/>
    </x:row>
    <x:row r="1213" ht="18" customHeight="1">
      <x:c r="A1213" s="2" t="str">
        <x:v>controlled_n6_off_peak_1</x:v>
      </x:c>
      <x:c r="B1213" s="2" t="str">
        <x:v>Exact peak</x:v>
      </x:c>
      <x:c r="C1213" s="2"/>
      <x:c r="D1213" s="2" t="str">
        <x:v>no_congestion</x:v>
      </x:c>
      <x:c r="E1213" s="2" t="n">
        <x:v>0</x:v>
      </x:c>
      <x:c r="F1213" s="7" t="n">
        <x:v>20</x:v>
      </x:c>
      <x:c r="G1213" s="7" t="n">
        <x:v>20</x:v>
      </x:c>
      <x:c r="H1213" s="7" t="n">
        <x:f>IF(F1213=0,"n.a.",100*(F1213-G1213)/F1213)</x:f>
        <x:v>0</x:v>
      </x:c>
      <x:c r="I1213" s="7" t="n">
        <x:f>F1213-G1213</x:f>
        <x:v>0</x:v>
      </x:c>
      <x:c r="J1213" s="8" t="n">
        <x:v>3.268866666666667</x:v>
      </x:c>
      <x:c r="K1213" s="8" t="n">
        <x:v>3.268866666666667</x:v>
      </x:c>
      <x:c r="L1213" s="8" t="n">
        <x:v>0</x:v>
      </x:c>
      <x:c r="M1213" s="7" t="n">
        <x:v>0</x:v>
      </x:c>
      <x:c r="N1213" s="2" t="str">
        <x:v>not_invoked</x:v>
      </x:c>
      <x:c r="O1213" s="9" t="str"/>
    </x:row>
    <x:row r="1214" ht="18" customHeight="1">
      <x:c r="A1214" s="2" t="str">
        <x:v>controlled_n6_off_peak_1</x:v>
      </x:c>
      <x:c r="B1214" s="2" t="str">
        <x:v>BPSO</x:v>
      </x:c>
      <x:c r="C1214" s="2" t="n">
        <x:v>42</x:v>
      </x:c>
      <x:c r="D1214" s="2" t="str">
        <x:v>no_congestion</x:v>
      </x:c>
      <x:c r="E1214" s="2" t="n">
        <x:v>0</x:v>
      </x:c>
      <x:c r="F1214" s="7" t="n">
        <x:v>20</x:v>
      </x:c>
      <x:c r="G1214" s="7" t="n">
        <x:v>20</x:v>
      </x:c>
      <x:c r="H1214" s="7" t="n">
        <x:f>IF(F1214=0,"n.a.",100*(F1214-G1214)/F1214)</x:f>
        <x:v>0</x:v>
      </x:c>
      <x:c r="I1214" s="7" t="n">
        <x:f>F1214-G1214</x:f>
        <x:v>0</x:v>
      </x:c>
      <x:c r="J1214" s="8" t="n">
        <x:v>3.268866666666667</x:v>
      </x:c>
      <x:c r="K1214" s="8" t="n">
        <x:v>3.268866666666667</x:v>
      </x:c>
      <x:c r="L1214" s="8" t="n">
        <x:v>0</x:v>
      </x:c>
      <x:c r="M1214" s="7" t="n">
        <x:v>0</x:v>
      </x:c>
      <x:c r="N1214" s="2" t="str">
        <x:v>not_invoked</x:v>
      </x:c>
      <x:c r="O1214" s="9" t="str"/>
    </x:row>
    <x:row r="1215" ht="18" customHeight="1">
      <x:c r="A1215" s="2" t="str">
        <x:v>controlled_n6_off_peak_1</x:v>
      </x:c>
      <x:c r="B1215" s="2" t="str">
        <x:v>QAOA</x:v>
      </x:c>
      <x:c r="C1215" s="2" t="n">
        <x:v>42</x:v>
      </x:c>
      <x:c r="D1215" s="2" t="str">
        <x:v>no_congestion</x:v>
      </x:c>
      <x:c r="E1215" s="2" t="n">
        <x:v>0</x:v>
      </x:c>
      <x:c r="F1215" s="7" t="n">
        <x:v>20</x:v>
      </x:c>
      <x:c r="G1215" s="7" t="n">
        <x:v>20</x:v>
      </x:c>
      <x:c r="H1215" s="7" t="n">
        <x:f>IF(F1215=0,"n.a.",100*(F1215-G1215)/F1215)</x:f>
        <x:v>0</x:v>
      </x:c>
      <x:c r="I1215" s="7" t="n">
        <x:f>F1215-G1215</x:f>
        <x:v>0</x:v>
      </x:c>
      <x:c r="J1215" s="8" t="n">
        <x:v>3.268866666666667</x:v>
      </x:c>
      <x:c r="K1215" s="8" t="n">
        <x:v>3.268866666666667</x:v>
      </x:c>
      <x:c r="L1215" s="8" t="n">
        <x:v>0</x:v>
      </x:c>
      <x:c r="M1215" s="7" t="n">
        <x:v>0</x:v>
      </x:c>
      <x:c r="N1215" s="2" t="str">
        <x:v>not_invoked</x:v>
      </x:c>
      <x:c r="O1215" s="9" t="str"/>
    </x:row>
    <x:row r="1216" ht="18" customHeight="1">
      <x:c r="A1216" s="2" t="str">
        <x:v>controlled_n6_off_peak_1</x:v>
      </x:c>
      <x:c r="B1216" s="2" t="str">
        <x:v>BPSO</x:v>
      </x:c>
      <x:c r="C1216" s="2" t="n">
        <x:v>123</x:v>
      </x:c>
      <x:c r="D1216" s="2" t="str">
        <x:v>no_congestion</x:v>
      </x:c>
      <x:c r="E1216" s="2" t="n">
        <x:v>0</x:v>
      </x:c>
      <x:c r="F1216" s="7" t="n">
        <x:v>20</x:v>
      </x:c>
      <x:c r="G1216" s="7" t="n">
        <x:v>20</x:v>
      </x:c>
      <x:c r="H1216" s="7" t="n">
        <x:f>IF(F1216=0,"n.a.",100*(F1216-G1216)/F1216)</x:f>
        <x:v>0</x:v>
      </x:c>
      <x:c r="I1216" s="7" t="n">
        <x:f>F1216-G1216</x:f>
        <x:v>0</x:v>
      </x:c>
      <x:c r="J1216" s="8" t="n">
        <x:v>3.268866666666667</x:v>
      </x:c>
      <x:c r="K1216" s="8" t="n">
        <x:v>3.268866666666667</x:v>
      </x:c>
      <x:c r="L1216" s="8" t="n">
        <x:v>0</x:v>
      </x:c>
      <x:c r="M1216" s="7" t="n">
        <x:v>0</x:v>
      </x:c>
      <x:c r="N1216" s="2" t="str">
        <x:v>not_invoked</x:v>
      </x:c>
      <x:c r="O1216" s="9" t="str"/>
    </x:row>
    <x:row r="1217" ht="18" customHeight="1">
      <x:c r="A1217" s="2" t="str">
        <x:v>controlled_n6_off_peak_1</x:v>
      </x:c>
      <x:c r="B1217" s="2" t="str">
        <x:v>QAOA</x:v>
      </x:c>
      <x:c r="C1217" s="2" t="n">
        <x:v>123</x:v>
      </x:c>
      <x:c r="D1217" s="2" t="str">
        <x:v>no_congestion</x:v>
      </x:c>
      <x:c r="E1217" s="2" t="n">
        <x:v>0</x:v>
      </x:c>
      <x:c r="F1217" s="7" t="n">
        <x:v>20</x:v>
      </x:c>
      <x:c r="G1217" s="7" t="n">
        <x:v>20</x:v>
      </x:c>
      <x:c r="H1217" s="7" t="n">
        <x:f>IF(F1217=0,"n.a.",100*(F1217-G1217)/F1217)</x:f>
        <x:v>0</x:v>
      </x:c>
      <x:c r="I1217" s="7" t="n">
        <x:f>F1217-G1217</x:f>
        <x:v>0</x:v>
      </x:c>
      <x:c r="J1217" s="8" t="n">
        <x:v>3.268866666666667</x:v>
      </x:c>
      <x:c r="K1217" s="8" t="n">
        <x:v>3.268866666666667</x:v>
      </x:c>
      <x:c r="L1217" s="8" t="n">
        <x:v>0</x:v>
      </x:c>
      <x:c r="M1217" s="7" t="n">
        <x:v>0</x:v>
      </x:c>
      <x:c r="N1217" s="2" t="str">
        <x:v>not_invoked</x:v>
      </x:c>
      <x:c r="O1217" s="9" t="str"/>
    </x:row>
    <x:row r="1218" ht="18" customHeight="1">
      <x:c r="A1218" s="2" t="str">
        <x:v>controlled_n6_off_peak_1</x:v>
      </x:c>
      <x:c r="B1218" s="2" t="str">
        <x:v>BPSO</x:v>
      </x:c>
      <x:c r="C1218" s="2" t="n">
        <x:v>456</x:v>
      </x:c>
      <x:c r="D1218" s="2" t="str">
        <x:v>no_congestion</x:v>
      </x:c>
      <x:c r="E1218" s="2" t="n">
        <x:v>0</x:v>
      </x:c>
      <x:c r="F1218" s="7" t="n">
        <x:v>20</x:v>
      </x:c>
      <x:c r="G1218" s="7" t="n">
        <x:v>20</x:v>
      </x:c>
      <x:c r="H1218" s="7" t="n">
        <x:f>IF(F1218=0,"n.a.",100*(F1218-G1218)/F1218)</x:f>
        <x:v>0</x:v>
      </x:c>
      <x:c r="I1218" s="7" t="n">
        <x:f>F1218-G1218</x:f>
        <x:v>0</x:v>
      </x:c>
      <x:c r="J1218" s="8" t="n">
        <x:v>3.268866666666667</x:v>
      </x:c>
      <x:c r="K1218" s="8" t="n">
        <x:v>3.268866666666667</x:v>
      </x:c>
      <x:c r="L1218" s="8" t="n">
        <x:v>0</x:v>
      </x:c>
      <x:c r="M1218" s="7" t="n">
        <x:v>0</x:v>
      </x:c>
      <x:c r="N1218" s="2" t="str">
        <x:v>not_invoked</x:v>
      </x:c>
      <x:c r="O1218" s="9" t="str"/>
    </x:row>
    <x:row r="1219" ht="18" customHeight="1">
      <x:c r="A1219" s="2" t="str">
        <x:v>controlled_n6_off_peak_1</x:v>
      </x:c>
      <x:c r="B1219" s="2" t="str">
        <x:v>QAOA</x:v>
      </x:c>
      <x:c r="C1219" s="2" t="n">
        <x:v>456</x:v>
      </x:c>
      <x:c r="D1219" s="2" t="str">
        <x:v>no_congestion</x:v>
      </x:c>
      <x:c r="E1219" s="2" t="n">
        <x:v>0</x:v>
      </x:c>
      <x:c r="F1219" s="7" t="n">
        <x:v>20</x:v>
      </x:c>
      <x:c r="G1219" s="7" t="n">
        <x:v>20</x:v>
      </x:c>
      <x:c r="H1219" s="7" t="n">
        <x:f>IF(F1219=0,"n.a.",100*(F1219-G1219)/F1219)</x:f>
        <x:v>0</x:v>
      </x:c>
      <x:c r="I1219" s="7" t="n">
        <x:f>F1219-G1219</x:f>
        <x:v>0</x:v>
      </x:c>
      <x:c r="J1219" s="8" t="n">
        <x:v>3.268866666666667</x:v>
      </x:c>
      <x:c r="K1219" s="8" t="n">
        <x:v>3.268866666666667</x:v>
      </x:c>
      <x:c r="L1219" s="8" t="n">
        <x:v>0</x:v>
      </x:c>
      <x:c r="M1219" s="7" t="n">
        <x:v>0</x:v>
      </x:c>
      <x:c r="N1219" s="2" t="str">
        <x:v>not_invoked</x:v>
      </x:c>
      <x:c r="O1219" s="9" t="str"/>
    </x:row>
    <x:row r="1220" ht="18" customHeight="1">
      <x:c r="A1220" s="2" t="str">
        <x:v>controlled_n6_off_peak_1</x:v>
      </x:c>
      <x:c r="B1220" s="2" t="str">
        <x:v>BPSO</x:v>
      </x:c>
      <x:c r="C1220" s="2" t="n">
        <x:v>789</x:v>
      </x:c>
      <x:c r="D1220" s="2" t="str">
        <x:v>no_congestion</x:v>
      </x:c>
      <x:c r="E1220" s="2" t="n">
        <x:v>0</x:v>
      </x:c>
      <x:c r="F1220" s="7" t="n">
        <x:v>20</x:v>
      </x:c>
      <x:c r="G1220" s="7" t="n">
        <x:v>20</x:v>
      </x:c>
      <x:c r="H1220" s="7" t="n">
        <x:f>IF(F1220=0,"n.a.",100*(F1220-G1220)/F1220)</x:f>
        <x:v>0</x:v>
      </x:c>
      <x:c r="I1220" s="7" t="n">
        <x:f>F1220-G1220</x:f>
        <x:v>0</x:v>
      </x:c>
      <x:c r="J1220" s="8" t="n">
        <x:v>3.268866666666667</x:v>
      </x:c>
      <x:c r="K1220" s="8" t="n">
        <x:v>3.268866666666667</x:v>
      </x:c>
      <x:c r="L1220" s="8" t="n">
        <x:v>0</x:v>
      </x:c>
      <x:c r="M1220" s="7" t="n">
        <x:v>0</x:v>
      </x:c>
      <x:c r="N1220" s="2" t="str">
        <x:v>not_invoked</x:v>
      </x:c>
      <x:c r="O1220" s="9" t="str"/>
    </x:row>
    <x:row r="1221" ht="18" customHeight="1">
      <x:c r="A1221" s="2" t="str">
        <x:v>controlled_n6_off_peak_1</x:v>
      </x:c>
      <x:c r="B1221" s="2" t="str">
        <x:v>QAOA</x:v>
      </x:c>
      <x:c r="C1221" s="2" t="n">
        <x:v>789</x:v>
      </x:c>
      <x:c r="D1221" s="2" t="str">
        <x:v>no_congestion</x:v>
      </x:c>
      <x:c r="E1221" s="2" t="n">
        <x:v>0</x:v>
      </x:c>
      <x:c r="F1221" s="7" t="n">
        <x:v>20</x:v>
      </x:c>
      <x:c r="G1221" s="7" t="n">
        <x:v>20</x:v>
      </x:c>
      <x:c r="H1221" s="7" t="n">
        <x:f>IF(F1221=0,"n.a.",100*(F1221-G1221)/F1221)</x:f>
        <x:v>0</x:v>
      </x:c>
      <x:c r="I1221" s="7" t="n">
        <x:f>F1221-G1221</x:f>
        <x:v>0</x:v>
      </x:c>
      <x:c r="J1221" s="8" t="n">
        <x:v>3.268866666666667</x:v>
      </x:c>
      <x:c r="K1221" s="8" t="n">
        <x:v>3.268866666666667</x:v>
      </x:c>
      <x:c r="L1221" s="8" t="n">
        <x:v>0</x:v>
      </x:c>
      <x:c r="M1221" s="7" t="n">
        <x:v>0</x:v>
      </x:c>
      <x:c r="N1221" s="2" t="str">
        <x:v>not_invoked</x:v>
      </x:c>
      <x:c r="O1221" s="9" t="str"/>
    </x:row>
    <x:row r="1222" ht="18" customHeight="1">
      <x:c r="A1222" s="2" t="str">
        <x:v>controlled_n6_off_peak_1</x:v>
      </x:c>
      <x:c r="B1222" s="2" t="str">
        <x:v>BPSO</x:v>
      </x:c>
      <x:c r="C1222" s="2" t="n">
        <x:v>2026</x:v>
      </x:c>
      <x:c r="D1222" s="2" t="str">
        <x:v>no_congestion</x:v>
      </x:c>
      <x:c r="E1222" s="2" t="n">
        <x:v>0</x:v>
      </x:c>
      <x:c r="F1222" s="7" t="n">
        <x:v>20</x:v>
      </x:c>
      <x:c r="G1222" s="7" t="n">
        <x:v>20</x:v>
      </x:c>
      <x:c r="H1222" s="7" t="n">
        <x:f>IF(F1222=0,"n.a.",100*(F1222-G1222)/F1222)</x:f>
        <x:v>0</x:v>
      </x:c>
      <x:c r="I1222" s="7" t="n">
        <x:f>F1222-G1222</x:f>
        <x:v>0</x:v>
      </x:c>
      <x:c r="J1222" s="8" t="n">
        <x:v>3.268866666666667</x:v>
      </x:c>
      <x:c r="K1222" s="8" t="n">
        <x:v>3.268866666666667</x:v>
      </x:c>
      <x:c r="L1222" s="8" t="n">
        <x:v>0</x:v>
      </x:c>
      <x:c r="M1222" s="7" t="n">
        <x:v>0</x:v>
      </x:c>
      <x:c r="N1222" s="2" t="str">
        <x:v>not_invoked</x:v>
      </x:c>
      <x:c r="O1222" s="9" t="str"/>
    </x:row>
    <x:row r="1223" ht="18" customHeight="1">
      <x:c r="A1223" s="2" t="str">
        <x:v>controlled_n6_off_peak_1</x:v>
      </x:c>
      <x:c r="B1223" s="2" t="str">
        <x:v>QAOA</x:v>
      </x:c>
      <x:c r="C1223" s="2" t="n">
        <x:v>2026</x:v>
      </x:c>
      <x:c r="D1223" s="2" t="str">
        <x:v>no_congestion</x:v>
      </x:c>
      <x:c r="E1223" s="2" t="n">
        <x:v>0</x:v>
      </x:c>
      <x:c r="F1223" s="7" t="n">
        <x:v>20</x:v>
      </x:c>
      <x:c r="G1223" s="7" t="n">
        <x:v>20</x:v>
      </x:c>
      <x:c r="H1223" s="7" t="n">
        <x:f>IF(F1223=0,"n.a.",100*(F1223-G1223)/F1223)</x:f>
        <x:v>0</x:v>
      </x:c>
      <x:c r="I1223" s="7" t="n">
        <x:f>F1223-G1223</x:f>
        <x:v>0</x:v>
      </x:c>
      <x:c r="J1223" s="8" t="n">
        <x:v>3.268866666666667</x:v>
      </x:c>
      <x:c r="K1223" s="8" t="n">
        <x:v>3.268866666666667</x:v>
      </x:c>
      <x:c r="L1223" s="8" t="n">
        <x:v>0</x:v>
      </x:c>
      <x:c r="M1223" s="7" t="n">
        <x:v>0</x:v>
      </x:c>
      <x:c r="N1223" s="2" t="str">
        <x:v>not_invoked</x:v>
      </x:c>
      <x:c r="O1223" s="9" t="str"/>
    </x:row>
    <x:row r="1224" ht="18" customHeight="1">
      <x:c r="A1224" s="2" t="str">
        <x:v>controlled_n6_off_peak_2</x:v>
      </x:c>
      <x:c r="B1224" s="2" t="str">
        <x:v>Unmanaged</x:v>
      </x:c>
      <x:c r="C1224" s="2"/>
      <x:c r="D1224" s="2" t="str">
        <x:v>baseline</x:v>
      </x:c>
      <x:c r="E1224" s="2" t="n">
        <x:v>0</x:v>
      </x:c>
      <x:c r="F1224" s="7" t="n">
        <x:v>30</x:v>
      </x:c>
      <x:c r="G1224" s="7" t="n">
        <x:v>30</x:v>
      </x:c>
      <x:c r="H1224" s="7" t="n">
        <x:f>IF(F1224=0,"n.a.",100*(F1224-G1224)/F1224)</x:f>
        <x:v>0</x:v>
      </x:c>
      <x:c r="I1224" s="7" t="n">
        <x:f>F1224-G1224</x:f>
        <x:v>0</x:v>
      </x:c>
      <x:c r="J1224" s="8"/>
      <x:c r="K1224" s="8" t="n">
        <x:v>1.57282962962963</x:v>
      </x:c>
      <x:c r="L1224" s="8"/>
      <x:c r="M1224" s="7"/>
      <x:c r="N1224" s="2" t="str">
        <x:v>unmanaged_input</x:v>
      </x:c>
      <x:c r="O1224" s="9"/>
    </x:row>
    <x:row r="1225" ht="18" customHeight="1">
      <x:c r="A1225" s="2" t="str">
        <x:v>controlled_n6_off_peak_2</x:v>
      </x:c>
      <x:c r="B1225" s="2" t="str">
        <x:v>Exact J</x:v>
      </x:c>
      <x:c r="C1225" s="2"/>
      <x:c r="D1225" s="2" t="str">
        <x:v>no_congestion</x:v>
      </x:c>
      <x:c r="E1225" s="2" t="n">
        <x:v>0</x:v>
      </x:c>
      <x:c r="F1225" s="7" t="n">
        <x:v>30</x:v>
      </x:c>
      <x:c r="G1225" s="7" t="n">
        <x:v>30</x:v>
      </x:c>
      <x:c r="H1225" s="7" t="n">
        <x:f>IF(F1225=0,"n.a.",100*(F1225-G1225)/F1225)</x:f>
        <x:v>0</x:v>
      </x:c>
      <x:c r="I1225" s="7" t="n">
        <x:f>F1225-G1225</x:f>
        <x:v>0</x:v>
      </x:c>
      <x:c r="J1225" s="8" t="n">
        <x:v>1.57282962962963</x:v>
      </x:c>
      <x:c r="K1225" s="8" t="n">
        <x:v>1.57282962962963</x:v>
      </x:c>
      <x:c r="L1225" s="8" t="n">
        <x:v>0</x:v>
      </x:c>
      <x:c r="M1225" s="7" t="n">
        <x:v>0</x:v>
      </x:c>
      <x:c r="N1225" s="2" t="str">
        <x:v>not_invoked</x:v>
      </x:c>
      <x:c r="O1225" s="9" t="str"/>
    </x:row>
    <x:row r="1226" ht="18" customHeight="1">
      <x:c r="A1226" s="2" t="str">
        <x:v>controlled_n6_off_peak_2</x:v>
      </x:c>
      <x:c r="B1226" s="2" t="str">
        <x:v>Exact peak</x:v>
      </x:c>
      <x:c r="C1226" s="2"/>
      <x:c r="D1226" s="2" t="str">
        <x:v>no_congestion</x:v>
      </x:c>
      <x:c r="E1226" s="2" t="n">
        <x:v>0</x:v>
      </x:c>
      <x:c r="F1226" s="7" t="n">
        <x:v>30</x:v>
      </x:c>
      <x:c r="G1226" s="7" t="n">
        <x:v>30</x:v>
      </x:c>
      <x:c r="H1226" s="7" t="n">
        <x:f>IF(F1226=0,"n.a.",100*(F1226-G1226)/F1226)</x:f>
        <x:v>0</x:v>
      </x:c>
      <x:c r="I1226" s="7" t="n">
        <x:f>F1226-G1226</x:f>
        <x:v>0</x:v>
      </x:c>
      <x:c r="J1226" s="8" t="n">
        <x:v>1.57282962962963</x:v>
      </x:c>
      <x:c r="K1226" s="8" t="n">
        <x:v>1.57282962962963</x:v>
      </x:c>
      <x:c r="L1226" s="8" t="n">
        <x:v>0</x:v>
      </x:c>
      <x:c r="M1226" s="7" t="n">
        <x:v>0</x:v>
      </x:c>
      <x:c r="N1226" s="2" t="str">
        <x:v>not_invoked</x:v>
      </x:c>
      <x:c r="O1226" s="9" t="str"/>
    </x:row>
    <x:row r="1227" ht="18" customHeight="1">
      <x:c r="A1227" s="2" t="str">
        <x:v>controlled_n6_off_peak_2</x:v>
      </x:c>
      <x:c r="B1227" s="2" t="str">
        <x:v>BPSO</x:v>
      </x:c>
      <x:c r="C1227" s="2" t="n">
        <x:v>42</x:v>
      </x:c>
      <x:c r="D1227" s="2" t="str">
        <x:v>no_congestion</x:v>
      </x:c>
      <x:c r="E1227" s="2" t="n">
        <x:v>0</x:v>
      </x:c>
      <x:c r="F1227" s="7" t="n">
        <x:v>30</x:v>
      </x:c>
      <x:c r="G1227" s="7" t="n">
        <x:v>30</x:v>
      </x:c>
      <x:c r="H1227" s="7" t="n">
        <x:f>IF(F1227=0,"n.a.",100*(F1227-G1227)/F1227)</x:f>
        <x:v>0</x:v>
      </x:c>
      <x:c r="I1227" s="7" t="n">
        <x:f>F1227-G1227</x:f>
        <x:v>0</x:v>
      </x:c>
      <x:c r="J1227" s="8" t="n">
        <x:v>1.57282962962963</x:v>
      </x:c>
      <x:c r="K1227" s="8" t="n">
        <x:v>1.57282962962963</x:v>
      </x:c>
      <x:c r="L1227" s="8" t="n">
        <x:v>0</x:v>
      </x:c>
      <x:c r="M1227" s="7" t="n">
        <x:v>0</x:v>
      </x:c>
      <x:c r="N1227" s="2" t="str">
        <x:v>not_invoked</x:v>
      </x:c>
      <x:c r="O1227" s="9" t="str"/>
    </x:row>
    <x:row r="1228" ht="18" customHeight="1">
      <x:c r="A1228" s="2" t="str">
        <x:v>controlled_n6_off_peak_2</x:v>
      </x:c>
      <x:c r="B1228" s="2" t="str">
        <x:v>QAOA</x:v>
      </x:c>
      <x:c r="C1228" s="2" t="n">
        <x:v>42</x:v>
      </x:c>
      <x:c r="D1228" s="2" t="str">
        <x:v>no_congestion</x:v>
      </x:c>
      <x:c r="E1228" s="2" t="n">
        <x:v>0</x:v>
      </x:c>
      <x:c r="F1228" s="7" t="n">
        <x:v>30</x:v>
      </x:c>
      <x:c r="G1228" s="7" t="n">
        <x:v>30</x:v>
      </x:c>
      <x:c r="H1228" s="7" t="n">
        <x:f>IF(F1228=0,"n.a.",100*(F1228-G1228)/F1228)</x:f>
        <x:v>0</x:v>
      </x:c>
      <x:c r="I1228" s="7" t="n">
        <x:f>F1228-G1228</x:f>
        <x:v>0</x:v>
      </x:c>
      <x:c r="J1228" s="8" t="n">
        <x:v>1.57282962962963</x:v>
      </x:c>
      <x:c r="K1228" s="8" t="n">
        <x:v>1.57282962962963</x:v>
      </x:c>
      <x:c r="L1228" s="8" t="n">
        <x:v>0</x:v>
      </x:c>
      <x:c r="M1228" s="7" t="n">
        <x:v>0</x:v>
      </x:c>
      <x:c r="N1228" s="2" t="str">
        <x:v>not_invoked</x:v>
      </x:c>
      <x:c r="O1228" s="9" t="str"/>
    </x:row>
    <x:row r="1229" ht="18" customHeight="1">
      <x:c r="A1229" s="2" t="str">
        <x:v>controlled_n6_off_peak_2</x:v>
      </x:c>
      <x:c r="B1229" s="2" t="str">
        <x:v>BPSO</x:v>
      </x:c>
      <x:c r="C1229" s="2" t="n">
        <x:v>123</x:v>
      </x:c>
      <x:c r="D1229" s="2" t="str">
        <x:v>no_congestion</x:v>
      </x:c>
      <x:c r="E1229" s="2" t="n">
        <x:v>0</x:v>
      </x:c>
      <x:c r="F1229" s="7" t="n">
        <x:v>30</x:v>
      </x:c>
      <x:c r="G1229" s="7" t="n">
        <x:v>30</x:v>
      </x:c>
      <x:c r="H1229" s="7" t="n">
        <x:f>IF(F1229=0,"n.a.",100*(F1229-G1229)/F1229)</x:f>
        <x:v>0</x:v>
      </x:c>
      <x:c r="I1229" s="7" t="n">
        <x:f>F1229-G1229</x:f>
        <x:v>0</x:v>
      </x:c>
      <x:c r="J1229" s="8" t="n">
        <x:v>1.57282962962963</x:v>
      </x:c>
      <x:c r="K1229" s="8" t="n">
        <x:v>1.57282962962963</x:v>
      </x:c>
      <x:c r="L1229" s="8" t="n">
        <x:v>0</x:v>
      </x:c>
      <x:c r="M1229" s="7" t="n">
        <x:v>0</x:v>
      </x:c>
      <x:c r="N1229" s="2" t="str">
        <x:v>not_invoked</x:v>
      </x:c>
      <x:c r="O1229" s="9" t="str"/>
    </x:row>
    <x:row r="1230" ht="18" customHeight="1">
      <x:c r="A1230" s="2" t="str">
        <x:v>controlled_n6_off_peak_2</x:v>
      </x:c>
      <x:c r="B1230" s="2" t="str">
        <x:v>QAOA</x:v>
      </x:c>
      <x:c r="C1230" s="2" t="n">
        <x:v>123</x:v>
      </x:c>
      <x:c r="D1230" s="2" t="str">
        <x:v>no_congestion</x:v>
      </x:c>
      <x:c r="E1230" s="2" t="n">
        <x:v>0</x:v>
      </x:c>
      <x:c r="F1230" s="7" t="n">
        <x:v>30</x:v>
      </x:c>
      <x:c r="G1230" s="7" t="n">
        <x:v>30</x:v>
      </x:c>
      <x:c r="H1230" s="7" t="n">
        <x:f>IF(F1230=0,"n.a.",100*(F1230-G1230)/F1230)</x:f>
        <x:v>0</x:v>
      </x:c>
      <x:c r="I1230" s="7" t="n">
        <x:f>F1230-G1230</x:f>
        <x:v>0</x:v>
      </x:c>
      <x:c r="J1230" s="8" t="n">
        <x:v>1.57282962962963</x:v>
      </x:c>
      <x:c r="K1230" s="8" t="n">
        <x:v>1.57282962962963</x:v>
      </x:c>
      <x:c r="L1230" s="8" t="n">
        <x:v>0</x:v>
      </x:c>
      <x:c r="M1230" s="7" t="n">
        <x:v>0</x:v>
      </x:c>
      <x:c r="N1230" s="2" t="str">
        <x:v>not_invoked</x:v>
      </x:c>
      <x:c r="O1230" s="9" t="str"/>
    </x:row>
    <x:row r="1231" ht="18" customHeight="1">
      <x:c r="A1231" s="2" t="str">
        <x:v>controlled_n6_off_peak_2</x:v>
      </x:c>
      <x:c r="B1231" s="2" t="str">
        <x:v>BPSO</x:v>
      </x:c>
      <x:c r="C1231" s="2" t="n">
        <x:v>456</x:v>
      </x:c>
      <x:c r="D1231" s="2" t="str">
        <x:v>no_congestion</x:v>
      </x:c>
      <x:c r="E1231" s="2" t="n">
        <x:v>0</x:v>
      </x:c>
      <x:c r="F1231" s="7" t="n">
        <x:v>30</x:v>
      </x:c>
      <x:c r="G1231" s="7" t="n">
        <x:v>30</x:v>
      </x:c>
      <x:c r="H1231" s="7" t="n">
        <x:f>IF(F1231=0,"n.a.",100*(F1231-G1231)/F1231)</x:f>
        <x:v>0</x:v>
      </x:c>
      <x:c r="I1231" s="7" t="n">
        <x:f>F1231-G1231</x:f>
        <x:v>0</x:v>
      </x:c>
      <x:c r="J1231" s="8" t="n">
        <x:v>1.57282962962963</x:v>
      </x:c>
      <x:c r="K1231" s="8" t="n">
        <x:v>1.57282962962963</x:v>
      </x:c>
      <x:c r="L1231" s="8" t="n">
        <x:v>0</x:v>
      </x:c>
      <x:c r="M1231" s="7" t="n">
        <x:v>0</x:v>
      </x:c>
      <x:c r="N1231" s="2" t="str">
        <x:v>not_invoked</x:v>
      </x:c>
      <x:c r="O1231" s="9" t="str"/>
    </x:row>
    <x:row r="1232" ht="18" customHeight="1">
      <x:c r="A1232" s="2" t="str">
        <x:v>controlled_n6_off_peak_2</x:v>
      </x:c>
      <x:c r="B1232" s="2" t="str">
        <x:v>QAOA</x:v>
      </x:c>
      <x:c r="C1232" s="2" t="n">
        <x:v>456</x:v>
      </x:c>
      <x:c r="D1232" s="2" t="str">
        <x:v>no_congestion</x:v>
      </x:c>
      <x:c r="E1232" s="2" t="n">
        <x:v>0</x:v>
      </x:c>
      <x:c r="F1232" s="7" t="n">
        <x:v>30</x:v>
      </x:c>
      <x:c r="G1232" s="7" t="n">
        <x:v>30</x:v>
      </x:c>
      <x:c r="H1232" s="7" t="n">
        <x:f>IF(F1232=0,"n.a.",100*(F1232-G1232)/F1232)</x:f>
        <x:v>0</x:v>
      </x:c>
      <x:c r="I1232" s="7" t="n">
        <x:f>F1232-G1232</x:f>
        <x:v>0</x:v>
      </x:c>
      <x:c r="J1232" s="8" t="n">
        <x:v>1.57282962962963</x:v>
      </x:c>
      <x:c r="K1232" s="8" t="n">
        <x:v>1.57282962962963</x:v>
      </x:c>
      <x:c r="L1232" s="8" t="n">
        <x:v>0</x:v>
      </x:c>
      <x:c r="M1232" s="7" t="n">
        <x:v>0</x:v>
      </x:c>
      <x:c r="N1232" s="2" t="str">
        <x:v>not_invoked</x:v>
      </x:c>
      <x:c r="O1232" s="9" t="str"/>
    </x:row>
    <x:row r="1233" ht="18" customHeight="1">
      <x:c r="A1233" s="2" t="str">
        <x:v>controlled_n6_off_peak_2</x:v>
      </x:c>
      <x:c r="B1233" s="2" t="str">
        <x:v>BPSO</x:v>
      </x:c>
      <x:c r="C1233" s="2" t="n">
        <x:v>789</x:v>
      </x:c>
      <x:c r="D1233" s="2" t="str">
        <x:v>no_congestion</x:v>
      </x:c>
      <x:c r="E1233" s="2" t="n">
        <x:v>0</x:v>
      </x:c>
      <x:c r="F1233" s="7" t="n">
        <x:v>30</x:v>
      </x:c>
      <x:c r="G1233" s="7" t="n">
        <x:v>30</x:v>
      </x:c>
      <x:c r="H1233" s="7" t="n">
        <x:f>IF(F1233=0,"n.a.",100*(F1233-G1233)/F1233)</x:f>
        <x:v>0</x:v>
      </x:c>
      <x:c r="I1233" s="7" t="n">
        <x:f>F1233-G1233</x:f>
        <x:v>0</x:v>
      </x:c>
      <x:c r="J1233" s="8" t="n">
        <x:v>1.57282962962963</x:v>
      </x:c>
      <x:c r="K1233" s="8" t="n">
        <x:v>1.57282962962963</x:v>
      </x:c>
      <x:c r="L1233" s="8" t="n">
        <x:v>0</x:v>
      </x:c>
      <x:c r="M1233" s="7" t="n">
        <x:v>0</x:v>
      </x:c>
      <x:c r="N1233" s="2" t="str">
        <x:v>not_invoked</x:v>
      </x:c>
      <x:c r="O1233" s="9" t="str"/>
    </x:row>
    <x:row r="1234" ht="18" customHeight="1">
      <x:c r="A1234" s="2" t="str">
        <x:v>controlled_n6_off_peak_2</x:v>
      </x:c>
      <x:c r="B1234" s="2" t="str">
        <x:v>QAOA</x:v>
      </x:c>
      <x:c r="C1234" s="2" t="n">
        <x:v>789</x:v>
      </x:c>
      <x:c r="D1234" s="2" t="str">
        <x:v>no_congestion</x:v>
      </x:c>
      <x:c r="E1234" s="2" t="n">
        <x:v>0</x:v>
      </x:c>
      <x:c r="F1234" s="7" t="n">
        <x:v>30</x:v>
      </x:c>
      <x:c r="G1234" s="7" t="n">
        <x:v>30</x:v>
      </x:c>
      <x:c r="H1234" s="7" t="n">
        <x:f>IF(F1234=0,"n.a.",100*(F1234-G1234)/F1234)</x:f>
        <x:v>0</x:v>
      </x:c>
      <x:c r="I1234" s="7" t="n">
        <x:f>F1234-G1234</x:f>
        <x:v>0</x:v>
      </x:c>
      <x:c r="J1234" s="8" t="n">
        <x:v>1.57282962962963</x:v>
      </x:c>
      <x:c r="K1234" s="8" t="n">
        <x:v>1.57282962962963</x:v>
      </x:c>
      <x:c r="L1234" s="8" t="n">
        <x:v>0</x:v>
      </x:c>
      <x:c r="M1234" s="7" t="n">
        <x:v>0</x:v>
      </x:c>
      <x:c r="N1234" s="2" t="str">
        <x:v>not_invoked</x:v>
      </x:c>
      <x:c r="O1234" s="9" t="str"/>
    </x:row>
    <x:row r="1235" ht="18" customHeight="1">
      <x:c r="A1235" s="2" t="str">
        <x:v>controlled_n6_off_peak_2</x:v>
      </x:c>
      <x:c r="B1235" s="2" t="str">
        <x:v>BPSO</x:v>
      </x:c>
      <x:c r="C1235" s="2" t="n">
        <x:v>2026</x:v>
      </x:c>
      <x:c r="D1235" s="2" t="str">
        <x:v>no_congestion</x:v>
      </x:c>
      <x:c r="E1235" s="2" t="n">
        <x:v>0</x:v>
      </x:c>
      <x:c r="F1235" s="7" t="n">
        <x:v>30</x:v>
      </x:c>
      <x:c r="G1235" s="7" t="n">
        <x:v>30</x:v>
      </x:c>
      <x:c r="H1235" s="7" t="n">
        <x:f>IF(F1235=0,"n.a.",100*(F1235-G1235)/F1235)</x:f>
        <x:v>0</x:v>
      </x:c>
      <x:c r="I1235" s="7" t="n">
        <x:f>F1235-G1235</x:f>
        <x:v>0</x:v>
      </x:c>
      <x:c r="J1235" s="8" t="n">
        <x:v>1.57282962962963</x:v>
      </x:c>
      <x:c r="K1235" s="8" t="n">
        <x:v>1.57282962962963</x:v>
      </x:c>
      <x:c r="L1235" s="8" t="n">
        <x:v>0</x:v>
      </x:c>
      <x:c r="M1235" s="7" t="n">
        <x:v>0</x:v>
      </x:c>
      <x:c r="N1235" s="2" t="str">
        <x:v>not_invoked</x:v>
      </x:c>
      <x:c r="O1235" s="9" t="str"/>
    </x:row>
    <x:row r="1236" ht="18" customHeight="1">
      <x:c r="A1236" s="2" t="str">
        <x:v>controlled_n6_off_peak_2</x:v>
      </x:c>
      <x:c r="B1236" s="2" t="str">
        <x:v>QAOA</x:v>
      </x:c>
      <x:c r="C1236" s="2" t="n">
        <x:v>2026</x:v>
      </x:c>
      <x:c r="D1236" s="2" t="str">
        <x:v>no_congestion</x:v>
      </x:c>
      <x:c r="E1236" s="2" t="n">
        <x:v>0</x:v>
      </x:c>
      <x:c r="F1236" s="7" t="n">
        <x:v>30</x:v>
      </x:c>
      <x:c r="G1236" s="7" t="n">
        <x:v>30</x:v>
      </x:c>
      <x:c r="H1236" s="7" t="n">
        <x:f>IF(F1236=0,"n.a.",100*(F1236-G1236)/F1236)</x:f>
        <x:v>0</x:v>
      </x:c>
      <x:c r="I1236" s="7" t="n">
        <x:f>F1236-G1236</x:f>
        <x:v>0</x:v>
      </x:c>
      <x:c r="J1236" s="8" t="n">
        <x:v>1.57282962962963</x:v>
      </x:c>
      <x:c r="K1236" s="8" t="n">
        <x:v>1.57282962962963</x:v>
      </x:c>
      <x:c r="L1236" s="8" t="n">
        <x:v>0</x:v>
      </x:c>
      <x:c r="M1236" s="7" t="n">
        <x:v>0</x:v>
      </x:c>
      <x:c r="N1236" s="2" t="str">
        <x:v>not_invoked</x:v>
      </x:c>
      <x:c r="O1236" s="9" t="str"/>
    </x:row>
    <x:row r="1237" ht="18" customHeight="1">
      <x:c r="A1237" s="2" t="str">
        <x:v>controlled_n6_off_peak_3</x:v>
      </x:c>
      <x:c r="B1237" s="2" t="str">
        <x:v>Unmanaged</x:v>
      </x:c>
      <x:c r="C1237" s="2"/>
      <x:c r="D1237" s="2" t="str">
        <x:v>baseline</x:v>
      </x:c>
      <x:c r="E1237" s="2" t="n">
        <x:v>0</x:v>
      </x:c>
      <x:c r="F1237" s="7" t="n">
        <x:v>40</x:v>
      </x:c>
      <x:c r="G1237" s="7" t="n">
        <x:v>40</x:v>
      </x:c>
      <x:c r="H1237" s="7" t="n">
        <x:f>IF(F1237=0,"n.a.",100*(F1237-G1237)/F1237)</x:f>
        <x:v>0</x:v>
      </x:c>
      <x:c r="I1237" s="7" t="n">
        <x:f>F1237-G1237</x:f>
        <x:v>0</x:v>
      </x:c>
      <x:c r="J1237" s="8"/>
      <x:c r="K1237" s="8" t="n">
        <x:v>0.4232074074074072</x:v>
      </x:c>
      <x:c r="L1237" s="8"/>
      <x:c r="M1237" s="7"/>
      <x:c r="N1237" s="2" t="str">
        <x:v>unmanaged_input</x:v>
      </x:c>
      <x:c r="O1237" s="9"/>
    </x:row>
    <x:row r="1238" ht="18" customHeight="1">
      <x:c r="A1238" s="2" t="str">
        <x:v>controlled_n6_off_peak_3</x:v>
      </x:c>
      <x:c r="B1238" s="2" t="str">
        <x:v>Exact J</x:v>
      </x:c>
      <x:c r="C1238" s="2"/>
      <x:c r="D1238" s="2" t="str">
        <x:v>no_congestion</x:v>
      </x:c>
      <x:c r="E1238" s="2" t="n">
        <x:v>0</x:v>
      </x:c>
      <x:c r="F1238" s="7" t="n">
        <x:v>40</x:v>
      </x:c>
      <x:c r="G1238" s="7" t="n">
        <x:v>40</x:v>
      </x:c>
      <x:c r="H1238" s="7" t="n">
        <x:f>IF(F1238=0,"n.a.",100*(F1238-G1238)/F1238)</x:f>
        <x:v>0</x:v>
      </x:c>
      <x:c r="I1238" s="7" t="n">
        <x:f>F1238-G1238</x:f>
        <x:v>0</x:v>
      </x:c>
      <x:c r="J1238" s="8" t="n">
        <x:v>0.4232074074074072</x:v>
      </x:c>
      <x:c r="K1238" s="8" t="n">
        <x:v>0.4232074074074072</x:v>
      </x:c>
      <x:c r="L1238" s="8" t="n">
        <x:v>0</x:v>
      </x:c>
      <x:c r="M1238" s="7" t="n">
        <x:v>0</x:v>
      </x:c>
      <x:c r="N1238" s="2" t="str">
        <x:v>not_invoked</x:v>
      </x:c>
      <x:c r="O1238" s="9" t="str"/>
    </x:row>
    <x:row r="1239" ht="18" customHeight="1">
      <x:c r="A1239" s="2" t="str">
        <x:v>controlled_n6_off_peak_3</x:v>
      </x:c>
      <x:c r="B1239" s="2" t="str">
        <x:v>Exact peak</x:v>
      </x:c>
      <x:c r="C1239" s="2"/>
      <x:c r="D1239" s="2" t="str">
        <x:v>no_congestion</x:v>
      </x:c>
      <x:c r="E1239" s="2" t="n">
        <x:v>0</x:v>
      </x:c>
      <x:c r="F1239" s="7" t="n">
        <x:v>40</x:v>
      </x:c>
      <x:c r="G1239" s="7" t="n">
        <x:v>40</x:v>
      </x:c>
      <x:c r="H1239" s="7" t="n">
        <x:f>IF(F1239=0,"n.a.",100*(F1239-G1239)/F1239)</x:f>
        <x:v>0</x:v>
      </x:c>
      <x:c r="I1239" s="7" t="n">
        <x:f>F1239-G1239</x:f>
        <x:v>0</x:v>
      </x:c>
      <x:c r="J1239" s="8" t="n">
        <x:v>0.4232074074074072</x:v>
      </x:c>
      <x:c r="K1239" s="8" t="n">
        <x:v>0.4232074074074072</x:v>
      </x:c>
      <x:c r="L1239" s="8" t="n">
        <x:v>0</x:v>
      </x:c>
      <x:c r="M1239" s="7" t="n">
        <x:v>0</x:v>
      </x:c>
      <x:c r="N1239" s="2" t="str">
        <x:v>not_invoked</x:v>
      </x:c>
      <x:c r="O1239" s="9" t="str"/>
    </x:row>
    <x:row r="1240" ht="18" customHeight="1">
      <x:c r="A1240" s="2" t="str">
        <x:v>controlled_n6_off_peak_3</x:v>
      </x:c>
      <x:c r="B1240" s="2" t="str">
        <x:v>BPSO</x:v>
      </x:c>
      <x:c r="C1240" s="2" t="n">
        <x:v>42</x:v>
      </x:c>
      <x:c r="D1240" s="2" t="str">
        <x:v>no_congestion</x:v>
      </x:c>
      <x:c r="E1240" s="2" t="n">
        <x:v>0</x:v>
      </x:c>
      <x:c r="F1240" s="7" t="n">
        <x:v>40</x:v>
      </x:c>
      <x:c r="G1240" s="7" t="n">
        <x:v>40</x:v>
      </x:c>
      <x:c r="H1240" s="7" t="n">
        <x:f>IF(F1240=0,"n.a.",100*(F1240-G1240)/F1240)</x:f>
        <x:v>0</x:v>
      </x:c>
      <x:c r="I1240" s="7" t="n">
        <x:f>F1240-G1240</x:f>
        <x:v>0</x:v>
      </x:c>
      <x:c r="J1240" s="8" t="n">
        <x:v>0.4232074074074072</x:v>
      </x:c>
      <x:c r="K1240" s="8" t="n">
        <x:v>0.4232074074074072</x:v>
      </x:c>
      <x:c r="L1240" s="8" t="n">
        <x:v>0</x:v>
      </x:c>
      <x:c r="M1240" s="7" t="n">
        <x:v>0</x:v>
      </x:c>
      <x:c r="N1240" s="2" t="str">
        <x:v>not_invoked</x:v>
      </x:c>
      <x:c r="O1240" s="9" t="str"/>
    </x:row>
    <x:row r="1241" ht="18" customHeight="1">
      <x:c r="A1241" s="2" t="str">
        <x:v>controlled_n6_off_peak_3</x:v>
      </x:c>
      <x:c r="B1241" s="2" t="str">
        <x:v>QAOA</x:v>
      </x:c>
      <x:c r="C1241" s="2" t="n">
        <x:v>42</x:v>
      </x:c>
      <x:c r="D1241" s="2" t="str">
        <x:v>no_congestion</x:v>
      </x:c>
      <x:c r="E1241" s="2" t="n">
        <x:v>0</x:v>
      </x:c>
      <x:c r="F1241" s="7" t="n">
        <x:v>40</x:v>
      </x:c>
      <x:c r="G1241" s="7" t="n">
        <x:v>40</x:v>
      </x:c>
      <x:c r="H1241" s="7" t="n">
        <x:f>IF(F1241=0,"n.a.",100*(F1241-G1241)/F1241)</x:f>
        <x:v>0</x:v>
      </x:c>
      <x:c r="I1241" s="7" t="n">
        <x:f>F1241-G1241</x:f>
        <x:v>0</x:v>
      </x:c>
      <x:c r="J1241" s="8" t="n">
        <x:v>0.4232074074074072</x:v>
      </x:c>
      <x:c r="K1241" s="8" t="n">
        <x:v>0.4232074074074072</x:v>
      </x:c>
      <x:c r="L1241" s="8" t="n">
        <x:v>0</x:v>
      </x:c>
      <x:c r="M1241" s="7" t="n">
        <x:v>0</x:v>
      </x:c>
      <x:c r="N1241" s="2" t="str">
        <x:v>not_invoked</x:v>
      </x:c>
      <x:c r="O1241" s="9" t="str"/>
    </x:row>
    <x:row r="1242" ht="18" customHeight="1">
      <x:c r="A1242" s="2" t="str">
        <x:v>controlled_n6_off_peak_3</x:v>
      </x:c>
      <x:c r="B1242" s="2" t="str">
        <x:v>BPSO</x:v>
      </x:c>
      <x:c r="C1242" s="2" t="n">
        <x:v>123</x:v>
      </x:c>
      <x:c r="D1242" s="2" t="str">
        <x:v>no_congestion</x:v>
      </x:c>
      <x:c r="E1242" s="2" t="n">
        <x:v>0</x:v>
      </x:c>
      <x:c r="F1242" s="7" t="n">
        <x:v>40</x:v>
      </x:c>
      <x:c r="G1242" s="7" t="n">
        <x:v>40</x:v>
      </x:c>
      <x:c r="H1242" s="7" t="n">
        <x:f>IF(F1242=0,"n.a.",100*(F1242-G1242)/F1242)</x:f>
        <x:v>0</x:v>
      </x:c>
      <x:c r="I1242" s="7" t="n">
        <x:f>F1242-G1242</x:f>
        <x:v>0</x:v>
      </x:c>
      <x:c r="J1242" s="8" t="n">
        <x:v>0.4232074074074072</x:v>
      </x:c>
      <x:c r="K1242" s="8" t="n">
        <x:v>0.4232074074074072</x:v>
      </x:c>
      <x:c r="L1242" s="8" t="n">
        <x:v>0</x:v>
      </x:c>
      <x:c r="M1242" s="7" t="n">
        <x:v>0</x:v>
      </x:c>
      <x:c r="N1242" s="2" t="str">
        <x:v>not_invoked</x:v>
      </x:c>
      <x:c r="O1242" s="9" t="str"/>
    </x:row>
    <x:row r="1243" ht="18" customHeight="1">
      <x:c r="A1243" s="2" t="str">
        <x:v>controlled_n6_off_peak_3</x:v>
      </x:c>
      <x:c r="B1243" s="2" t="str">
        <x:v>QAOA</x:v>
      </x:c>
      <x:c r="C1243" s="2" t="n">
        <x:v>123</x:v>
      </x:c>
      <x:c r="D1243" s="2" t="str">
        <x:v>no_congestion</x:v>
      </x:c>
      <x:c r="E1243" s="2" t="n">
        <x:v>0</x:v>
      </x:c>
      <x:c r="F1243" s="7" t="n">
        <x:v>40</x:v>
      </x:c>
      <x:c r="G1243" s="7" t="n">
        <x:v>40</x:v>
      </x:c>
      <x:c r="H1243" s="7" t="n">
        <x:f>IF(F1243=0,"n.a.",100*(F1243-G1243)/F1243)</x:f>
        <x:v>0</x:v>
      </x:c>
      <x:c r="I1243" s="7" t="n">
        <x:f>F1243-G1243</x:f>
        <x:v>0</x:v>
      </x:c>
      <x:c r="J1243" s="8" t="n">
        <x:v>0.4232074074074072</x:v>
      </x:c>
      <x:c r="K1243" s="8" t="n">
        <x:v>0.4232074074074072</x:v>
      </x:c>
      <x:c r="L1243" s="8" t="n">
        <x:v>0</x:v>
      </x:c>
      <x:c r="M1243" s="7" t="n">
        <x:v>0</x:v>
      </x:c>
      <x:c r="N1243" s="2" t="str">
        <x:v>not_invoked</x:v>
      </x:c>
      <x:c r="O1243" s="9" t="str"/>
    </x:row>
    <x:row r="1244" ht="18" customHeight="1">
      <x:c r="A1244" s="2" t="str">
        <x:v>controlled_n6_off_peak_3</x:v>
      </x:c>
      <x:c r="B1244" s="2" t="str">
        <x:v>BPSO</x:v>
      </x:c>
      <x:c r="C1244" s="2" t="n">
        <x:v>456</x:v>
      </x:c>
      <x:c r="D1244" s="2" t="str">
        <x:v>no_congestion</x:v>
      </x:c>
      <x:c r="E1244" s="2" t="n">
        <x:v>0</x:v>
      </x:c>
      <x:c r="F1244" s="7" t="n">
        <x:v>40</x:v>
      </x:c>
      <x:c r="G1244" s="7" t="n">
        <x:v>40</x:v>
      </x:c>
      <x:c r="H1244" s="7" t="n">
        <x:f>IF(F1244=0,"n.a.",100*(F1244-G1244)/F1244)</x:f>
        <x:v>0</x:v>
      </x:c>
      <x:c r="I1244" s="7" t="n">
        <x:f>F1244-G1244</x:f>
        <x:v>0</x:v>
      </x:c>
      <x:c r="J1244" s="8" t="n">
        <x:v>0.4232074074074072</x:v>
      </x:c>
      <x:c r="K1244" s="8" t="n">
        <x:v>0.4232074074074072</x:v>
      </x:c>
      <x:c r="L1244" s="8" t="n">
        <x:v>0</x:v>
      </x:c>
      <x:c r="M1244" s="7" t="n">
        <x:v>0</x:v>
      </x:c>
      <x:c r="N1244" s="2" t="str">
        <x:v>not_invoked</x:v>
      </x:c>
      <x:c r="O1244" s="9" t="str"/>
    </x:row>
    <x:row r="1245" ht="18" customHeight="1">
      <x:c r="A1245" s="2" t="str">
        <x:v>controlled_n6_off_peak_3</x:v>
      </x:c>
      <x:c r="B1245" s="2" t="str">
        <x:v>QAOA</x:v>
      </x:c>
      <x:c r="C1245" s="2" t="n">
        <x:v>456</x:v>
      </x:c>
      <x:c r="D1245" s="2" t="str">
        <x:v>no_congestion</x:v>
      </x:c>
      <x:c r="E1245" s="2" t="n">
        <x:v>0</x:v>
      </x:c>
      <x:c r="F1245" s="7" t="n">
        <x:v>40</x:v>
      </x:c>
      <x:c r="G1245" s="7" t="n">
        <x:v>40</x:v>
      </x:c>
      <x:c r="H1245" s="7" t="n">
        <x:f>IF(F1245=0,"n.a.",100*(F1245-G1245)/F1245)</x:f>
        <x:v>0</x:v>
      </x:c>
      <x:c r="I1245" s="7" t="n">
        <x:f>F1245-G1245</x:f>
        <x:v>0</x:v>
      </x:c>
      <x:c r="J1245" s="8" t="n">
        <x:v>0.4232074074074072</x:v>
      </x:c>
      <x:c r="K1245" s="8" t="n">
        <x:v>0.4232074074074072</x:v>
      </x:c>
      <x:c r="L1245" s="8" t="n">
        <x:v>0</x:v>
      </x:c>
      <x:c r="M1245" s="7" t="n">
        <x:v>0</x:v>
      </x:c>
      <x:c r="N1245" s="2" t="str">
        <x:v>not_invoked</x:v>
      </x:c>
      <x:c r="O1245" s="9" t="str"/>
    </x:row>
    <x:row r="1246" ht="18" customHeight="1">
      <x:c r="A1246" s="2" t="str">
        <x:v>controlled_n6_off_peak_3</x:v>
      </x:c>
      <x:c r="B1246" s="2" t="str">
        <x:v>BPSO</x:v>
      </x:c>
      <x:c r="C1246" s="2" t="n">
        <x:v>789</x:v>
      </x:c>
      <x:c r="D1246" s="2" t="str">
        <x:v>no_congestion</x:v>
      </x:c>
      <x:c r="E1246" s="2" t="n">
        <x:v>0</x:v>
      </x:c>
      <x:c r="F1246" s="7" t="n">
        <x:v>40</x:v>
      </x:c>
      <x:c r="G1246" s="7" t="n">
        <x:v>40</x:v>
      </x:c>
      <x:c r="H1246" s="7" t="n">
        <x:f>IF(F1246=0,"n.a.",100*(F1246-G1246)/F1246)</x:f>
        <x:v>0</x:v>
      </x:c>
      <x:c r="I1246" s="7" t="n">
        <x:f>F1246-G1246</x:f>
        <x:v>0</x:v>
      </x:c>
      <x:c r="J1246" s="8" t="n">
        <x:v>0.4232074074074072</x:v>
      </x:c>
      <x:c r="K1246" s="8" t="n">
        <x:v>0.4232074074074072</x:v>
      </x:c>
      <x:c r="L1246" s="8" t="n">
        <x:v>0</x:v>
      </x:c>
      <x:c r="M1246" s="7" t="n">
        <x:v>0</x:v>
      </x:c>
      <x:c r="N1246" s="2" t="str">
        <x:v>not_invoked</x:v>
      </x:c>
      <x:c r="O1246" s="9" t="str"/>
    </x:row>
    <x:row r="1247" ht="18" customHeight="1">
      <x:c r="A1247" s="2" t="str">
        <x:v>controlled_n6_off_peak_3</x:v>
      </x:c>
      <x:c r="B1247" s="2" t="str">
        <x:v>QAOA</x:v>
      </x:c>
      <x:c r="C1247" s="2" t="n">
        <x:v>789</x:v>
      </x:c>
      <x:c r="D1247" s="2" t="str">
        <x:v>no_congestion</x:v>
      </x:c>
      <x:c r="E1247" s="2" t="n">
        <x:v>0</x:v>
      </x:c>
      <x:c r="F1247" s="7" t="n">
        <x:v>40</x:v>
      </x:c>
      <x:c r="G1247" s="7" t="n">
        <x:v>40</x:v>
      </x:c>
      <x:c r="H1247" s="7" t="n">
        <x:f>IF(F1247=0,"n.a.",100*(F1247-G1247)/F1247)</x:f>
        <x:v>0</x:v>
      </x:c>
      <x:c r="I1247" s="7" t="n">
        <x:f>F1247-G1247</x:f>
        <x:v>0</x:v>
      </x:c>
      <x:c r="J1247" s="8" t="n">
        <x:v>0.4232074074074072</x:v>
      </x:c>
      <x:c r="K1247" s="8" t="n">
        <x:v>0.4232074074074072</x:v>
      </x:c>
      <x:c r="L1247" s="8" t="n">
        <x:v>0</x:v>
      </x:c>
      <x:c r="M1247" s="7" t="n">
        <x:v>0</x:v>
      </x:c>
      <x:c r="N1247" s="2" t="str">
        <x:v>not_invoked</x:v>
      </x:c>
      <x:c r="O1247" s="9" t="str"/>
    </x:row>
    <x:row r="1248" ht="18" customHeight="1">
      <x:c r="A1248" s="2" t="str">
        <x:v>controlled_n6_off_peak_3</x:v>
      </x:c>
      <x:c r="B1248" s="2" t="str">
        <x:v>BPSO</x:v>
      </x:c>
      <x:c r="C1248" s="2" t="n">
        <x:v>2026</x:v>
      </x:c>
      <x:c r="D1248" s="2" t="str">
        <x:v>no_congestion</x:v>
      </x:c>
      <x:c r="E1248" s="2" t="n">
        <x:v>0</x:v>
      </x:c>
      <x:c r="F1248" s="7" t="n">
        <x:v>40</x:v>
      </x:c>
      <x:c r="G1248" s="7" t="n">
        <x:v>40</x:v>
      </x:c>
      <x:c r="H1248" s="7" t="n">
        <x:f>IF(F1248=0,"n.a.",100*(F1248-G1248)/F1248)</x:f>
        <x:v>0</x:v>
      </x:c>
      <x:c r="I1248" s="7" t="n">
        <x:f>F1248-G1248</x:f>
        <x:v>0</x:v>
      </x:c>
      <x:c r="J1248" s="8" t="n">
        <x:v>0.4232074074074072</x:v>
      </x:c>
      <x:c r="K1248" s="8" t="n">
        <x:v>0.4232074074074072</x:v>
      </x:c>
      <x:c r="L1248" s="8" t="n">
        <x:v>0</x:v>
      </x:c>
      <x:c r="M1248" s="7" t="n">
        <x:v>0</x:v>
      </x:c>
      <x:c r="N1248" s="2" t="str">
        <x:v>not_invoked</x:v>
      </x:c>
      <x:c r="O1248" s="9" t="str"/>
    </x:row>
    <x:row r="1249" ht="18" customHeight="1">
      <x:c r="A1249" s="2" t="str">
        <x:v>controlled_n6_off_peak_3</x:v>
      </x:c>
      <x:c r="B1249" s="2" t="str">
        <x:v>QAOA</x:v>
      </x:c>
      <x:c r="C1249" s="2" t="n">
        <x:v>2026</x:v>
      </x:c>
      <x:c r="D1249" s="2" t="str">
        <x:v>no_congestion</x:v>
      </x:c>
      <x:c r="E1249" s="2" t="n">
        <x:v>0</x:v>
      </x:c>
      <x:c r="F1249" s="7" t="n">
        <x:v>40</x:v>
      </x:c>
      <x:c r="G1249" s="7" t="n">
        <x:v>40</x:v>
      </x:c>
      <x:c r="H1249" s="7" t="n">
        <x:f>IF(F1249=0,"n.a.",100*(F1249-G1249)/F1249)</x:f>
        <x:v>0</x:v>
      </x:c>
      <x:c r="I1249" s="7" t="n">
        <x:f>F1249-G1249</x:f>
        <x:v>0</x:v>
      </x:c>
      <x:c r="J1249" s="8" t="n">
        <x:v>0.4232074074074072</x:v>
      </x:c>
      <x:c r="K1249" s="8" t="n">
        <x:v>0.4232074074074072</x:v>
      </x:c>
      <x:c r="L1249" s="8" t="n">
        <x:v>0</x:v>
      </x:c>
      <x:c r="M1249" s="7" t="n">
        <x:v>0</x:v>
      </x:c>
      <x:c r="N1249" s="2" t="str">
        <x:v>not_invoked</x:v>
      </x:c>
      <x:c r="O1249" s="9" t="str"/>
    </x:row>
    <x:row r="1250" ht="18" customHeight="1">
      <x:c r="A1250" s="2" t="str">
        <x:v>controlled_n6_threshold_1</x:v>
      </x:c>
      <x:c r="B1250" s="2" t="str">
        <x:v>Unmanaged</x:v>
      </x:c>
      <x:c r="C1250" s="2"/>
      <x:c r="D1250" s="2" t="str">
        <x:v>baseline</x:v>
      </x:c>
      <x:c r="E1250" s="2" t="n">
        <x:v>0</x:v>
      </x:c>
      <x:c r="F1250" s="7" t="n">
        <x:v>59</x:v>
      </x:c>
      <x:c r="G1250" s="7" t="n">
        <x:v>59</x:v>
      </x:c>
      <x:c r="H1250" s="7" t="n">
        <x:f>IF(F1250=0,"n.a.",100*(F1250-G1250)/F1250)</x:f>
        <x:v>0</x:v>
      </x:c>
      <x:c r="I1250" s="7" t="n">
        <x:f>F1250-G1250</x:f>
        <x:v>0</x:v>
      </x:c>
      <x:c r="J1250" s="8"/>
      <x:c r="K1250" s="8" t="n">
        <x:v>1.500258740740741</x:v>
      </x:c>
      <x:c r="L1250" s="8"/>
      <x:c r="M1250" s="7"/>
      <x:c r="N1250" s="2" t="str">
        <x:v>unmanaged_input</x:v>
      </x:c>
      <x:c r="O1250" s="9"/>
    </x:row>
    <x:row r="1251" ht="18" customHeight="1">
      <x:c r="A1251" s="2" t="str">
        <x:v>controlled_n6_threshold_1</x:v>
      </x:c>
      <x:c r="B1251" s="2" t="str">
        <x:v>Exact J</x:v>
      </x:c>
      <x:c r="C1251" s="2"/>
      <x:c r="D1251" s="2" t="str">
        <x:v>no_congestion</x:v>
      </x:c>
      <x:c r="E1251" s="2" t="n">
        <x:v>0</x:v>
      </x:c>
      <x:c r="F1251" s="7" t="n">
        <x:v>59</x:v>
      </x:c>
      <x:c r="G1251" s="7" t="n">
        <x:v>59</x:v>
      </x:c>
      <x:c r="H1251" s="7" t="n">
        <x:f>IF(F1251=0,"n.a.",100*(F1251-G1251)/F1251)</x:f>
        <x:v>0</x:v>
      </x:c>
      <x:c r="I1251" s="7" t="n">
        <x:f>F1251-G1251</x:f>
        <x:v>0</x:v>
      </x:c>
      <x:c r="J1251" s="8" t="n">
        <x:v>1.500258740740741</x:v>
      </x:c>
      <x:c r="K1251" s="8" t="n">
        <x:v>1.500258740740741</x:v>
      </x:c>
      <x:c r="L1251" s="8" t="n">
        <x:v>0</x:v>
      </x:c>
      <x:c r="M1251" s="7" t="n">
        <x:v>0</x:v>
      </x:c>
      <x:c r="N1251" s="2" t="str">
        <x:v>not_invoked</x:v>
      </x:c>
      <x:c r="O1251" s="9" t="str"/>
    </x:row>
    <x:row r="1252" ht="18" customHeight="1">
      <x:c r="A1252" s="2" t="str">
        <x:v>controlled_n6_threshold_1</x:v>
      </x:c>
      <x:c r="B1252" s="2" t="str">
        <x:v>Exact peak</x:v>
      </x:c>
      <x:c r="C1252" s="2"/>
      <x:c r="D1252" s="2" t="str">
        <x:v>no_congestion</x:v>
      </x:c>
      <x:c r="E1252" s="2" t="n">
        <x:v>0</x:v>
      </x:c>
      <x:c r="F1252" s="7" t="n">
        <x:v>59</x:v>
      </x:c>
      <x:c r="G1252" s="7" t="n">
        <x:v>59</x:v>
      </x:c>
      <x:c r="H1252" s="7" t="n">
        <x:f>IF(F1252=0,"n.a.",100*(F1252-G1252)/F1252)</x:f>
        <x:v>0</x:v>
      </x:c>
      <x:c r="I1252" s="7" t="n">
        <x:f>F1252-G1252</x:f>
        <x:v>0</x:v>
      </x:c>
      <x:c r="J1252" s="8" t="n">
        <x:v>1.500258740740741</x:v>
      </x:c>
      <x:c r="K1252" s="8" t="n">
        <x:v>1.500258740740741</x:v>
      </x:c>
      <x:c r="L1252" s="8" t="n">
        <x:v>0</x:v>
      </x:c>
      <x:c r="M1252" s="7" t="n">
        <x:v>0</x:v>
      </x:c>
      <x:c r="N1252" s="2" t="str">
        <x:v>not_invoked</x:v>
      </x:c>
      <x:c r="O1252" s="9" t="str"/>
    </x:row>
    <x:row r="1253" ht="18" customHeight="1">
      <x:c r="A1253" s="2" t="str">
        <x:v>controlled_n6_threshold_1</x:v>
      </x:c>
      <x:c r="B1253" s="2" t="str">
        <x:v>BPSO</x:v>
      </x:c>
      <x:c r="C1253" s="2" t="n">
        <x:v>42</x:v>
      </x:c>
      <x:c r="D1253" s="2" t="str">
        <x:v>no_congestion</x:v>
      </x:c>
      <x:c r="E1253" s="2" t="n">
        <x:v>0</x:v>
      </x:c>
      <x:c r="F1253" s="7" t="n">
        <x:v>59</x:v>
      </x:c>
      <x:c r="G1253" s="7" t="n">
        <x:v>59</x:v>
      </x:c>
      <x:c r="H1253" s="7" t="n">
        <x:f>IF(F1253=0,"n.a.",100*(F1253-G1253)/F1253)</x:f>
        <x:v>0</x:v>
      </x:c>
      <x:c r="I1253" s="7" t="n">
        <x:f>F1253-G1253</x:f>
        <x:v>0</x:v>
      </x:c>
      <x:c r="J1253" s="8" t="n">
        <x:v>1.500258740740741</x:v>
      </x:c>
      <x:c r="K1253" s="8" t="n">
        <x:v>1.500258740740741</x:v>
      </x:c>
      <x:c r="L1253" s="8" t="n">
        <x:v>0</x:v>
      </x:c>
      <x:c r="M1253" s="7" t="n">
        <x:v>0</x:v>
      </x:c>
      <x:c r="N1253" s="2" t="str">
        <x:v>not_invoked</x:v>
      </x:c>
      <x:c r="O1253" s="9" t="str"/>
    </x:row>
    <x:row r="1254" ht="18" customHeight="1">
      <x:c r="A1254" s="2" t="str">
        <x:v>controlled_n6_threshold_1</x:v>
      </x:c>
      <x:c r="B1254" s="2" t="str">
        <x:v>QAOA</x:v>
      </x:c>
      <x:c r="C1254" s="2" t="n">
        <x:v>42</x:v>
      </x:c>
      <x:c r="D1254" s="2" t="str">
        <x:v>no_congestion</x:v>
      </x:c>
      <x:c r="E1254" s="2" t="n">
        <x:v>0</x:v>
      </x:c>
      <x:c r="F1254" s="7" t="n">
        <x:v>59</x:v>
      </x:c>
      <x:c r="G1254" s="7" t="n">
        <x:v>59</x:v>
      </x:c>
      <x:c r="H1254" s="7" t="n">
        <x:f>IF(F1254=0,"n.a.",100*(F1254-G1254)/F1254)</x:f>
        <x:v>0</x:v>
      </x:c>
      <x:c r="I1254" s="7" t="n">
        <x:f>F1254-G1254</x:f>
        <x:v>0</x:v>
      </x:c>
      <x:c r="J1254" s="8" t="n">
        <x:v>1.500258740740741</x:v>
      </x:c>
      <x:c r="K1254" s="8" t="n">
        <x:v>1.500258740740741</x:v>
      </x:c>
      <x:c r="L1254" s="8" t="n">
        <x:v>0</x:v>
      </x:c>
      <x:c r="M1254" s="7" t="n">
        <x:v>0</x:v>
      </x:c>
      <x:c r="N1254" s="2" t="str">
        <x:v>not_invoked</x:v>
      </x:c>
      <x:c r="O1254" s="9" t="str"/>
    </x:row>
    <x:row r="1255" ht="18" customHeight="1">
      <x:c r="A1255" s="2" t="str">
        <x:v>controlled_n6_threshold_1</x:v>
      </x:c>
      <x:c r="B1255" s="2" t="str">
        <x:v>BPSO</x:v>
      </x:c>
      <x:c r="C1255" s="2" t="n">
        <x:v>123</x:v>
      </x:c>
      <x:c r="D1255" s="2" t="str">
        <x:v>no_congestion</x:v>
      </x:c>
      <x:c r="E1255" s="2" t="n">
        <x:v>0</x:v>
      </x:c>
      <x:c r="F1255" s="7" t="n">
        <x:v>59</x:v>
      </x:c>
      <x:c r="G1255" s="7" t="n">
        <x:v>59</x:v>
      </x:c>
      <x:c r="H1255" s="7" t="n">
        <x:f>IF(F1255=0,"n.a.",100*(F1255-G1255)/F1255)</x:f>
        <x:v>0</x:v>
      </x:c>
      <x:c r="I1255" s="7" t="n">
        <x:f>F1255-G1255</x:f>
        <x:v>0</x:v>
      </x:c>
      <x:c r="J1255" s="8" t="n">
        <x:v>1.500258740740741</x:v>
      </x:c>
      <x:c r="K1255" s="8" t="n">
        <x:v>1.500258740740741</x:v>
      </x:c>
      <x:c r="L1255" s="8" t="n">
        <x:v>0</x:v>
      </x:c>
      <x:c r="M1255" s="7" t="n">
        <x:v>0</x:v>
      </x:c>
      <x:c r="N1255" s="2" t="str">
        <x:v>not_invoked</x:v>
      </x:c>
      <x:c r="O1255" s="9" t="str"/>
    </x:row>
    <x:row r="1256" ht="18" customHeight="1">
      <x:c r="A1256" s="2" t="str">
        <x:v>controlled_n6_threshold_1</x:v>
      </x:c>
      <x:c r="B1256" s="2" t="str">
        <x:v>QAOA</x:v>
      </x:c>
      <x:c r="C1256" s="2" t="n">
        <x:v>123</x:v>
      </x:c>
      <x:c r="D1256" s="2" t="str">
        <x:v>no_congestion</x:v>
      </x:c>
      <x:c r="E1256" s="2" t="n">
        <x:v>0</x:v>
      </x:c>
      <x:c r="F1256" s="7" t="n">
        <x:v>59</x:v>
      </x:c>
      <x:c r="G1256" s="7" t="n">
        <x:v>59</x:v>
      </x:c>
      <x:c r="H1256" s="7" t="n">
        <x:f>IF(F1256=0,"n.a.",100*(F1256-G1256)/F1256)</x:f>
        <x:v>0</x:v>
      </x:c>
      <x:c r="I1256" s="7" t="n">
        <x:f>F1256-G1256</x:f>
        <x:v>0</x:v>
      </x:c>
      <x:c r="J1256" s="8" t="n">
        <x:v>1.500258740740741</x:v>
      </x:c>
      <x:c r="K1256" s="8" t="n">
        <x:v>1.500258740740741</x:v>
      </x:c>
      <x:c r="L1256" s="8" t="n">
        <x:v>0</x:v>
      </x:c>
      <x:c r="M1256" s="7" t="n">
        <x:v>0</x:v>
      </x:c>
      <x:c r="N1256" s="2" t="str">
        <x:v>not_invoked</x:v>
      </x:c>
      <x:c r="O1256" s="9" t="str"/>
    </x:row>
    <x:row r="1257" ht="18" customHeight="1">
      <x:c r="A1257" s="2" t="str">
        <x:v>controlled_n6_threshold_1</x:v>
      </x:c>
      <x:c r="B1257" s="2" t="str">
        <x:v>BPSO</x:v>
      </x:c>
      <x:c r="C1257" s="2" t="n">
        <x:v>456</x:v>
      </x:c>
      <x:c r="D1257" s="2" t="str">
        <x:v>no_congestion</x:v>
      </x:c>
      <x:c r="E1257" s="2" t="n">
        <x:v>0</x:v>
      </x:c>
      <x:c r="F1257" s="7" t="n">
        <x:v>59</x:v>
      </x:c>
      <x:c r="G1257" s="7" t="n">
        <x:v>59</x:v>
      </x:c>
      <x:c r="H1257" s="7" t="n">
        <x:f>IF(F1257=0,"n.a.",100*(F1257-G1257)/F1257)</x:f>
        <x:v>0</x:v>
      </x:c>
      <x:c r="I1257" s="7" t="n">
        <x:f>F1257-G1257</x:f>
        <x:v>0</x:v>
      </x:c>
      <x:c r="J1257" s="8" t="n">
        <x:v>1.500258740740741</x:v>
      </x:c>
      <x:c r="K1257" s="8" t="n">
        <x:v>1.500258740740741</x:v>
      </x:c>
      <x:c r="L1257" s="8" t="n">
        <x:v>0</x:v>
      </x:c>
      <x:c r="M1257" s="7" t="n">
        <x:v>0</x:v>
      </x:c>
      <x:c r="N1257" s="2" t="str">
        <x:v>not_invoked</x:v>
      </x:c>
      <x:c r="O1257" s="9" t="str"/>
    </x:row>
    <x:row r="1258" ht="18" customHeight="1">
      <x:c r="A1258" s="2" t="str">
        <x:v>controlled_n6_threshold_1</x:v>
      </x:c>
      <x:c r="B1258" s="2" t="str">
        <x:v>QAOA</x:v>
      </x:c>
      <x:c r="C1258" s="2" t="n">
        <x:v>456</x:v>
      </x:c>
      <x:c r="D1258" s="2" t="str">
        <x:v>no_congestion</x:v>
      </x:c>
      <x:c r="E1258" s="2" t="n">
        <x:v>0</x:v>
      </x:c>
      <x:c r="F1258" s="7" t="n">
        <x:v>59</x:v>
      </x:c>
      <x:c r="G1258" s="7" t="n">
        <x:v>59</x:v>
      </x:c>
      <x:c r="H1258" s="7" t="n">
        <x:f>IF(F1258=0,"n.a.",100*(F1258-G1258)/F1258)</x:f>
        <x:v>0</x:v>
      </x:c>
      <x:c r="I1258" s="7" t="n">
        <x:f>F1258-G1258</x:f>
        <x:v>0</x:v>
      </x:c>
      <x:c r="J1258" s="8" t="n">
        <x:v>1.500258740740741</x:v>
      </x:c>
      <x:c r="K1258" s="8" t="n">
        <x:v>1.500258740740741</x:v>
      </x:c>
      <x:c r="L1258" s="8" t="n">
        <x:v>0</x:v>
      </x:c>
      <x:c r="M1258" s="7" t="n">
        <x:v>0</x:v>
      </x:c>
      <x:c r="N1258" s="2" t="str">
        <x:v>not_invoked</x:v>
      </x:c>
      <x:c r="O1258" s="9" t="str"/>
    </x:row>
    <x:row r="1259" ht="18" customHeight="1">
      <x:c r="A1259" s="2" t="str">
        <x:v>controlled_n6_threshold_1</x:v>
      </x:c>
      <x:c r="B1259" s="2" t="str">
        <x:v>BPSO</x:v>
      </x:c>
      <x:c r="C1259" s="2" t="n">
        <x:v>789</x:v>
      </x:c>
      <x:c r="D1259" s="2" t="str">
        <x:v>no_congestion</x:v>
      </x:c>
      <x:c r="E1259" s="2" t="n">
        <x:v>0</x:v>
      </x:c>
      <x:c r="F1259" s="7" t="n">
        <x:v>59</x:v>
      </x:c>
      <x:c r="G1259" s="7" t="n">
        <x:v>59</x:v>
      </x:c>
      <x:c r="H1259" s="7" t="n">
        <x:f>IF(F1259=0,"n.a.",100*(F1259-G1259)/F1259)</x:f>
        <x:v>0</x:v>
      </x:c>
      <x:c r="I1259" s="7" t="n">
        <x:f>F1259-G1259</x:f>
        <x:v>0</x:v>
      </x:c>
      <x:c r="J1259" s="8" t="n">
        <x:v>1.500258740740741</x:v>
      </x:c>
      <x:c r="K1259" s="8" t="n">
        <x:v>1.500258740740741</x:v>
      </x:c>
      <x:c r="L1259" s="8" t="n">
        <x:v>0</x:v>
      </x:c>
      <x:c r="M1259" s="7" t="n">
        <x:v>0</x:v>
      </x:c>
      <x:c r="N1259" s="2" t="str">
        <x:v>not_invoked</x:v>
      </x:c>
      <x:c r="O1259" s="9" t="str"/>
    </x:row>
    <x:row r="1260" ht="18" customHeight="1">
      <x:c r="A1260" s="2" t="str">
        <x:v>controlled_n6_threshold_1</x:v>
      </x:c>
      <x:c r="B1260" s="2" t="str">
        <x:v>QAOA</x:v>
      </x:c>
      <x:c r="C1260" s="2" t="n">
        <x:v>789</x:v>
      </x:c>
      <x:c r="D1260" s="2" t="str">
        <x:v>no_congestion</x:v>
      </x:c>
      <x:c r="E1260" s="2" t="n">
        <x:v>0</x:v>
      </x:c>
      <x:c r="F1260" s="7" t="n">
        <x:v>59</x:v>
      </x:c>
      <x:c r="G1260" s="7" t="n">
        <x:v>59</x:v>
      </x:c>
      <x:c r="H1260" s="7" t="n">
        <x:f>IF(F1260=0,"n.a.",100*(F1260-G1260)/F1260)</x:f>
        <x:v>0</x:v>
      </x:c>
      <x:c r="I1260" s="7" t="n">
        <x:f>F1260-G1260</x:f>
        <x:v>0</x:v>
      </x:c>
      <x:c r="J1260" s="8" t="n">
        <x:v>1.500258740740741</x:v>
      </x:c>
      <x:c r="K1260" s="8" t="n">
        <x:v>1.500258740740741</x:v>
      </x:c>
      <x:c r="L1260" s="8" t="n">
        <x:v>0</x:v>
      </x:c>
      <x:c r="M1260" s="7" t="n">
        <x:v>0</x:v>
      </x:c>
      <x:c r="N1260" s="2" t="str">
        <x:v>not_invoked</x:v>
      </x:c>
      <x:c r="O1260" s="9" t="str"/>
    </x:row>
    <x:row r="1261" ht="18" customHeight="1">
      <x:c r="A1261" s="2" t="str">
        <x:v>controlled_n6_threshold_1</x:v>
      </x:c>
      <x:c r="B1261" s="2" t="str">
        <x:v>BPSO</x:v>
      </x:c>
      <x:c r="C1261" s="2" t="n">
        <x:v>2026</x:v>
      </x:c>
      <x:c r="D1261" s="2" t="str">
        <x:v>no_congestion</x:v>
      </x:c>
      <x:c r="E1261" s="2" t="n">
        <x:v>0</x:v>
      </x:c>
      <x:c r="F1261" s="7" t="n">
        <x:v>59</x:v>
      </x:c>
      <x:c r="G1261" s="7" t="n">
        <x:v>59</x:v>
      </x:c>
      <x:c r="H1261" s="7" t="n">
        <x:f>IF(F1261=0,"n.a.",100*(F1261-G1261)/F1261)</x:f>
        <x:v>0</x:v>
      </x:c>
      <x:c r="I1261" s="7" t="n">
        <x:f>F1261-G1261</x:f>
        <x:v>0</x:v>
      </x:c>
      <x:c r="J1261" s="8" t="n">
        <x:v>1.500258740740741</x:v>
      </x:c>
      <x:c r="K1261" s="8" t="n">
        <x:v>1.500258740740741</x:v>
      </x:c>
      <x:c r="L1261" s="8" t="n">
        <x:v>0</x:v>
      </x:c>
      <x:c r="M1261" s="7" t="n">
        <x:v>0</x:v>
      </x:c>
      <x:c r="N1261" s="2" t="str">
        <x:v>not_invoked</x:v>
      </x:c>
      <x:c r="O1261" s="9" t="str"/>
    </x:row>
    <x:row r="1262" ht="18" customHeight="1">
      <x:c r="A1262" s="2" t="str">
        <x:v>controlled_n6_threshold_1</x:v>
      </x:c>
      <x:c r="B1262" s="2" t="str">
        <x:v>QAOA</x:v>
      </x:c>
      <x:c r="C1262" s="2" t="n">
        <x:v>2026</x:v>
      </x:c>
      <x:c r="D1262" s="2" t="str">
        <x:v>no_congestion</x:v>
      </x:c>
      <x:c r="E1262" s="2" t="n">
        <x:v>0</x:v>
      </x:c>
      <x:c r="F1262" s="7" t="n">
        <x:v>59</x:v>
      </x:c>
      <x:c r="G1262" s="7" t="n">
        <x:v>59</x:v>
      </x:c>
      <x:c r="H1262" s="7" t="n">
        <x:f>IF(F1262=0,"n.a.",100*(F1262-G1262)/F1262)</x:f>
        <x:v>0</x:v>
      </x:c>
      <x:c r="I1262" s="7" t="n">
        <x:f>F1262-G1262</x:f>
        <x:v>0</x:v>
      </x:c>
      <x:c r="J1262" s="8" t="n">
        <x:v>1.500258740740741</x:v>
      </x:c>
      <x:c r="K1262" s="8" t="n">
        <x:v>1.500258740740741</x:v>
      </x:c>
      <x:c r="L1262" s="8" t="n">
        <x:v>0</x:v>
      </x:c>
      <x:c r="M1262" s="7" t="n">
        <x:v>0</x:v>
      </x:c>
      <x:c r="N1262" s="2" t="str">
        <x:v>not_invoked</x:v>
      </x:c>
      <x:c r="O1262" s="9" t="str"/>
    </x:row>
    <x:row r="1263" ht="18" customHeight="1">
      <x:c r="A1263" s="2" t="str">
        <x:v>controlled_n6_threshold_2</x:v>
      </x:c>
      <x:c r="B1263" s="2" t="str">
        <x:v>Unmanaged</x:v>
      </x:c>
      <x:c r="C1263" s="2"/>
      <x:c r="D1263" s="2" t="str">
        <x:v>baseline</x:v>
      </x:c>
      <x:c r="E1263" s="2" t="n">
        <x:v>0</x:v>
      </x:c>
      <x:c r="F1263" s="7" t="n">
        <x:v>60</x:v>
      </x:c>
      <x:c r="G1263" s="7" t="n">
        <x:v>60</x:v>
      </x:c>
      <x:c r="H1263" s="7" t="n">
        <x:f>IF(F1263=0,"n.a.",100*(F1263-G1263)/F1263)</x:f>
        <x:v>0</x:v>
      </x:c>
      <x:c r="I1263" s="7" t="n">
        <x:f>F1263-G1263</x:f>
        <x:v>0</x:v>
      </x:c>
      <x:c r="J1263" s="8"/>
      <x:c r="K1263" s="8" t="n">
        <x:v>1.5061629629629631</x:v>
      </x:c>
      <x:c r="L1263" s="8"/>
      <x:c r="M1263" s="7"/>
      <x:c r="N1263" s="2" t="str">
        <x:v>unmanaged_input</x:v>
      </x:c>
      <x:c r="O1263" s="9"/>
    </x:row>
    <x:row r="1264" ht="18" customHeight="1">
      <x:c r="A1264" s="2" t="str">
        <x:v>controlled_n6_threshold_2</x:v>
      </x:c>
      <x:c r="B1264" s="2" t="str">
        <x:v>Exact J</x:v>
      </x:c>
      <x:c r="C1264" s="2"/>
      <x:c r="D1264" s="2" t="str">
        <x:v>no_congestion</x:v>
      </x:c>
      <x:c r="E1264" s="2" t="n">
        <x:v>0</x:v>
      </x:c>
      <x:c r="F1264" s="7" t="n">
        <x:v>60</x:v>
      </x:c>
      <x:c r="G1264" s="7" t="n">
        <x:v>60</x:v>
      </x:c>
      <x:c r="H1264" s="7" t="n">
        <x:f>IF(F1264=0,"n.a.",100*(F1264-G1264)/F1264)</x:f>
        <x:v>0</x:v>
      </x:c>
      <x:c r="I1264" s="7" t="n">
        <x:f>F1264-G1264</x:f>
        <x:v>0</x:v>
      </x:c>
      <x:c r="J1264" s="8" t="n">
        <x:v>1.5061629629629631</x:v>
      </x:c>
      <x:c r="K1264" s="8" t="n">
        <x:v>1.5061629629629631</x:v>
      </x:c>
      <x:c r="L1264" s="8" t="n">
        <x:v>0</x:v>
      </x:c>
      <x:c r="M1264" s="7" t="n">
        <x:v>0</x:v>
      </x:c>
      <x:c r="N1264" s="2" t="str">
        <x:v>not_invoked</x:v>
      </x:c>
      <x:c r="O1264" s="9" t="str"/>
    </x:row>
    <x:row r="1265" ht="18" customHeight="1">
      <x:c r="A1265" s="2" t="str">
        <x:v>controlled_n6_threshold_2</x:v>
      </x:c>
      <x:c r="B1265" s="2" t="str">
        <x:v>Exact peak</x:v>
      </x:c>
      <x:c r="C1265" s="2"/>
      <x:c r="D1265" s="2" t="str">
        <x:v>no_congestion</x:v>
      </x:c>
      <x:c r="E1265" s="2" t="n">
        <x:v>0</x:v>
      </x:c>
      <x:c r="F1265" s="7" t="n">
        <x:v>60</x:v>
      </x:c>
      <x:c r="G1265" s="7" t="n">
        <x:v>60</x:v>
      </x:c>
      <x:c r="H1265" s="7" t="n">
        <x:f>IF(F1265=0,"n.a.",100*(F1265-G1265)/F1265)</x:f>
        <x:v>0</x:v>
      </x:c>
      <x:c r="I1265" s="7" t="n">
        <x:f>F1265-G1265</x:f>
        <x:v>0</x:v>
      </x:c>
      <x:c r="J1265" s="8" t="n">
        <x:v>1.5061629629629631</x:v>
      </x:c>
      <x:c r="K1265" s="8" t="n">
        <x:v>1.5061629629629631</x:v>
      </x:c>
      <x:c r="L1265" s="8" t="n">
        <x:v>0</x:v>
      </x:c>
      <x:c r="M1265" s="7" t="n">
        <x:v>0</x:v>
      </x:c>
      <x:c r="N1265" s="2" t="str">
        <x:v>not_invoked</x:v>
      </x:c>
      <x:c r="O1265" s="9" t="str"/>
    </x:row>
    <x:row r="1266" ht="18" customHeight="1">
      <x:c r="A1266" s="2" t="str">
        <x:v>controlled_n6_threshold_2</x:v>
      </x:c>
      <x:c r="B1266" s="2" t="str">
        <x:v>BPSO</x:v>
      </x:c>
      <x:c r="C1266" s="2" t="n">
        <x:v>42</x:v>
      </x:c>
      <x:c r="D1266" s="2" t="str">
        <x:v>no_congestion</x:v>
      </x:c>
      <x:c r="E1266" s="2" t="n">
        <x:v>0</x:v>
      </x:c>
      <x:c r="F1266" s="7" t="n">
        <x:v>60</x:v>
      </x:c>
      <x:c r="G1266" s="7" t="n">
        <x:v>60</x:v>
      </x:c>
      <x:c r="H1266" s="7" t="n">
        <x:f>IF(F1266=0,"n.a.",100*(F1266-G1266)/F1266)</x:f>
        <x:v>0</x:v>
      </x:c>
      <x:c r="I1266" s="7" t="n">
        <x:f>F1266-G1266</x:f>
        <x:v>0</x:v>
      </x:c>
      <x:c r="J1266" s="8" t="n">
        <x:v>1.5061629629629631</x:v>
      </x:c>
      <x:c r="K1266" s="8" t="n">
        <x:v>1.5061629629629631</x:v>
      </x:c>
      <x:c r="L1266" s="8" t="n">
        <x:v>0</x:v>
      </x:c>
      <x:c r="M1266" s="7" t="n">
        <x:v>0</x:v>
      </x:c>
      <x:c r="N1266" s="2" t="str">
        <x:v>not_invoked</x:v>
      </x:c>
      <x:c r="O1266" s="9" t="str"/>
    </x:row>
    <x:row r="1267" ht="18" customHeight="1">
      <x:c r="A1267" s="2" t="str">
        <x:v>controlled_n6_threshold_2</x:v>
      </x:c>
      <x:c r="B1267" s="2" t="str">
        <x:v>QAOA</x:v>
      </x:c>
      <x:c r="C1267" s="2" t="n">
        <x:v>42</x:v>
      </x:c>
      <x:c r="D1267" s="2" t="str">
        <x:v>no_congestion</x:v>
      </x:c>
      <x:c r="E1267" s="2" t="n">
        <x:v>0</x:v>
      </x:c>
      <x:c r="F1267" s="7" t="n">
        <x:v>60</x:v>
      </x:c>
      <x:c r="G1267" s="7" t="n">
        <x:v>60</x:v>
      </x:c>
      <x:c r="H1267" s="7" t="n">
        <x:f>IF(F1267=0,"n.a.",100*(F1267-G1267)/F1267)</x:f>
        <x:v>0</x:v>
      </x:c>
      <x:c r="I1267" s="7" t="n">
        <x:f>F1267-G1267</x:f>
        <x:v>0</x:v>
      </x:c>
      <x:c r="J1267" s="8" t="n">
        <x:v>1.5061629629629631</x:v>
      </x:c>
      <x:c r="K1267" s="8" t="n">
        <x:v>1.5061629629629631</x:v>
      </x:c>
      <x:c r="L1267" s="8" t="n">
        <x:v>0</x:v>
      </x:c>
      <x:c r="M1267" s="7" t="n">
        <x:v>0</x:v>
      </x:c>
      <x:c r="N1267" s="2" t="str">
        <x:v>not_invoked</x:v>
      </x:c>
      <x:c r="O1267" s="9" t="str"/>
    </x:row>
    <x:row r="1268" ht="18" customHeight="1">
      <x:c r="A1268" s="2" t="str">
        <x:v>controlled_n6_threshold_2</x:v>
      </x:c>
      <x:c r="B1268" s="2" t="str">
        <x:v>BPSO</x:v>
      </x:c>
      <x:c r="C1268" s="2" t="n">
        <x:v>123</x:v>
      </x:c>
      <x:c r="D1268" s="2" t="str">
        <x:v>no_congestion</x:v>
      </x:c>
      <x:c r="E1268" s="2" t="n">
        <x:v>0</x:v>
      </x:c>
      <x:c r="F1268" s="7" t="n">
        <x:v>60</x:v>
      </x:c>
      <x:c r="G1268" s="7" t="n">
        <x:v>60</x:v>
      </x:c>
      <x:c r="H1268" s="7" t="n">
        <x:f>IF(F1268=0,"n.a.",100*(F1268-G1268)/F1268)</x:f>
        <x:v>0</x:v>
      </x:c>
      <x:c r="I1268" s="7" t="n">
        <x:f>F1268-G1268</x:f>
        <x:v>0</x:v>
      </x:c>
      <x:c r="J1268" s="8" t="n">
        <x:v>1.5061629629629631</x:v>
      </x:c>
      <x:c r="K1268" s="8" t="n">
        <x:v>1.5061629629629631</x:v>
      </x:c>
      <x:c r="L1268" s="8" t="n">
        <x:v>0</x:v>
      </x:c>
      <x:c r="M1268" s="7" t="n">
        <x:v>0</x:v>
      </x:c>
      <x:c r="N1268" s="2" t="str">
        <x:v>not_invoked</x:v>
      </x:c>
      <x:c r="O1268" s="9" t="str"/>
    </x:row>
    <x:row r="1269" ht="18" customHeight="1">
      <x:c r="A1269" s="2" t="str">
        <x:v>controlled_n6_threshold_2</x:v>
      </x:c>
      <x:c r="B1269" s="2" t="str">
        <x:v>QAOA</x:v>
      </x:c>
      <x:c r="C1269" s="2" t="n">
        <x:v>123</x:v>
      </x:c>
      <x:c r="D1269" s="2" t="str">
        <x:v>no_congestion</x:v>
      </x:c>
      <x:c r="E1269" s="2" t="n">
        <x:v>0</x:v>
      </x:c>
      <x:c r="F1269" s="7" t="n">
        <x:v>60</x:v>
      </x:c>
      <x:c r="G1269" s="7" t="n">
        <x:v>60</x:v>
      </x:c>
      <x:c r="H1269" s="7" t="n">
        <x:f>IF(F1269=0,"n.a.",100*(F1269-G1269)/F1269)</x:f>
        <x:v>0</x:v>
      </x:c>
      <x:c r="I1269" s="7" t="n">
        <x:f>F1269-G1269</x:f>
        <x:v>0</x:v>
      </x:c>
      <x:c r="J1269" s="8" t="n">
        <x:v>1.5061629629629631</x:v>
      </x:c>
      <x:c r="K1269" s="8" t="n">
        <x:v>1.5061629629629631</x:v>
      </x:c>
      <x:c r="L1269" s="8" t="n">
        <x:v>0</x:v>
      </x:c>
      <x:c r="M1269" s="7" t="n">
        <x:v>0</x:v>
      </x:c>
      <x:c r="N1269" s="2" t="str">
        <x:v>not_invoked</x:v>
      </x:c>
      <x:c r="O1269" s="9" t="str"/>
    </x:row>
    <x:row r="1270" ht="18" customHeight="1">
      <x:c r="A1270" s="2" t="str">
        <x:v>controlled_n6_threshold_2</x:v>
      </x:c>
      <x:c r="B1270" s="2" t="str">
        <x:v>BPSO</x:v>
      </x:c>
      <x:c r="C1270" s="2" t="n">
        <x:v>456</x:v>
      </x:c>
      <x:c r="D1270" s="2" t="str">
        <x:v>no_congestion</x:v>
      </x:c>
      <x:c r="E1270" s="2" t="n">
        <x:v>0</x:v>
      </x:c>
      <x:c r="F1270" s="7" t="n">
        <x:v>60</x:v>
      </x:c>
      <x:c r="G1270" s="7" t="n">
        <x:v>60</x:v>
      </x:c>
      <x:c r="H1270" s="7" t="n">
        <x:f>IF(F1270=0,"n.a.",100*(F1270-G1270)/F1270)</x:f>
        <x:v>0</x:v>
      </x:c>
      <x:c r="I1270" s="7" t="n">
        <x:f>F1270-G1270</x:f>
        <x:v>0</x:v>
      </x:c>
      <x:c r="J1270" s="8" t="n">
        <x:v>1.5061629629629631</x:v>
      </x:c>
      <x:c r="K1270" s="8" t="n">
        <x:v>1.5061629629629631</x:v>
      </x:c>
      <x:c r="L1270" s="8" t="n">
        <x:v>0</x:v>
      </x:c>
      <x:c r="M1270" s="7" t="n">
        <x:v>0</x:v>
      </x:c>
      <x:c r="N1270" s="2" t="str">
        <x:v>not_invoked</x:v>
      </x:c>
      <x:c r="O1270" s="9" t="str"/>
    </x:row>
    <x:row r="1271" ht="18" customHeight="1">
      <x:c r="A1271" s="2" t="str">
        <x:v>controlled_n6_threshold_2</x:v>
      </x:c>
      <x:c r="B1271" s="2" t="str">
        <x:v>QAOA</x:v>
      </x:c>
      <x:c r="C1271" s="2" t="n">
        <x:v>456</x:v>
      </x:c>
      <x:c r="D1271" s="2" t="str">
        <x:v>no_congestion</x:v>
      </x:c>
      <x:c r="E1271" s="2" t="n">
        <x:v>0</x:v>
      </x:c>
      <x:c r="F1271" s="7" t="n">
        <x:v>60</x:v>
      </x:c>
      <x:c r="G1271" s="7" t="n">
        <x:v>60</x:v>
      </x:c>
      <x:c r="H1271" s="7" t="n">
        <x:f>IF(F1271=0,"n.a.",100*(F1271-G1271)/F1271)</x:f>
        <x:v>0</x:v>
      </x:c>
      <x:c r="I1271" s="7" t="n">
        <x:f>F1271-G1271</x:f>
        <x:v>0</x:v>
      </x:c>
      <x:c r="J1271" s="8" t="n">
        <x:v>1.5061629629629631</x:v>
      </x:c>
      <x:c r="K1271" s="8" t="n">
        <x:v>1.5061629629629631</x:v>
      </x:c>
      <x:c r="L1271" s="8" t="n">
        <x:v>0</x:v>
      </x:c>
      <x:c r="M1271" s="7" t="n">
        <x:v>0</x:v>
      </x:c>
      <x:c r="N1271" s="2" t="str">
        <x:v>not_invoked</x:v>
      </x:c>
      <x:c r="O1271" s="9" t="str"/>
    </x:row>
    <x:row r="1272" ht="18" customHeight="1">
      <x:c r="A1272" s="2" t="str">
        <x:v>controlled_n6_threshold_2</x:v>
      </x:c>
      <x:c r="B1272" s="2" t="str">
        <x:v>BPSO</x:v>
      </x:c>
      <x:c r="C1272" s="2" t="n">
        <x:v>789</x:v>
      </x:c>
      <x:c r="D1272" s="2" t="str">
        <x:v>no_congestion</x:v>
      </x:c>
      <x:c r="E1272" s="2" t="n">
        <x:v>0</x:v>
      </x:c>
      <x:c r="F1272" s="7" t="n">
        <x:v>60</x:v>
      </x:c>
      <x:c r="G1272" s="7" t="n">
        <x:v>60</x:v>
      </x:c>
      <x:c r="H1272" s="7" t="n">
        <x:f>IF(F1272=0,"n.a.",100*(F1272-G1272)/F1272)</x:f>
        <x:v>0</x:v>
      </x:c>
      <x:c r="I1272" s="7" t="n">
        <x:f>F1272-G1272</x:f>
        <x:v>0</x:v>
      </x:c>
      <x:c r="J1272" s="8" t="n">
        <x:v>1.5061629629629631</x:v>
      </x:c>
      <x:c r="K1272" s="8" t="n">
        <x:v>1.5061629629629631</x:v>
      </x:c>
      <x:c r="L1272" s="8" t="n">
        <x:v>0</x:v>
      </x:c>
      <x:c r="M1272" s="7" t="n">
        <x:v>0</x:v>
      </x:c>
      <x:c r="N1272" s="2" t="str">
        <x:v>not_invoked</x:v>
      </x:c>
      <x:c r="O1272" s="9" t="str"/>
    </x:row>
    <x:row r="1273" ht="18" customHeight="1">
      <x:c r="A1273" s="2" t="str">
        <x:v>controlled_n6_threshold_2</x:v>
      </x:c>
      <x:c r="B1273" s="2" t="str">
        <x:v>QAOA</x:v>
      </x:c>
      <x:c r="C1273" s="2" t="n">
        <x:v>789</x:v>
      </x:c>
      <x:c r="D1273" s="2" t="str">
        <x:v>no_congestion</x:v>
      </x:c>
      <x:c r="E1273" s="2" t="n">
        <x:v>0</x:v>
      </x:c>
      <x:c r="F1273" s="7" t="n">
        <x:v>60</x:v>
      </x:c>
      <x:c r="G1273" s="7" t="n">
        <x:v>60</x:v>
      </x:c>
      <x:c r="H1273" s="7" t="n">
        <x:f>IF(F1273=0,"n.a.",100*(F1273-G1273)/F1273)</x:f>
        <x:v>0</x:v>
      </x:c>
      <x:c r="I1273" s="7" t="n">
        <x:f>F1273-G1273</x:f>
        <x:v>0</x:v>
      </x:c>
      <x:c r="J1273" s="8" t="n">
        <x:v>1.5061629629629631</x:v>
      </x:c>
      <x:c r="K1273" s="8" t="n">
        <x:v>1.5061629629629631</x:v>
      </x:c>
      <x:c r="L1273" s="8" t="n">
        <x:v>0</x:v>
      </x:c>
      <x:c r="M1273" s="7" t="n">
        <x:v>0</x:v>
      </x:c>
      <x:c r="N1273" s="2" t="str">
        <x:v>not_invoked</x:v>
      </x:c>
      <x:c r="O1273" s="9" t="str"/>
    </x:row>
    <x:row r="1274" ht="18" customHeight="1">
      <x:c r="A1274" s="2" t="str">
        <x:v>controlled_n6_threshold_2</x:v>
      </x:c>
      <x:c r="B1274" s="2" t="str">
        <x:v>BPSO</x:v>
      </x:c>
      <x:c r="C1274" s="2" t="n">
        <x:v>2026</x:v>
      </x:c>
      <x:c r="D1274" s="2" t="str">
        <x:v>no_congestion</x:v>
      </x:c>
      <x:c r="E1274" s="2" t="n">
        <x:v>0</x:v>
      </x:c>
      <x:c r="F1274" s="7" t="n">
        <x:v>60</x:v>
      </x:c>
      <x:c r="G1274" s="7" t="n">
        <x:v>60</x:v>
      </x:c>
      <x:c r="H1274" s="7" t="n">
        <x:f>IF(F1274=0,"n.a.",100*(F1274-G1274)/F1274)</x:f>
        <x:v>0</x:v>
      </x:c>
      <x:c r="I1274" s="7" t="n">
        <x:f>F1274-G1274</x:f>
        <x:v>0</x:v>
      </x:c>
      <x:c r="J1274" s="8" t="n">
        <x:v>1.5061629629629631</x:v>
      </x:c>
      <x:c r="K1274" s="8" t="n">
        <x:v>1.5061629629629631</x:v>
      </x:c>
      <x:c r="L1274" s="8" t="n">
        <x:v>0</x:v>
      </x:c>
      <x:c r="M1274" s="7" t="n">
        <x:v>0</x:v>
      </x:c>
      <x:c r="N1274" s="2" t="str">
        <x:v>not_invoked</x:v>
      </x:c>
      <x:c r="O1274" s="9" t="str"/>
    </x:row>
    <x:row r="1275" ht="18" customHeight="1">
      <x:c r="A1275" s="2" t="str">
        <x:v>controlled_n6_threshold_2</x:v>
      </x:c>
      <x:c r="B1275" s="2" t="str">
        <x:v>QAOA</x:v>
      </x:c>
      <x:c r="C1275" s="2" t="n">
        <x:v>2026</x:v>
      </x:c>
      <x:c r="D1275" s="2" t="str">
        <x:v>no_congestion</x:v>
      </x:c>
      <x:c r="E1275" s="2" t="n">
        <x:v>0</x:v>
      </x:c>
      <x:c r="F1275" s="7" t="n">
        <x:v>60</x:v>
      </x:c>
      <x:c r="G1275" s="7" t="n">
        <x:v>60</x:v>
      </x:c>
      <x:c r="H1275" s="7" t="n">
        <x:f>IF(F1275=0,"n.a.",100*(F1275-G1275)/F1275)</x:f>
        <x:v>0</x:v>
      </x:c>
      <x:c r="I1275" s="7" t="n">
        <x:f>F1275-G1275</x:f>
        <x:v>0</x:v>
      </x:c>
      <x:c r="J1275" s="8" t="n">
        <x:v>1.5061629629629631</x:v>
      </x:c>
      <x:c r="K1275" s="8" t="n">
        <x:v>1.5061629629629631</x:v>
      </x:c>
      <x:c r="L1275" s="8" t="n">
        <x:v>0</x:v>
      </x:c>
      <x:c r="M1275" s="7" t="n">
        <x:v>0</x:v>
      </x:c>
      <x:c r="N1275" s="2" t="str">
        <x:v>not_invoked</x:v>
      </x:c>
      <x:c r="O1275" s="9" t="str"/>
    </x:row>
    <x:row r="1276" ht="18" customHeight="1">
      <x:c r="A1276" s="2" t="str">
        <x:v>controlled_n6_threshold_3</x:v>
      </x:c>
      <x:c r="B1276" s="2" t="str">
        <x:v>Unmanaged</x:v>
      </x:c>
      <x:c r="C1276" s="2"/>
      <x:c r="D1276" s="2" t="str">
        <x:v>baseline</x:v>
      </x:c>
      <x:c r="E1276" s="2" t="n">
        <x:v>2</x:v>
      </x:c>
      <x:c r="F1276" s="7" t="n">
        <x:v>61</x:v>
      </x:c>
      <x:c r="G1276" s="7" t="n">
        <x:v>61</x:v>
      </x:c>
      <x:c r="H1276" s="7" t="n">
        <x:f>IF(F1276=0,"n.a.",100*(F1276-G1276)/F1276)</x:f>
        <x:v>0</x:v>
      </x:c>
      <x:c r="I1276" s="7" t="n">
        <x:f>F1276-G1276</x:f>
        <x:v>0</x:v>
      </x:c>
      <x:c r="J1276" s="8"/>
      <x:c r="K1276" s="8" t="n">
        <x:v>1.2082207139917696</x:v>
      </x:c>
      <x:c r="L1276" s="8"/>
      <x:c r="M1276" s="7"/>
      <x:c r="N1276" s="2" t="str">
        <x:v>unmanaged_input</x:v>
      </x:c>
      <x:c r="O1276" s="9"/>
    </x:row>
    <x:row r="1277" ht="18" customHeight="1">
      <x:c r="A1277" s="2" t="str">
        <x:v>controlled_n6_threshold_3</x:v>
      </x:c>
      <x:c r="B1277" s="2" t="str">
        <x:v>Exact J</x:v>
      </x:c>
      <x:c r="C1277" s="2"/>
      <x:c r="D1277" s="2" t="str">
        <x:v>success</x:v>
      </x:c>
      <x:c r="E1277" s="2" t="n">
        <x:v>2</x:v>
      </x:c>
      <x:c r="F1277" s="7" t="n">
        <x:v>61</x:v>
      </x:c>
      <x:c r="G1277" s="7" t="n">
        <x:v>48.5</x:v>
      </x:c>
      <x:c r="H1277" s="7" t="n">
        <x:f>IF(F1277=0,"n.a.",100*(F1277-G1277)/F1277)</x:f>
        <x:v>20.491803278688526</x:v>
      </x:c>
      <x:c r="I1277" s="7" t="n">
        <x:f>F1277-G1277</x:f>
        <x:v>12.5</x:v>
      </x:c>
      <x:c r="J1277" s="8" t="n">
        <x:v>1.2082207139917696</x:v>
      </x:c>
      <x:c r="K1277" s="8" t="n">
        <x:v>1.2082207139917696</x:v>
      </x:c>
      <x:c r="L1277" s="8" t="n">
        <x:v>0</x:v>
      </x:c>
      <x:c r="M1277" s="7"/>
      <x:c r="N1277" s="2" t="str">
        <x:v>exhaustive_enumeration</x:v>
      </x:c>
      <x:c r="O1277" s="9" t="str">
        <x:v>01</x:v>
      </x:c>
    </x:row>
    <x:row r="1278" ht="18" customHeight="1">
      <x:c r="A1278" s="2" t="str">
        <x:v>controlled_n6_threshold_3</x:v>
      </x:c>
      <x:c r="B1278" s="2" t="str">
        <x:v>Exact peak</x:v>
      </x:c>
      <x:c r="C1278" s="2"/>
      <x:c r="D1278" s="2" t="str">
        <x:v>success</x:v>
      </x:c>
      <x:c r="E1278" s="2" t="n">
        <x:v>2</x:v>
      </x:c>
      <x:c r="F1278" s="7" t="n">
        <x:v>61</x:v>
      </x:c>
      <x:c r="G1278" s="7" t="n">
        <x:v>48.5</x:v>
      </x:c>
      <x:c r="H1278" s="7" t="n">
        <x:f>IF(F1278=0,"n.a.",100*(F1278-G1278)/F1278)</x:f>
        <x:v>20.491803278688526</x:v>
      </x:c>
      <x:c r="I1278" s="7" t="n">
        <x:f>F1278-G1278</x:f>
        <x:v>12.5</x:v>
      </x:c>
      <x:c r="J1278" s="8" t="n">
        <x:v>1.2082207139917696</x:v>
      </x:c>
      <x:c r="K1278" s="8" t="n">
        <x:v>1.2082207139917696</x:v>
      </x:c>
      <x:c r="L1278" s="8" t="n">
        <x:v>0</x:v>
      </x:c>
      <x:c r="M1278" s="7"/>
      <x:c r="N1278" s="2" t="str">
        <x:v>exhaustive_enumeration</x:v>
      </x:c>
      <x:c r="O1278" s="9" t="str">
        <x:v>01</x:v>
      </x:c>
    </x:row>
    <x:row r="1279" ht="18" customHeight="1">
      <x:c r="A1279" s="2" t="str">
        <x:v>controlled_n6_threshold_3</x:v>
      </x:c>
      <x:c r="B1279" s="2" t="str">
        <x:v>BPSO</x:v>
      </x:c>
      <x:c r="C1279" s="2" t="n">
        <x:v>42</x:v>
      </x:c>
      <x:c r="D1279" s="2" t="str">
        <x:v>success</x:v>
      </x:c>
      <x:c r="E1279" s="2" t="n">
        <x:v>2</x:v>
      </x:c>
      <x:c r="F1279" s="7" t="n">
        <x:v>61</x:v>
      </x:c>
      <x:c r="G1279" s="7" t="n">
        <x:v>48.5</x:v>
      </x:c>
      <x:c r="H1279" s="7" t="n">
        <x:f>IF(F1279=0,"n.a.",100*(F1279-G1279)/F1279)</x:f>
        <x:v>20.491803278688526</x:v>
      </x:c>
      <x:c r="I1279" s="7" t="n">
        <x:f>F1279-G1279</x:f>
        <x:v>12.5</x:v>
      </x:c>
      <x:c r="J1279" s="8" t="n">
        <x:v>1.2082207139917696</x:v>
      </x:c>
      <x:c r="K1279" s="8" t="n">
        <x:v>1.2082207139917696</x:v>
      </x:c>
      <x:c r="L1279" s="8" t="n">
        <x:v>0</x:v>
      </x:c>
      <x:c r="M1279" s="7" t="n">
        <x:v>12.96389999333769</x:v>
      </x:c>
      <x:c r="N1279" s="2" t="str">
        <x:v>repository_particle_dynamics_on_frozen_qubo</x:v>
      </x:c>
      <x:c r="O1279" s="9" t="str">
        <x:v>10</x:v>
      </x:c>
    </x:row>
    <x:row r="1280" ht="18" customHeight="1">
      <x:c r="A1280" s="2" t="str">
        <x:v>controlled_n6_threshold_3</x:v>
      </x:c>
      <x:c r="B1280" s="2" t="str">
        <x:v>QAOA</x:v>
      </x:c>
      <x:c r="C1280" s="2" t="n">
        <x:v>42</x:v>
      </x:c>
      <x:c r="D1280" s="2" t="str">
        <x:v>success</x:v>
      </x:c>
      <x:c r="E1280" s="2" t="n">
        <x:v>2</x:v>
      </x:c>
      <x:c r="F1280" s="7" t="n">
        <x:v>61</x:v>
      </x:c>
      <x:c r="G1280" s="7" t="n">
        <x:v>48.5</x:v>
      </x:c>
      <x:c r="H1280" s="7" t="n">
        <x:f>IF(F1280=0,"n.a.",100*(F1280-G1280)/F1280)</x:f>
        <x:v>20.491803278688526</x:v>
      </x:c>
      <x:c r="I1280" s="7" t="n">
        <x:f>F1280-G1280</x:f>
        <x:v>12.5</x:v>
      </x:c>
      <x:c r="J1280" s="8" t="n">
        <x:v>1.2082207139917696</x:v>
      </x:c>
      <x:c r="K1280" s="8" t="n">
        <x:v>1.2082207139917696</x:v>
      </x:c>
      <x:c r="L1280" s="8" t="n">
        <x:v>0</x:v>
      </x:c>
      <x:c r="M1280" s="7" t="n">
        <x:v>95.19170000567101</x:v>
      </x:c>
      <x:c r="N1280" s="2" t="str">
        <x:v>qiskit.primitives.StatevectorSampler</x:v>
      </x:c>
      <x:c r="O1280" s="9" t="str">
        <x:v>01</x:v>
      </x:c>
    </x:row>
    <x:row r="1281" ht="18" customHeight="1">
      <x:c r="A1281" s="2" t="str">
        <x:v>controlled_n6_threshold_3</x:v>
      </x:c>
      <x:c r="B1281" s="2" t="str">
        <x:v>BPSO</x:v>
      </x:c>
      <x:c r="C1281" s="2" t="n">
        <x:v>123</x:v>
      </x:c>
      <x:c r="D1281" s="2" t="str">
        <x:v>success</x:v>
      </x:c>
      <x:c r="E1281" s="2" t="n">
        <x:v>2</x:v>
      </x:c>
      <x:c r="F1281" s="7" t="n">
        <x:v>61</x:v>
      </x:c>
      <x:c r="G1281" s="7" t="n">
        <x:v>48.5</x:v>
      </x:c>
      <x:c r="H1281" s="7" t="n">
        <x:f>IF(F1281=0,"n.a.",100*(F1281-G1281)/F1281)</x:f>
        <x:v>20.491803278688526</x:v>
      </x:c>
      <x:c r="I1281" s="7" t="n">
        <x:f>F1281-G1281</x:f>
        <x:v>12.5</x:v>
      </x:c>
      <x:c r="J1281" s="8" t="n">
        <x:v>1.2082207139917696</x:v>
      </x:c>
      <x:c r="K1281" s="8" t="n">
        <x:v>1.2082207139917696</x:v>
      </x:c>
      <x:c r="L1281" s="8" t="n">
        <x:v>0</x:v>
      </x:c>
      <x:c r="M1281" s="7" t="n">
        <x:v>13.384500009124167</x:v>
      </x:c>
      <x:c r="N1281" s="2" t="str">
        <x:v>repository_particle_dynamics_on_frozen_qubo</x:v>
      </x:c>
      <x:c r="O1281" s="9" t="str">
        <x:v>10</x:v>
      </x:c>
    </x:row>
    <x:row r="1282" ht="18" customHeight="1">
      <x:c r="A1282" s="2" t="str">
        <x:v>controlled_n6_threshold_3</x:v>
      </x:c>
      <x:c r="B1282" s="2" t="str">
        <x:v>QAOA</x:v>
      </x:c>
      <x:c r="C1282" s="2" t="n">
        <x:v>123</x:v>
      </x:c>
      <x:c r="D1282" s="2" t="str">
        <x:v>success</x:v>
      </x:c>
      <x:c r="E1282" s="2" t="n">
        <x:v>2</x:v>
      </x:c>
      <x:c r="F1282" s="7" t="n">
        <x:v>61</x:v>
      </x:c>
      <x:c r="G1282" s="7" t="n">
        <x:v>48.5</x:v>
      </x:c>
      <x:c r="H1282" s="7" t="n">
        <x:f>IF(F1282=0,"n.a.",100*(F1282-G1282)/F1282)</x:f>
        <x:v>20.491803278688526</x:v>
      </x:c>
      <x:c r="I1282" s="7" t="n">
        <x:f>F1282-G1282</x:f>
        <x:v>12.5</x:v>
      </x:c>
      <x:c r="J1282" s="8" t="n">
        <x:v>1.2082207139917696</x:v>
      </x:c>
      <x:c r="K1282" s="8" t="n">
        <x:v>1.2082207139917696</x:v>
      </x:c>
      <x:c r="L1282" s="8" t="n">
        <x:v>0</x:v>
      </x:c>
      <x:c r="M1282" s="7" t="n">
        <x:v>131.38569999136962</x:v>
      </x:c>
      <x:c r="N1282" s="2" t="str">
        <x:v>qiskit.primitives.StatevectorSampler</x:v>
      </x:c>
      <x:c r="O1282" s="9" t="str">
        <x:v>01</x:v>
      </x:c>
    </x:row>
    <x:row r="1283" ht="18" customHeight="1">
      <x:c r="A1283" s="2" t="str">
        <x:v>controlled_n6_threshold_3</x:v>
      </x:c>
      <x:c r="B1283" s="2" t="str">
        <x:v>BPSO</x:v>
      </x:c>
      <x:c r="C1283" s="2" t="n">
        <x:v>456</x:v>
      </x:c>
      <x:c r="D1283" s="2" t="str">
        <x:v>success</x:v>
      </x:c>
      <x:c r="E1283" s="2" t="n">
        <x:v>2</x:v>
      </x:c>
      <x:c r="F1283" s="7" t="n">
        <x:v>61</x:v>
      </x:c>
      <x:c r="G1283" s="7" t="n">
        <x:v>48.5</x:v>
      </x:c>
      <x:c r="H1283" s="7" t="n">
        <x:f>IF(F1283=0,"n.a.",100*(F1283-G1283)/F1283)</x:f>
        <x:v>20.491803278688526</x:v>
      </x:c>
      <x:c r="I1283" s="7" t="n">
        <x:f>F1283-G1283</x:f>
        <x:v>12.5</x:v>
      </x:c>
      <x:c r="J1283" s="8" t="n">
        <x:v>1.2082207139917696</x:v>
      </x:c>
      <x:c r="K1283" s="8" t="n">
        <x:v>1.2082207139917696</x:v>
      </x:c>
      <x:c r="L1283" s="8" t="n">
        <x:v>0</x:v>
      </x:c>
      <x:c r="M1283" s="7" t="n">
        <x:v>13.274299999466166</x:v>
      </x:c>
      <x:c r="N1283" s="2" t="str">
        <x:v>repository_particle_dynamics_on_frozen_qubo</x:v>
      </x:c>
      <x:c r="O1283" s="9" t="str">
        <x:v>10</x:v>
      </x:c>
    </x:row>
    <x:row r="1284" ht="18" customHeight="1">
      <x:c r="A1284" s="2" t="str">
        <x:v>controlled_n6_threshold_3</x:v>
      </x:c>
      <x:c r="B1284" s="2" t="str">
        <x:v>QAOA</x:v>
      </x:c>
      <x:c r="C1284" s="2" t="n">
        <x:v>456</x:v>
      </x:c>
      <x:c r="D1284" s="2" t="str">
        <x:v>success</x:v>
      </x:c>
      <x:c r="E1284" s="2" t="n">
        <x:v>2</x:v>
      </x:c>
      <x:c r="F1284" s="7" t="n">
        <x:v>61</x:v>
      </x:c>
      <x:c r="G1284" s="7" t="n">
        <x:v>48.5</x:v>
      </x:c>
      <x:c r="H1284" s="7" t="n">
        <x:f>IF(F1284=0,"n.a.",100*(F1284-G1284)/F1284)</x:f>
        <x:v>20.491803278688526</x:v>
      </x:c>
      <x:c r="I1284" s="7" t="n">
        <x:f>F1284-G1284</x:f>
        <x:v>12.5</x:v>
      </x:c>
      <x:c r="J1284" s="8" t="n">
        <x:v>1.2082207139917696</x:v>
      </x:c>
      <x:c r="K1284" s="8" t="n">
        <x:v>1.2082207139917696</x:v>
      </x:c>
      <x:c r="L1284" s="8" t="n">
        <x:v>0</x:v>
      </x:c>
      <x:c r="M1284" s="7" t="n">
        <x:v>93.97319999698084</x:v>
      </x:c>
      <x:c r="N1284" s="2" t="str">
        <x:v>qiskit.primitives.StatevectorSampler</x:v>
      </x:c>
      <x:c r="O1284" s="9" t="str">
        <x:v>10</x:v>
      </x:c>
    </x:row>
    <x:row r="1285" ht="18" customHeight="1">
      <x:c r="A1285" s="2" t="str">
        <x:v>controlled_n6_threshold_3</x:v>
      </x:c>
      <x:c r="B1285" s="2" t="str">
        <x:v>BPSO</x:v>
      </x:c>
      <x:c r="C1285" s="2" t="n">
        <x:v>789</x:v>
      </x:c>
      <x:c r="D1285" s="2" t="str">
        <x:v>success</x:v>
      </x:c>
      <x:c r="E1285" s="2" t="n">
        <x:v>2</x:v>
      </x:c>
      <x:c r="F1285" s="7" t="n">
        <x:v>61</x:v>
      </x:c>
      <x:c r="G1285" s="7" t="n">
        <x:v>48.5</x:v>
      </x:c>
      <x:c r="H1285" s="7" t="n">
        <x:f>IF(F1285=0,"n.a.",100*(F1285-G1285)/F1285)</x:f>
        <x:v>20.491803278688526</x:v>
      </x:c>
      <x:c r="I1285" s="7" t="n">
        <x:f>F1285-G1285</x:f>
        <x:v>12.5</x:v>
      </x:c>
      <x:c r="J1285" s="8" t="n">
        <x:v>1.2082207139917696</x:v>
      </x:c>
      <x:c r="K1285" s="8" t="n">
        <x:v>1.2082207139917696</x:v>
      </x:c>
      <x:c r="L1285" s="8" t="n">
        <x:v>0</x:v>
      </x:c>
      <x:c r="M1285" s="7" t="n">
        <x:v>12.945499998750165</x:v>
      </x:c>
      <x:c r="N1285" s="2" t="str">
        <x:v>repository_particle_dynamics_on_frozen_qubo</x:v>
      </x:c>
      <x:c r="O1285" s="9" t="str">
        <x:v>01</x:v>
      </x:c>
    </x:row>
    <x:row r="1286" ht="18" customHeight="1">
      <x:c r="A1286" s="2" t="str">
        <x:v>controlled_n6_threshold_3</x:v>
      </x:c>
      <x:c r="B1286" s="2" t="str">
        <x:v>QAOA</x:v>
      </x:c>
      <x:c r="C1286" s="2" t="n">
        <x:v>789</x:v>
      </x:c>
      <x:c r="D1286" s="2" t="str">
        <x:v>success</x:v>
      </x:c>
      <x:c r="E1286" s="2" t="n">
        <x:v>2</x:v>
      </x:c>
      <x:c r="F1286" s="7" t="n">
        <x:v>61</x:v>
      </x:c>
      <x:c r="G1286" s="7" t="n">
        <x:v>48.5</x:v>
      </x:c>
      <x:c r="H1286" s="7" t="n">
        <x:f>IF(F1286=0,"n.a.",100*(F1286-G1286)/F1286)</x:f>
        <x:v>20.491803278688526</x:v>
      </x:c>
      <x:c r="I1286" s="7" t="n">
        <x:f>F1286-G1286</x:f>
        <x:v>12.5</x:v>
      </x:c>
      <x:c r="J1286" s="8" t="n">
        <x:v>1.2082207139917696</x:v>
      </x:c>
      <x:c r="K1286" s="8" t="n">
        <x:v>1.2082207139917696</x:v>
      </x:c>
      <x:c r="L1286" s="8" t="n">
        <x:v>0</x:v>
      </x:c>
      <x:c r="M1286" s="7" t="n">
        <x:v>93.8220999960322</x:v>
      </x:c>
      <x:c r="N1286" s="2" t="str">
        <x:v>qiskit.primitives.StatevectorSampler</x:v>
      </x:c>
      <x:c r="O1286" s="9" t="str">
        <x:v>01</x:v>
      </x:c>
    </x:row>
    <x:row r="1287" ht="18" customHeight="1">
      <x:c r="A1287" s="2" t="str">
        <x:v>controlled_n6_threshold_3</x:v>
      </x:c>
      <x:c r="B1287" s="2" t="str">
        <x:v>BPSO</x:v>
      </x:c>
      <x:c r="C1287" s="2" t="n">
        <x:v>2026</x:v>
      </x:c>
      <x:c r="D1287" s="2" t="str">
        <x:v>success</x:v>
      </x:c>
      <x:c r="E1287" s="2" t="n">
        <x:v>2</x:v>
      </x:c>
      <x:c r="F1287" s="7" t="n">
        <x:v>61</x:v>
      </x:c>
      <x:c r="G1287" s="7" t="n">
        <x:v>48.5</x:v>
      </x:c>
      <x:c r="H1287" s="7" t="n">
        <x:f>IF(F1287=0,"n.a.",100*(F1287-G1287)/F1287)</x:f>
        <x:v>20.491803278688526</x:v>
      </x:c>
      <x:c r="I1287" s="7" t="n">
        <x:f>F1287-G1287</x:f>
        <x:v>12.5</x:v>
      </x:c>
      <x:c r="J1287" s="8" t="n">
        <x:v>1.2082207139917696</x:v>
      </x:c>
      <x:c r="K1287" s="8" t="n">
        <x:v>1.2082207139917696</x:v>
      </x:c>
      <x:c r="L1287" s="8" t="n">
        <x:v>0</x:v>
      </x:c>
      <x:c r="M1287" s="7" t="n">
        <x:v>13.75299999199342</x:v>
      </x:c>
      <x:c r="N1287" s="2" t="str">
        <x:v>repository_particle_dynamics_on_frozen_qubo</x:v>
      </x:c>
      <x:c r="O1287" s="9" t="str">
        <x:v>01</x:v>
      </x:c>
    </x:row>
    <x:row r="1288" ht="18" customHeight="1">
      <x:c r="A1288" s="2" t="str">
        <x:v>controlled_n6_threshold_3</x:v>
      </x:c>
      <x:c r="B1288" s="2" t="str">
        <x:v>QAOA</x:v>
      </x:c>
      <x:c r="C1288" s="2" t="n">
        <x:v>2026</x:v>
      </x:c>
      <x:c r="D1288" s="2" t="str">
        <x:v>success</x:v>
      </x:c>
      <x:c r="E1288" s="2" t="n">
        <x:v>2</x:v>
      </x:c>
      <x:c r="F1288" s="7" t="n">
        <x:v>61</x:v>
      </x:c>
      <x:c r="G1288" s="7" t="n">
        <x:v>48.5</x:v>
      </x:c>
      <x:c r="H1288" s="7" t="n">
        <x:f>IF(F1288=0,"n.a.",100*(F1288-G1288)/F1288)</x:f>
        <x:v>20.491803278688526</x:v>
      </x:c>
      <x:c r="I1288" s="7" t="n">
        <x:f>F1288-G1288</x:f>
        <x:v>12.5</x:v>
      </x:c>
      <x:c r="J1288" s="8" t="n">
        <x:v>1.2082207139917696</x:v>
      </x:c>
      <x:c r="K1288" s="8" t="n">
        <x:v>1.2082207139917696</x:v>
      </x:c>
      <x:c r="L1288" s="8" t="n">
        <x:v>0</x:v>
      </x:c>
      <x:c r="M1288" s="7" t="n">
        <x:v>96.52429999550804</x:v>
      </x:c>
      <x:c r="N1288" s="2" t="str">
        <x:v>qiskit.primitives.StatevectorSampler</x:v>
      </x:c>
      <x:c r="O1288" s="9" t="str">
        <x:v>10</x:v>
      </x:c>
    </x:row>
    <x:row r="1289" ht="18" customHeight="1">
      <x:c r="A1289" s="2" t="str">
        <x:v>controlled_n6_single_bottleneck_1</x:v>
      </x:c>
      <x:c r="B1289" s="2" t="str">
        <x:v>Unmanaged</x:v>
      </x:c>
      <x:c r="C1289" s="2"/>
      <x:c r="D1289" s="2" t="str">
        <x:v>baseline</x:v>
      </x:c>
      <x:c r="E1289" s="2" t="n">
        <x:v>3</x:v>
      </x:c>
      <x:c r="F1289" s="7" t="n">
        <x:v>65</x:v>
      </x:c>
      <x:c r="G1289" s="7" t="n">
        <x:v>65</x:v>
      </x:c>
      <x:c r="H1289" s="7" t="n">
        <x:f>IF(F1289=0,"n.a.",100*(F1289-G1289)/F1289)</x:f>
        <x:v>0</x:v>
      </x:c>
      <x:c r="I1289" s="7" t="n">
        <x:f>F1289-G1289</x:f>
        <x:v>0</x:v>
      </x:c>
      <x:c r="J1289" s="8"/>
      <x:c r="K1289" s="8" t="n">
        <x:v>1.14402683899177</x:v>
      </x:c>
      <x:c r="L1289" s="8"/>
      <x:c r="M1289" s="7"/>
      <x:c r="N1289" s="2" t="str">
        <x:v>unmanaged_input</x:v>
      </x:c>
      <x:c r="O1289" s="9"/>
    </x:row>
    <x:row r="1290" ht="18" customHeight="1">
      <x:c r="A1290" s="2" t="str">
        <x:v>controlled_n6_single_bottleneck_1</x:v>
      </x:c>
      <x:c r="B1290" s="2" t="str">
        <x:v>Exact J</x:v>
      </x:c>
      <x:c r="C1290" s="2"/>
      <x:c r="D1290" s="2" t="str">
        <x:v>success</x:v>
      </x:c>
      <x:c r="E1290" s="2" t="n">
        <x:v>3</x:v>
      </x:c>
      <x:c r="F1290" s="7" t="n">
        <x:v>65</x:v>
      </x:c>
      <x:c r="G1290" s="7" t="n">
        <x:v>46.25</x:v>
      </x:c>
      <x:c r="H1290" s="7" t="n">
        <x:f>IF(F1290=0,"n.a.",100*(F1290-G1290)/F1290)</x:f>
        <x:v>28.846153846153847</x:v>
      </x:c>
      <x:c r="I1290" s="7" t="n">
        <x:f>F1290-G1290</x:f>
        <x:v>18.75</x:v>
      </x:c>
      <x:c r="J1290" s="8" t="n">
        <x:v>1.14402683899177</x:v>
      </x:c>
      <x:c r="K1290" s="8" t="n">
        <x:v>1.14402683899177</x:v>
      </x:c>
      <x:c r="L1290" s="8" t="n">
        <x:v>0</x:v>
      </x:c>
      <x:c r="M1290" s="7"/>
      <x:c r="N1290" s="2" t="str">
        <x:v>exhaustive_enumeration</x:v>
      </x:c>
      <x:c r="O1290" s="9" t="str">
        <x:v>001</x:v>
      </x:c>
    </x:row>
    <x:row r="1291" ht="18" customHeight="1">
      <x:c r="A1291" s="2" t="str">
        <x:v>controlled_n6_single_bottleneck_1</x:v>
      </x:c>
      <x:c r="B1291" s="2" t="str">
        <x:v>Exact peak</x:v>
      </x:c>
      <x:c r="C1291" s="2"/>
      <x:c r="D1291" s="2" t="str">
        <x:v>success</x:v>
      </x:c>
      <x:c r="E1291" s="2" t="n">
        <x:v>3</x:v>
      </x:c>
      <x:c r="F1291" s="7" t="n">
        <x:v>65</x:v>
      </x:c>
      <x:c r="G1291" s="7" t="n">
        <x:v>46.25</x:v>
      </x:c>
      <x:c r="H1291" s="7" t="n">
        <x:f>IF(F1291=0,"n.a.",100*(F1291-G1291)/F1291)</x:f>
        <x:v>28.846153846153847</x:v>
      </x:c>
      <x:c r="I1291" s="7" t="n">
        <x:f>F1291-G1291</x:f>
        <x:v>18.75</x:v>
      </x:c>
      <x:c r="J1291" s="8" t="n">
        <x:v>1.14402683899177</x:v>
      </x:c>
      <x:c r="K1291" s="8" t="n">
        <x:v>1.14402683899177</x:v>
      </x:c>
      <x:c r="L1291" s="8" t="n">
        <x:v>0</x:v>
      </x:c>
      <x:c r="M1291" s="7"/>
      <x:c r="N1291" s="2" t="str">
        <x:v>exhaustive_enumeration</x:v>
      </x:c>
      <x:c r="O1291" s="9" t="str">
        <x:v>001</x:v>
      </x:c>
    </x:row>
    <x:row r="1292" ht="18" customHeight="1">
      <x:c r="A1292" s="2" t="str">
        <x:v>controlled_n6_single_bottleneck_1</x:v>
      </x:c>
      <x:c r="B1292" s="2" t="str">
        <x:v>BPSO</x:v>
      </x:c>
      <x:c r="C1292" s="2" t="n">
        <x:v>42</x:v>
      </x:c>
      <x:c r="D1292" s="2" t="str">
        <x:v>success</x:v>
      </x:c>
      <x:c r="E1292" s="2" t="n">
        <x:v>3</x:v>
      </x:c>
      <x:c r="F1292" s="7" t="n">
        <x:v>65</x:v>
      </x:c>
      <x:c r="G1292" s="7" t="n">
        <x:v>46.25</x:v>
      </x:c>
      <x:c r="H1292" s="7" t="n">
        <x:f>IF(F1292=0,"n.a.",100*(F1292-G1292)/F1292)</x:f>
        <x:v>28.846153846153847</x:v>
      </x:c>
      <x:c r="I1292" s="7" t="n">
        <x:f>F1292-G1292</x:f>
        <x:v>18.75</x:v>
      </x:c>
      <x:c r="J1292" s="8" t="n">
        <x:v>1.14402683899177</x:v>
      </x:c>
      <x:c r="K1292" s="8" t="n">
        <x:v>1.14402683899177</x:v>
      </x:c>
      <x:c r="L1292" s="8" t="n">
        <x:v>0</x:v>
      </x:c>
      <x:c r="M1292" s="7" t="n">
        <x:v>14.322999995783903</x:v>
      </x:c>
      <x:c r="N1292" s="2" t="str">
        <x:v>repository_particle_dynamics_on_frozen_qubo</x:v>
      </x:c>
      <x:c r="O1292" s="9" t="str">
        <x:v>100</x:v>
      </x:c>
    </x:row>
    <x:row r="1293" ht="18" customHeight="1">
      <x:c r="A1293" s="2" t="str">
        <x:v>controlled_n6_single_bottleneck_1</x:v>
      </x:c>
      <x:c r="B1293" s="2" t="str">
        <x:v>QAOA</x:v>
      </x:c>
      <x:c r="C1293" s="2" t="n">
        <x:v>42</x:v>
      </x:c>
      <x:c r="D1293" s="2" t="str">
        <x:v>success</x:v>
      </x:c>
      <x:c r="E1293" s="2" t="n">
        <x:v>3</x:v>
      </x:c>
      <x:c r="F1293" s="7" t="n">
        <x:v>65</x:v>
      </x:c>
      <x:c r="G1293" s="7" t="n">
        <x:v>46.25</x:v>
      </x:c>
      <x:c r="H1293" s="7" t="n">
        <x:f>IF(F1293=0,"n.a.",100*(F1293-G1293)/F1293)</x:f>
        <x:v>28.846153846153847</x:v>
      </x:c>
      <x:c r="I1293" s="7" t="n">
        <x:f>F1293-G1293</x:f>
        <x:v>18.75</x:v>
      </x:c>
      <x:c r="J1293" s="8" t="n">
        <x:v>1.14402683899177</x:v>
      </x:c>
      <x:c r="K1293" s="8" t="n">
        <x:v>1.14402683899177</x:v>
      </x:c>
      <x:c r="L1293" s="8" t="n">
        <x:v>0</x:v>
      </x:c>
      <x:c r="M1293" s="7" t="n">
        <x:v>136.73019999987446</x:v>
      </x:c>
      <x:c r="N1293" s="2" t="str">
        <x:v>qiskit.primitives.StatevectorSampler</x:v>
      </x:c>
      <x:c r="O1293" s="9" t="str">
        <x:v>100</x:v>
      </x:c>
    </x:row>
    <x:row r="1294" ht="18" customHeight="1">
      <x:c r="A1294" s="2" t="str">
        <x:v>controlled_n6_single_bottleneck_1</x:v>
      </x:c>
      <x:c r="B1294" s="2" t="str">
        <x:v>BPSO</x:v>
      </x:c>
      <x:c r="C1294" s="2" t="n">
        <x:v>123</x:v>
      </x:c>
      <x:c r="D1294" s="2" t="str">
        <x:v>success</x:v>
      </x:c>
      <x:c r="E1294" s="2" t="n">
        <x:v>3</x:v>
      </x:c>
      <x:c r="F1294" s="7" t="n">
        <x:v>65</x:v>
      </x:c>
      <x:c r="G1294" s="7" t="n">
        <x:v>46.25</x:v>
      </x:c>
      <x:c r="H1294" s="7" t="n">
        <x:f>IF(F1294=0,"n.a.",100*(F1294-G1294)/F1294)</x:f>
        <x:v>28.846153846153847</x:v>
      </x:c>
      <x:c r="I1294" s="7" t="n">
        <x:f>F1294-G1294</x:f>
        <x:v>18.75</x:v>
      </x:c>
      <x:c r="J1294" s="8" t="n">
        <x:v>1.14402683899177</x:v>
      </x:c>
      <x:c r="K1294" s="8" t="n">
        <x:v>1.14402683899177</x:v>
      </x:c>
      <x:c r="L1294" s="8" t="n">
        <x:v>0</x:v>
      </x:c>
      <x:c r="M1294" s="7" t="n">
        <x:v>16.698499995982274</x:v>
      </x:c>
      <x:c r="N1294" s="2" t="str">
        <x:v>repository_particle_dynamics_on_frozen_qubo</x:v>
      </x:c>
      <x:c r="O1294" s="9" t="str">
        <x:v>100</x:v>
      </x:c>
    </x:row>
    <x:row r="1295" ht="18" customHeight="1">
      <x:c r="A1295" s="2" t="str">
        <x:v>controlled_n6_single_bottleneck_1</x:v>
      </x:c>
      <x:c r="B1295" s="2" t="str">
        <x:v>QAOA</x:v>
      </x:c>
      <x:c r="C1295" s="2" t="n">
        <x:v>123</x:v>
      </x:c>
      <x:c r="D1295" s="2" t="str">
        <x:v>success</x:v>
      </x:c>
      <x:c r="E1295" s="2" t="n">
        <x:v>3</x:v>
      </x:c>
      <x:c r="F1295" s="7" t="n">
        <x:v>65</x:v>
      </x:c>
      <x:c r="G1295" s="7" t="n">
        <x:v>46.25</x:v>
      </x:c>
      <x:c r="H1295" s="7" t="n">
        <x:f>IF(F1295=0,"n.a.",100*(F1295-G1295)/F1295)</x:f>
        <x:v>28.846153846153847</x:v>
      </x:c>
      <x:c r="I1295" s="7" t="n">
        <x:f>F1295-G1295</x:f>
        <x:v>18.75</x:v>
      </x:c>
      <x:c r="J1295" s="8" t="n">
        <x:v>1.14402683899177</x:v>
      </x:c>
      <x:c r="K1295" s="8" t="n">
        <x:v>1.14402683899177</x:v>
      </x:c>
      <x:c r="L1295" s="8" t="n">
        <x:v>0</x:v>
      </x:c>
      <x:c r="M1295" s="7" t="n">
        <x:v>200.27739999932237</x:v>
      </x:c>
      <x:c r="N1295" s="2" t="str">
        <x:v>qiskit.primitives.StatevectorSampler</x:v>
      </x:c>
      <x:c r="O1295" s="9" t="str">
        <x:v>010</x:v>
      </x:c>
    </x:row>
    <x:row r="1296" ht="18" customHeight="1">
      <x:c r="A1296" s="2" t="str">
        <x:v>controlled_n6_single_bottleneck_1</x:v>
      </x:c>
      <x:c r="B1296" s="2" t="str">
        <x:v>BPSO</x:v>
      </x:c>
      <x:c r="C1296" s="2" t="n">
        <x:v>456</x:v>
      </x:c>
      <x:c r="D1296" s="2" t="str">
        <x:v>success</x:v>
      </x:c>
      <x:c r="E1296" s="2" t="n">
        <x:v>3</x:v>
      </x:c>
      <x:c r="F1296" s="7" t="n">
        <x:v>65</x:v>
      </x:c>
      <x:c r="G1296" s="7" t="n">
        <x:v>46.25</x:v>
      </x:c>
      <x:c r="H1296" s="7" t="n">
        <x:f>IF(F1296=0,"n.a.",100*(F1296-G1296)/F1296)</x:f>
        <x:v>28.846153846153847</x:v>
      </x:c>
      <x:c r="I1296" s="7" t="n">
        <x:f>F1296-G1296</x:f>
        <x:v>18.75</x:v>
      </x:c>
      <x:c r="J1296" s="8" t="n">
        <x:v>1.14402683899177</x:v>
      </x:c>
      <x:c r="K1296" s="8" t="n">
        <x:v>1.14402683899177</x:v>
      </x:c>
      <x:c r="L1296" s="8" t="n">
        <x:v>0</x:v>
      </x:c>
      <x:c r="M1296" s="7" t="n">
        <x:v>13.739000001805834</x:v>
      </x:c>
      <x:c r="N1296" s="2" t="str">
        <x:v>repository_particle_dynamics_on_frozen_qubo</x:v>
      </x:c>
      <x:c r="O1296" s="9" t="str">
        <x:v>010</x:v>
      </x:c>
    </x:row>
    <x:row r="1297" ht="18" customHeight="1">
      <x:c r="A1297" s="2" t="str">
        <x:v>controlled_n6_single_bottleneck_1</x:v>
      </x:c>
      <x:c r="B1297" s="2" t="str">
        <x:v>QAOA</x:v>
      </x:c>
      <x:c r="C1297" s="2" t="n">
        <x:v>456</x:v>
      </x:c>
      <x:c r="D1297" s="2" t="str">
        <x:v>success</x:v>
      </x:c>
      <x:c r="E1297" s="2" t="n">
        <x:v>3</x:v>
      </x:c>
      <x:c r="F1297" s="7" t="n">
        <x:v>65</x:v>
      </x:c>
      <x:c r="G1297" s="7" t="n">
        <x:v>46.25</x:v>
      </x:c>
      <x:c r="H1297" s="7" t="n">
        <x:f>IF(F1297=0,"n.a.",100*(F1297-G1297)/F1297)</x:f>
        <x:v>28.846153846153847</x:v>
      </x:c>
      <x:c r="I1297" s="7" t="n">
        <x:f>F1297-G1297</x:f>
        <x:v>18.75</x:v>
      </x:c>
      <x:c r="J1297" s="8" t="n">
        <x:v>1.14402683899177</x:v>
      </x:c>
      <x:c r="K1297" s="8" t="n">
        <x:v>1.14402683899177</x:v>
      </x:c>
      <x:c r="L1297" s="8" t="n">
        <x:v>0</x:v>
      </x:c>
      <x:c r="M1297" s="7" t="n">
        <x:v>125.79510000068694</x:v>
      </x:c>
      <x:c r="N1297" s="2" t="str">
        <x:v>qiskit.primitives.StatevectorSampler</x:v>
      </x:c>
      <x:c r="O1297" s="9" t="str">
        <x:v>100</x:v>
      </x:c>
    </x:row>
    <x:row r="1298" ht="18" customHeight="1">
      <x:c r="A1298" s="2" t="str">
        <x:v>controlled_n6_single_bottleneck_1</x:v>
      </x:c>
      <x:c r="B1298" s="2" t="str">
        <x:v>BPSO</x:v>
      </x:c>
      <x:c r="C1298" s="2" t="n">
        <x:v>789</x:v>
      </x:c>
      <x:c r="D1298" s="2" t="str">
        <x:v>success</x:v>
      </x:c>
      <x:c r="E1298" s="2" t="n">
        <x:v>3</x:v>
      </x:c>
      <x:c r="F1298" s="7" t="n">
        <x:v>65</x:v>
      </x:c>
      <x:c r="G1298" s="7" t="n">
        <x:v>46.25</x:v>
      </x:c>
      <x:c r="H1298" s="7" t="n">
        <x:f>IF(F1298=0,"n.a.",100*(F1298-G1298)/F1298)</x:f>
        <x:v>28.846153846153847</x:v>
      </x:c>
      <x:c r="I1298" s="7" t="n">
        <x:f>F1298-G1298</x:f>
        <x:v>18.75</x:v>
      </x:c>
      <x:c r="J1298" s="8" t="n">
        <x:v>1.14402683899177</x:v>
      </x:c>
      <x:c r="K1298" s="8" t="n">
        <x:v>1.14402683899177</x:v>
      </x:c>
      <x:c r="L1298" s="8" t="n">
        <x:v>0</x:v>
      </x:c>
      <x:c r="M1298" s="7" t="n">
        <x:v>14.40859999274835</x:v>
      </x:c>
      <x:c r="N1298" s="2" t="str">
        <x:v>repository_particle_dynamics_on_frozen_qubo</x:v>
      </x:c>
      <x:c r="O1298" s="9" t="str">
        <x:v>001</x:v>
      </x:c>
    </x:row>
    <x:row r="1299" ht="18" customHeight="1">
      <x:c r="A1299" s="2" t="str">
        <x:v>controlled_n6_single_bottleneck_1</x:v>
      </x:c>
      <x:c r="B1299" s="2" t="str">
        <x:v>QAOA</x:v>
      </x:c>
      <x:c r="C1299" s="2" t="n">
        <x:v>789</x:v>
      </x:c>
      <x:c r="D1299" s="2" t="str">
        <x:v>success</x:v>
      </x:c>
      <x:c r="E1299" s="2" t="n">
        <x:v>3</x:v>
      </x:c>
      <x:c r="F1299" s="7" t="n">
        <x:v>65</x:v>
      </x:c>
      <x:c r="G1299" s="7" t="n">
        <x:v>46.25</x:v>
      </x:c>
      <x:c r="H1299" s="7" t="n">
        <x:f>IF(F1299=0,"n.a.",100*(F1299-G1299)/F1299)</x:f>
        <x:v>28.846153846153847</x:v>
      </x:c>
      <x:c r="I1299" s="7" t="n">
        <x:f>F1299-G1299</x:f>
        <x:v>18.75</x:v>
      </x:c>
      <x:c r="J1299" s="8" t="n">
        <x:v>1.14402683899177</x:v>
      </x:c>
      <x:c r="K1299" s="8" t="n">
        <x:v>1.14402683899177</x:v>
      </x:c>
      <x:c r="L1299" s="8" t="n">
        <x:v>0</x:v>
      </x:c>
      <x:c r="M1299" s="7" t="n">
        <x:v>104.09040001104586</x:v>
      </x:c>
      <x:c r="N1299" s="2" t="str">
        <x:v>qiskit.primitives.StatevectorSampler</x:v>
      </x:c>
      <x:c r="O1299" s="9" t="str">
        <x:v>100</x:v>
      </x:c>
    </x:row>
    <x:row r="1300" ht="18" customHeight="1">
      <x:c r="A1300" s="2" t="str">
        <x:v>controlled_n6_single_bottleneck_1</x:v>
      </x:c>
      <x:c r="B1300" s="2" t="str">
        <x:v>BPSO</x:v>
      </x:c>
      <x:c r="C1300" s="2" t="n">
        <x:v>2026</x:v>
      </x:c>
      <x:c r="D1300" s="2" t="str">
        <x:v>success</x:v>
      </x:c>
      <x:c r="E1300" s="2" t="n">
        <x:v>3</x:v>
      </x:c>
      <x:c r="F1300" s="7" t="n">
        <x:v>65</x:v>
      </x:c>
      <x:c r="G1300" s="7" t="n">
        <x:v>46.25</x:v>
      </x:c>
      <x:c r="H1300" s="7" t="n">
        <x:f>IF(F1300=0,"n.a.",100*(F1300-G1300)/F1300)</x:f>
        <x:v>28.846153846153847</x:v>
      </x:c>
      <x:c r="I1300" s="7" t="n">
        <x:f>F1300-G1300</x:f>
        <x:v>18.75</x:v>
      </x:c>
      <x:c r="J1300" s="8" t="n">
        <x:v>1.14402683899177</x:v>
      </x:c>
      <x:c r="K1300" s="8" t="n">
        <x:v>1.14402683899177</x:v>
      </x:c>
      <x:c r="L1300" s="8" t="n">
        <x:v>0</x:v>
      </x:c>
      <x:c r="M1300" s="7" t="n">
        <x:v>13.430300008621998</x:v>
      </x:c>
      <x:c r="N1300" s="2" t="str">
        <x:v>repository_particle_dynamics_on_frozen_qubo</x:v>
      </x:c>
      <x:c r="O1300" s="9" t="str">
        <x:v>010</x:v>
      </x:c>
    </x:row>
    <x:row r="1301" ht="18" customHeight="1">
      <x:c r="A1301" s="2" t="str">
        <x:v>controlled_n6_single_bottleneck_1</x:v>
      </x:c>
      <x:c r="B1301" s="2" t="str">
        <x:v>QAOA</x:v>
      </x:c>
      <x:c r="C1301" s="2" t="n">
        <x:v>2026</x:v>
      </x:c>
      <x:c r="D1301" s="2" t="str">
        <x:v>success</x:v>
      </x:c>
      <x:c r="E1301" s="2" t="n">
        <x:v>3</x:v>
      </x:c>
      <x:c r="F1301" s="7" t="n">
        <x:v>65</x:v>
      </x:c>
      <x:c r="G1301" s="7" t="n">
        <x:v>46.25</x:v>
      </x:c>
      <x:c r="H1301" s="7" t="n">
        <x:f>IF(F1301=0,"n.a.",100*(F1301-G1301)/F1301)</x:f>
        <x:v>28.846153846153847</x:v>
      </x:c>
      <x:c r="I1301" s="7" t="n">
        <x:f>F1301-G1301</x:f>
        <x:v>18.75</x:v>
      </x:c>
      <x:c r="J1301" s="8" t="n">
        <x:v>1.14402683899177</x:v>
      </x:c>
      <x:c r="K1301" s="8" t="n">
        <x:v>1.14402683899177</x:v>
      </x:c>
      <x:c r="L1301" s="8" t="n">
        <x:v>0</x:v>
      </x:c>
      <x:c r="M1301" s="7" t="n">
        <x:v>123.65429999772459</x:v>
      </x:c>
      <x:c r="N1301" s="2" t="str">
        <x:v>qiskit.primitives.StatevectorSampler</x:v>
      </x:c>
      <x:c r="O1301" s="9" t="str">
        <x:v>100</x:v>
      </x:c>
    </x:row>
    <x:row r="1302" ht="18" customHeight="1">
      <x:c r="A1302" s="2" t="str">
        <x:v>controlled_n6_single_bottleneck_2</x:v>
      </x:c>
      <x:c r="B1302" s="2" t="str">
        <x:v>Unmanaged</x:v>
      </x:c>
      <x:c r="C1302" s="2"/>
      <x:c r="D1302" s="2" t="str">
        <x:v>baseline</x:v>
      </x:c>
      <x:c r="E1302" s="2" t="n">
        <x:v>5</x:v>
      </x:c>
      <x:c r="F1302" s="7" t="n">
        <x:v>80</x:v>
      </x:c>
      <x:c r="G1302" s="7" t="n">
        <x:v>80</x:v>
      </x:c>
      <x:c r="H1302" s="7" t="n">
        <x:f>IF(F1302=0,"n.a.",100*(F1302-G1302)/F1302)</x:f>
        <x:v>0</x:v>
      </x:c>
      <x:c r="I1302" s="7" t="n">
        <x:f>F1302-G1302</x:f>
        <x:v>0</x:v>
      </x:c>
      <x:c r="J1302" s="8"/>
      <x:c r="K1302" s="8" t="n">
        <x:v>1.0630635288065848</x:v>
      </x:c>
      <x:c r="L1302" s="8"/>
      <x:c r="M1302" s="7"/>
      <x:c r="N1302" s="2" t="str">
        <x:v>unmanaged_input</x:v>
      </x:c>
      <x:c r="O1302" s="9"/>
    </x:row>
    <x:row r="1303" ht="18" customHeight="1">
      <x:c r="A1303" s="2" t="str">
        <x:v>controlled_n6_single_bottleneck_2</x:v>
      </x:c>
      <x:c r="B1303" s="2" t="str">
        <x:v>Exact J</x:v>
      </x:c>
      <x:c r="C1303" s="2"/>
      <x:c r="D1303" s="2" t="str">
        <x:v>success</x:v>
      </x:c>
      <x:c r="E1303" s="2" t="n">
        <x:v>5</x:v>
      </x:c>
      <x:c r="F1303" s="7" t="n">
        <x:v>80</x:v>
      </x:c>
      <x:c r="G1303" s="7" t="n">
        <x:v>52.5</x:v>
      </x:c>
      <x:c r="H1303" s="7" t="n">
        <x:f>IF(F1303=0,"n.a.",100*(F1303-G1303)/F1303)</x:f>
        <x:v>34.375</x:v>
      </x:c>
      <x:c r="I1303" s="7" t="n">
        <x:f>F1303-G1303</x:f>
        <x:v>27.5</x:v>
      </x:c>
      <x:c r="J1303" s="8" t="n">
        <x:v>1.0630635288065848</x:v>
      </x:c>
      <x:c r="K1303" s="8" t="n">
        <x:v>1.0630635288065848</x:v>
      </x:c>
      <x:c r="L1303" s="8" t="n">
        <x:v>0</x:v>
      </x:c>
      <x:c r="M1303" s="7"/>
      <x:c r="N1303" s="2" t="str">
        <x:v>exhaustive_enumeration</x:v>
      </x:c>
      <x:c r="O1303" s="9" t="str">
        <x:v>00011</x:v>
      </x:c>
    </x:row>
    <x:row r="1304" ht="18" customHeight="1">
      <x:c r="A1304" s="2" t="str">
        <x:v>controlled_n6_single_bottleneck_2</x:v>
      </x:c>
      <x:c r="B1304" s="2" t="str">
        <x:v>Exact peak</x:v>
      </x:c>
      <x:c r="C1304" s="2"/>
      <x:c r="D1304" s="2" t="str">
        <x:v>success</x:v>
      </x:c>
      <x:c r="E1304" s="2" t="n">
        <x:v>5</x:v>
      </x:c>
      <x:c r="F1304" s="7" t="n">
        <x:v>80</x:v>
      </x:c>
      <x:c r="G1304" s="7" t="n">
        <x:v>52.5</x:v>
      </x:c>
      <x:c r="H1304" s="7" t="n">
        <x:f>IF(F1304=0,"n.a.",100*(F1304-G1304)/F1304)</x:f>
        <x:v>34.375</x:v>
      </x:c>
      <x:c r="I1304" s="7" t="n">
        <x:f>F1304-G1304</x:f>
        <x:v>27.5</x:v>
      </x:c>
      <x:c r="J1304" s="8" t="n">
        <x:v>1.0630635288065848</x:v>
      </x:c>
      <x:c r="K1304" s="8" t="n">
        <x:v>1.0630635288065848</x:v>
      </x:c>
      <x:c r="L1304" s="8" t="n">
        <x:v>0</x:v>
      </x:c>
      <x:c r="M1304" s="7"/>
      <x:c r="N1304" s="2" t="str">
        <x:v>exhaustive_enumeration</x:v>
      </x:c>
      <x:c r="O1304" s="9" t="str">
        <x:v>00011</x:v>
      </x:c>
    </x:row>
    <x:row r="1305" ht="18" customHeight="1">
      <x:c r="A1305" s="2" t="str">
        <x:v>controlled_n6_single_bottleneck_2</x:v>
      </x:c>
      <x:c r="B1305" s="2" t="str">
        <x:v>BPSO</x:v>
      </x:c>
      <x:c r="C1305" s="2" t="n">
        <x:v>42</x:v>
      </x:c>
      <x:c r="D1305" s="2" t="str">
        <x:v>success</x:v>
      </x:c>
      <x:c r="E1305" s="2" t="n">
        <x:v>5</x:v>
      </x:c>
      <x:c r="F1305" s="7" t="n">
        <x:v>80</x:v>
      </x:c>
      <x:c r="G1305" s="7" t="n">
        <x:v>52.5</x:v>
      </x:c>
      <x:c r="H1305" s="7" t="n">
        <x:f>IF(F1305=0,"n.a.",100*(F1305-G1305)/F1305)</x:f>
        <x:v>34.375</x:v>
      </x:c>
      <x:c r="I1305" s="7" t="n">
        <x:f>F1305-G1305</x:f>
        <x:v>27.5</x:v>
      </x:c>
      <x:c r="J1305" s="8" t="n">
        <x:v>1.0630635288065848</x:v>
      </x:c>
      <x:c r="K1305" s="8" t="n">
        <x:v>1.0630635288065848</x:v>
      </x:c>
      <x:c r="L1305" s="8" t="n">
        <x:v>0</x:v>
      </x:c>
      <x:c r="M1305" s="7" t="n">
        <x:v>14.856699999654666</x:v>
      </x:c>
      <x:c r="N1305" s="2" t="str">
        <x:v>repository_particle_dynamics_on_frozen_qubo</x:v>
      </x:c>
      <x:c r="O1305" s="9" t="str">
        <x:v>11000</x:v>
      </x:c>
    </x:row>
    <x:row r="1306" ht="18" customHeight="1">
      <x:c r="A1306" s="2" t="str">
        <x:v>controlled_n6_single_bottleneck_2</x:v>
      </x:c>
      <x:c r="B1306" s="2" t="str">
        <x:v>QAOA</x:v>
      </x:c>
      <x:c r="C1306" s="2" t="n">
        <x:v>42</x:v>
      </x:c>
      <x:c r="D1306" s="2" t="str">
        <x:v>success</x:v>
      </x:c>
      <x:c r="E1306" s="2" t="n">
        <x:v>5</x:v>
      </x:c>
      <x:c r="F1306" s="7" t="n">
        <x:v>80</x:v>
      </x:c>
      <x:c r="G1306" s="7" t="n">
        <x:v>52.5</x:v>
      </x:c>
      <x:c r="H1306" s="7" t="n">
        <x:f>IF(F1306=0,"n.a.",100*(F1306-G1306)/F1306)</x:f>
        <x:v>34.375</x:v>
      </x:c>
      <x:c r="I1306" s="7" t="n">
        <x:f>F1306-G1306</x:f>
        <x:v>27.5</x:v>
      </x:c>
      <x:c r="J1306" s="8" t="n">
        <x:v>1.0630635288065848</x:v>
      </x:c>
      <x:c r="K1306" s="8" t="n">
        <x:v>1.0630635288065848</x:v>
      </x:c>
      <x:c r="L1306" s="8" t="n">
        <x:v>0</x:v>
      </x:c>
      <x:c r="M1306" s="7" t="n">
        <x:v>215.02819999295752</x:v>
      </x:c>
      <x:c r="N1306" s="2" t="str">
        <x:v>qiskit.primitives.StatevectorSampler</x:v>
      </x:c>
      <x:c r="O1306" s="9" t="str">
        <x:v>00011</x:v>
      </x:c>
    </x:row>
    <x:row r="1307" ht="18" customHeight="1">
      <x:c r="A1307" s="2" t="str">
        <x:v>controlled_n6_single_bottleneck_2</x:v>
      </x:c>
      <x:c r="B1307" s="2" t="str">
        <x:v>BPSO</x:v>
      </x:c>
      <x:c r="C1307" s="2" t="n">
        <x:v>123</x:v>
      </x:c>
      <x:c r="D1307" s="2" t="str">
        <x:v>success</x:v>
      </x:c>
      <x:c r="E1307" s="2" t="n">
        <x:v>5</x:v>
      </x:c>
      <x:c r="F1307" s="7" t="n">
        <x:v>80</x:v>
      </x:c>
      <x:c r="G1307" s="7" t="n">
        <x:v>52.5</x:v>
      </x:c>
      <x:c r="H1307" s="7" t="n">
        <x:f>IF(F1307=0,"n.a.",100*(F1307-G1307)/F1307)</x:f>
        <x:v>34.375</x:v>
      </x:c>
      <x:c r="I1307" s="7" t="n">
        <x:f>F1307-G1307</x:f>
        <x:v>27.5</x:v>
      </x:c>
      <x:c r="J1307" s="8" t="n">
        <x:v>1.0630635288065848</x:v>
      </x:c>
      <x:c r="K1307" s="8" t="n">
        <x:v>1.0630635288065848</x:v>
      </x:c>
      <x:c r="L1307" s="8" t="n">
        <x:v>0</x:v>
      </x:c>
      <x:c r="M1307" s="7" t="n">
        <x:v>17.43910000368487</x:v>
      </x:c>
      <x:c r="N1307" s="2" t="str">
        <x:v>repository_particle_dynamics_on_frozen_qubo</x:v>
      </x:c>
      <x:c r="O1307" s="9" t="str">
        <x:v>01010</x:v>
      </x:c>
    </x:row>
    <x:row r="1308" ht="18" customHeight="1">
      <x:c r="A1308" s="2" t="str">
        <x:v>controlled_n6_single_bottleneck_2</x:v>
      </x:c>
      <x:c r="B1308" s="2" t="str">
        <x:v>QAOA</x:v>
      </x:c>
      <x:c r="C1308" s="2" t="n">
        <x:v>123</x:v>
      </x:c>
      <x:c r="D1308" s="2" t="str">
        <x:v>success</x:v>
      </x:c>
      <x:c r="E1308" s="2" t="n">
        <x:v>5</x:v>
      </x:c>
      <x:c r="F1308" s="7" t="n">
        <x:v>80</x:v>
      </x:c>
      <x:c r="G1308" s="7" t="n">
        <x:v>52.5</x:v>
      </x:c>
      <x:c r="H1308" s="7" t="n">
        <x:f>IF(F1308=0,"n.a.",100*(F1308-G1308)/F1308)</x:f>
        <x:v>34.375</x:v>
      </x:c>
      <x:c r="I1308" s="7" t="n">
        <x:f>F1308-G1308</x:f>
        <x:v>27.5</x:v>
      </x:c>
      <x:c r="J1308" s="8" t="n">
        <x:v>1.0630635288065848</x:v>
      </x:c>
      <x:c r="K1308" s="8" t="n">
        <x:v>1.0630635288065848</x:v>
      </x:c>
      <x:c r="L1308" s="8" t="n">
        <x:v>0</x:v>
      </x:c>
      <x:c r="M1308" s="7" t="n">
        <x:v>362.8269999899203</x:v>
      </x:c>
      <x:c r="N1308" s="2" t="str">
        <x:v>qiskit.primitives.StatevectorSampler</x:v>
      </x:c>
      <x:c r="O1308" s="9" t="str">
        <x:v>11000</x:v>
      </x:c>
    </x:row>
    <x:row r="1309" ht="18" customHeight="1">
      <x:c r="A1309" s="2" t="str">
        <x:v>controlled_n6_single_bottleneck_2</x:v>
      </x:c>
      <x:c r="B1309" s="2" t="str">
        <x:v>BPSO</x:v>
      </x:c>
      <x:c r="C1309" s="2" t="n">
        <x:v>456</x:v>
      </x:c>
      <x:c r="D1309" s="2" t="str">
        <x:v>success</x:v>
      </x:c>
      <x:c r="E1309" s="2" t="n">
        <x:v>5</x:v>
      </x:c>
      <x:c r="F1309" s="7" t="n">
        <x:v>80</x:v>
      </x:c>
      <x:c r="G1309" s="7" t="n">
        <x:v>52.5</x:v>
      </x:c>
      <x:c r="H1309" s="7" t="n">
        <x:f>IF(F1309=0,"n.a.",100*(F1309-G1309)/F1309)</x:f>
        <x:v>34.375</x:v>
      </x:c>
      <x:c r="I1309" s="7" t="n">
        <x:f>F1309-G1309</x:f>
        <x:v>27.5</x:v>
      </x:c>
      <x:c r="J1309" s="8" t="n">
        <x:v>1.0630635288065848</x:v>
      </x:c>
      <x:c r="K1309" s="8" t="n">
        <x:v>1.0630635288065848</x:v>
      </x:c>
      <x:c r="L1309" s="8" t="n">
        <x:v>0</x:v>
      </x:c>
      <x:c r="M1309" s="7" t="n">
        <x:v>15.51610000024084</x:v>
      </x:c>
      <x:c r="N1309" s="2" t="str">
        <x:v>repository_particle_dynamics_on_frozen_qubo</x:v>
      </x:c>
      <x:c r="O1309" s="9" t="str">
        <x:v>00011</x:v>
      </x:c>
    </x:row>
    <x:row r="1310" ht="18" customHeight="1">
      <x:c r="A1310" s="2" t="str">
        <x:v>controlled_n6_single_bottleneck_2</x:v>
      </x:c>
      <x:c r="B1310" s="2" t="str">
        <x:v>QAOA</x:v>
      </x:c>
      <x:c r="C1310" s="2" t="n">
        <x:v>456</x:v>
      </x:c>
      <x:c r="D1310" s="2" t="str">
        <x:v>success</x:v>
      </x:c>
      <x:c r="E1310" s="2" t="n">
        <x:v>5</x:v>
      </x:c>
      <x:c r="F1310" s="7" t="n">
        <x:v>80</x:v>
      </x:c>
      <x:c r="G1310" s="7" t="n">
        <x:v>52.5</x:v>
      </x:c>
      <x:c r="H1310" s="7" t="n">
        <x:f>IF(F1310=0,"n.a.",100*(F1310-G1310)/F1310)</x:f>
        <x:v>34.375</x:v>
      </x:c>
      <x:c r="I1310" s="7" t="n">
        <x:f>F1310-G1310</x:f>
        <x:v>27.5</x:v>
      </x:c>
      <x:c r="J1310" s="8" t="n">
        <x:v>1.0630635288065848</x:v>
      </x:c>
      <x:c r="K1310" s="8" t="n">
        <x:v>1.0630635288065848</x:v>
      </x:c>
      <x:c r="L1310" s="8" t="n">
        <x:v>0</x:v>
      </x:c>
      <x:c r="M1310" s="7" t="n">
        <x:v>192.78850000409875</x:v>
      </x:c>
      <x:c r="N1310" s="2" t="str">
        <x:v>qiskit.primitives.StatevectorSampler</x:v>
      </x:c>
      <x:c r="O1310" s="9" t="str">
        <x:v>01100</x:v>
      </x:c>
    </x:row>
    <x:row r="1311" ht="18" customHeight="1">
      <x:c r="A1311" s="2" t="str">
        <x:v>controlled_n6_single_bottleneck_2</x:v>
      </x:c>
      <x:c r="B1311" s="2" t="str">
        <x:v>BPSO</x:v>
      </x:c>
      <x:c r="C1311" s="2" t="n">
        <x:v>789</x:v>
      </x:c>
      <x:c r="D1311" s="2" t="str">
        <x:v>success</x:v>
      </x:c>
      <x:c r="E1311" s="2" t="n">
        <x:v>5</x:v>
      </x:c>
      <x:c r="F1311" s="7" t="n">
        <x:v>80</x:v>
      </x:c>
      <x:c r="G1311" s="7" t="n">
        <x:v>52.5</x:v>
      </x:c>
      <x:c r="H1311" s="7" t="n">
        <x:f>IF(F1311=0,"n.a.",100*(F1311-G1311)/F1311)</x:f>
        <x:v>34.375</x:v>
      </x:c>
      <x:c r="I1311" s="7" t="n">
        <x:f>F1311-G1311</x:f>
        <x:v>27.5</x:v>
      </x:c>
      <x:c r="J1311" s="8" t="n">
        <x:v>1.0630635288065848</x:v>
      </x:c>
      <x:c r="K1311" s="8" t="n">
        <x:v>1.0630635288065848</x:v>
      </x:c>
      <x:c r="L1311" s="8" t="n">
        <x:v>0</x:v>
      </x:c>
      <x:c r="M1311" s="7" t="n">
        <x:v>14.730800001416355</x:v>
      </x:c>
      <x:c r="N1311" s="2" t="str">
        <x:v>repository_particle_dynamics_on_frozen_qubo</x:v>
      </x:c>
      <x:c r="O1311" s="9" t="str">
        <x:v>01100</x:v>
      </x:c>
    </x:row>
    <x:row r="1312" ht="18" customHeight="1">
      <x:c r="A1312" s="2" t="str">
        <x:v>controlled_n6_single_bottleneck_2</x:v>
      </x:c>
      <x:c r="B1312" s="2" t="str">
        <x:v>QAOA</x:v>
      </x:c>
      <x:c r="C1312" s="2" t="n">
        <x:v>789</x:v>
      </x:c>
      <x:c r="D1312" s="2" t="str">
        <x:v>success</x:v>
      </x:c>
      <x:c r="E1312" s="2" t="n">
        <x:v>5</x:v>
      </x:c>
      <x:c r="F1312" s="7" t="n">
        <x:v>80</x:v>
      </x:c>
      <x:c r="G1312" s="7" t="n">
        <x:v>52.5</x:v>
      </x:c>
      <x:c r="H1312" s="7" t="n">
        <x:f>IF(F1312=0,"n.a.",100*(F1312-G1312)/F1312)</x:f>
        <x:v>34.375</x:v>
      </x:c>
      <x:c r="I1312" s="7" t="n">
        <x:f>F1312-G1312</x:f>
        <x:v>27.5</x:v>
      </x:c>
      <x:c r="J1312" s="8" t="n">
        <x:v>1.0630635288065848</x:v>
      </x:c>
      <x:c r="K1312" s="8" t="n">
        <x:v>1.0630635288065848</x:v>
      </x:c>
      <x:c r="L1312" s="8" t="n">
        <x:v>0</x:v>
      </x:c>
      <x:c r="M1312" s="7" t="n">
        <x:v>141.57229999545962</x:v>
      </x:c>
      <x:c r="N1312" s="2" t="str">
        <x:v>qiskit.primitives.StatevectorSampler</x:v>
      </x:c>
      <x:c r="O1312" s="9" t="str">
        <x:v>10100</x:v>
      </x:c>
    </x:row>
    <x:row r="1313" ht="18" customHeight="1">
      <x:c r="A1313" s="2" t="str">
        <x:v>controlled_n6_single_bottleneck_2</x:v>
      </x:c>
      <x:c r="B1313" s="2" t="str">
        <x:v>BPSO</x:v>
      </x:c>
      <x:c r="C1313" s="2" t="n">
        <x:v>2026</x:v>
      </x:c>
      <x:c r="D1313" s="2" t="str">
        <x:v>success</x:v>
      </x:c>
      <x:c r="E1313" s="2" t="n">
        <x:v>5</x:v>
      </x:c>
      <x:c r="F1313" s="7" t="n">
        <x:v>80</x:v>
      </x:c>
      <x:c r="G1313" s="7" t="n">
        <x:v>52.5</x:v>
      </x:c>
      <x:c r="H1313" s="7" t="n">
        <x:f>IF(F1313=0,"n.a.",100*(F1313-G1313)/F1313)</x:f>
        <x:v>34.375</x:v>
      </x:c>
      <x:c r="I1313" s="7" t="n">
        <x:f>F1313-G1313</x:f>
        <x:v>27.5</x:v>
      </x:c>
      <x:c r="J1313" s="8" t="n">
        <x:v>1.0630635288065848</x:v>
      </x:c>
      <x:c r="K1313" s="8" t="n">
        <x:v>1.0630635288065848</x:v>
      </x:c>
      <x:c r="L1313" s="8" t="n">
        <x:v>0</x:v>
      </x:c>
      <x:c r="M1313" s="7" t="n">
        <x:v>14.781799996853806</x:v>
      </x:c>
      <x:c r="N1313" s="2" t="str">
        <x:v>repository_particle_dynamics_on_frozen_qubo</x:v>
      </x:c>
      <x:c r="O1313" s="9" t="str">
        <x:v>10100</x:v>
      </x:c>
    </x:row>
    <x:row r="1314" ht="18" customHeight="1">
      <x:c r="A1314" s="2" t="str">
        <x:v>controlled_n6_single_bottleneck_2</x:v>
      </x:c>
      <x:c r="B1314" s="2" t="str">
        <x:v>QAOA</x:v>
      </x:c>
      <x:c r="C1314" s="2" t="n">
        <x:v>2026</x:v>
      </x:c>
      <x:c r="D1314" s="2" t="str">
        <x:v>success</x:v>
      </x:c>
      <x:c r="E1314" s="2" t="n">
        <x:v>5</x:v>
      </x:c>
      <x:c r="F1314" s="7" t="n">
        <x:v>80</x:v>
      </x:c>
      <x:c r="G1314" s="7" t="n">
        <x:v>52.5</x:v>
      </x:c>
      <x:c r="H1314" s="7" t="n">
        <x:f>IF(F1314=0,"n.a.",100*(F1314-G1314)/F1314)</x:f>
        <x:v>34.375</x:v>
      </x:c>
      <x:c r="I1314" s="7" t="n">
        <x:f>F1314-G1314</x:f>
        <x:v>27.5</x:v>
      </x:c>
      <x:c r="J1314" s="8" t="n">
        <x:v>1.0630635288065848</x:v>
      </x:c>
      <x:c r="K1314" s="8" t="n">
        <x:v>1.0630635288065848</x:v>
      </x:c>
      <x:c r="L1314" s="8" t="n">
        <x:v>0</x:v>
      </x:c>
      <x:c r="M1314" s="7" t="n">
        <x:v>242.05289999372326</x:v>
      </x:c>
      <x:c r="N1314" s="2" t="str">
        <x:v>qiskit.primitives.StatevectorSampler</x:v>
      </x:c>
      <x:c r="O1314" s="9" t="str">
        <x:v>00101</x:v>
      </x:c>
    </x:row>
    <x:row r="1315" ht="18" customHeight="1">
      <x:c r="A1315" s="2" t="str">
        <x:v>controlled_n6_single_bottleneck_3</x:v>
      </x:c>
      <x:c r="B1315" s="2" t="str">
        <x:v>Unmanaged</x:v>
      </x:c>
      <x:c r="C1315" s="2"/>
      <x:c r="D1315" s="2" t="str">
        <x:v>baseline</x:v>
      </x:c>
      <x:c r="E1315" s="2" t="n">
        <x:v>8</x:v>
      </x:c>
      <x:c r="F1315" s="7" t="n">
        <x:v>95</x:v>
      </x:c>
      <x:c r="G1315" s="7" t="n">
        <x:v>95</x:v>
      </x:c>
      <x:c r="H1315" s="7" t="n">
        <x:f>IF(F1315=0,"n.a.",100*(F1315-G1315)/F1315)</x:f>
        <x:v>0</x:v>
      </x:c>
      <x:c r="I1315" s="7" t="n">
        <x:f>F1315-G1315</x:f>
        <x:v>0</x:v>
      </x:c>
      <x:c r="J1315" s="8"/>
      <x:c r="K1315" s="8" t="n">
        <x:v>1.2102109053497938</x:v>
      </x:c>
      <x:c r="L1315" s="8"/>
      <x:c r="M1315" s="7"/>
      <x:c r="N1315" s="2" t="str">
        <x:v>unmanaged_input</x:v>
      </x:c>
      <x:c r="O1315" s="9"/>
    </x:row>
    <x:row r="1316" ht="18" customHeight="1">
      <x:c r="A1316" s="2" t="str">
        <x:v>controlled_n6_single_bottleneck_3</x:v>
      </x:c>
      <x:c r="B1316" s="2" t="str">
        <x:v>Exact J</x:v>
      </x:c>
      <x:c r="C1316" s="2"/>
      <x:c r="D1316" s="2" t="str">
        <x:v>success</x:v>
      </x:c>
      <x:c r="E1316" s="2" t="n">
        <x:v>8</x:v>
      </x:c>
      <x:c r="F1316" s="7" t="n">
        <x:v>95</x:v>
      </x:c>
      <x:c r="G1316" s="7" t="n">
        <x:v>63.33333333333333</x:v>
      </x:c>
      <x:c r="H1316" s="7" t="n">
        <x:f>IF(F1316=0,"n.a.",100*(F1316-G1316)/F1316)</x:f>
        <x:v>33.333333333333336</x:v>
      </x:c>
      <x:c r="I1316" s="7" t="n">
        <x:f>F1316-G1316</x:f>
        <x:v>31.66666666666667</x:v>
      </x:c>
      <x:c r="J1316" s="8" t="n">
        <x:v>1.2102109053497938</x:v>
      </x:c>
      <x:c r="K1316" s="8" t="n">
        <x:v>1.2102109053497938</x:v>
      </x:c>
      <x:c r="L1316" s="8" t="n">
        <x:v>0</x:v>
      </x:c>
      <x:c r="M1316" s="7"/>
      <x:c r="N1316" s="2" t="str">
        <x:v>exhaustive_enumeration</x:v>
      </x:c>
      <x:c r="O1316" s="9" t="str">
        <x:v>00001111</x:v>
      </x:c>
    </x:row>
    <x:row r="1317" ht="18" customHeight="1">
      <x:c r="A1317" s="2" t="str">
        <x:v>controlled_n6_single_bottleneck_3</x:v>
      </x:c>
      <x:c r="B1317" s="2" t="str">
        <x:v>Exact peak</x:v>
      </x:c>
      <x:c r="C1317" s="2"/>
      <x:c r="D1317" s="2" t="str">
        <x:v>success</x:v>
      </x:c>
      <x:c r="E1317" s="2" t="n">
        <x:v>8</x:v>
      </x:c>
      <x:c r="F1317" s="7" t="n">
        <x:v>95</x:v>
      </x:c>
      <x:c r="G1317" s="7" t="n">
        <x:v>63.33333333333333</x:v>
      </x:c>
      <x:c r="H1317" s="7" t="n">
        <x:f>IF(F1317=0,"n.a.",100*(F1317-G1317)/F1317)</x:f>
        <x:v>33.333333333333336</x:v>
      </x:c>
      <x:c r="I1317" s="7" t="n">
        <x:f>F1317-G1317</x:f>
        <x:v>31.66666666666667</x:v>
      </x:c>
      <x:c r="J1317" s="8" t="n">
        <x:v>1.2102109053497938</x:v>
      </x:c>
      <x:c r="K1317" s="8" t="n">
        <x:v>1.2102109053497938</x:v>
      </x:c>
      <x:c r="L1317" s="8" t="n">
        <x:v>0</x:v>
      </x:c>
      <x:c r="M1317" s="7"/>
      <x:c r="N1317" s="2" t="str">
        <x:v>exhaustive_enumeration</x:v>
      </x:c>
      <x:c r="O1317" s="9" t="str">
        <x:v>00001111</x:v>
      </x:c>
    </x:row>
    <x:row r="1318" ht="18" customHeight="1">
      <x:c r="A1318" s="2" t="str">
        <x:v>controlled_n6_single_bottleneck_3</x:v>
      </x:c>
      <x:c r="B1318" s="2" t="str">
        <x:v>BPSO</x:v>
      </x:c>
      <x:c r="C1318" s="2" t="n">
        <x:v>42</x:v>
      </x:c>
      <x:c r="D1318" s="2" t="str">
        <x:v>success</x:v>
      </x:c>
      <x:c r="E1318" s="2" t="n">
        <x:v>8</x:v>
      </x:c>
      <x:c r="F1318" s="7" t="n">
        <x:v>95</x:v>
      </x:c>
      <x:c r="G1318" s="7" t="n">
        <x:v>63.33333333333333</x:v>
      </x:c>
      <x:c r="H1318" s="7" t="n">
        <x:f>IF(F1318=0,"n.a.",100*(F1318-G1318)/F1318)</x:f>
        <x:v>33.333333333333336</x:v>
      </x:c>
      <x:c r="I1318" s="7" t="n">
        <x:f>F1318-G1318</x:f>
        <x:v>31.66666666666667</x:v>
      </x:c>
      <x:c r="J1318" s="8" t="n">
        <x:v>1.2102109053497938</x:v>
      </x:c>
      <x:c r="K1318" s="8" t="n">
        <x:v>1.2102109053497938</x:v>
      </x:c>
      <x:c r="L1318" s="8" t="n">
        <x:v>0</x:v>
      </x:c>
      <x:c r="M1318" s="7" t="n">
        <x:v>17.754700005752966</x:v>
      </x:c>
      <x:c r="N1318" s="2" t="str">
        <x:v>repository_particle_dynamics_on_frozen_qubo</x:v>
      </x:c>
      <x:c r="O1318" s="9" t="str">
        <x:v>00011101</x:v>
      </x:c>
    </x:row>
    <x:row r="1319" ht="18" customHeight="1">
      <x:c r="A1319" s="2" t="str">
        <x:v>controlled_n6_single_bottleneck_3</x:v>
      </x:c>
      <x:c r="B1319" s="2" t="str">
        <x:v>QAOA</x:v>
      </x:c>
      <x:c r="C1319" s="2" t="n">
        <x:v>42</x:v>
      </x:c>
      <x:c r="D1319" s="2" t="str">
        <x:v>success</x:v>
      </x:c>
      <x:c r="E1319" s="2" t="n">
        <x:v>8</x:v>
      </x:c>
      <x:c r="F1319" s="7" t="n">
        <x:v>95</x:v>
      </x:c>
      <x:c r="G1319" s="7" t="n">
        <x:v>63.33333333333333</x:v>
      </x:c>
      <x:c r="H1319" s="7" t="n">
        <x:f>IF(F1319=0,"n.a.",100*(F1319-G1319)/F1319)</x:f>
        <x:v>33.333333333333336</x:v>
      </x:c>
      <x:c r="I1319" s="7" t="n">
        <x:f>F1319-G1319</x:f>
        <x:v>31.66666666666667</x:v>
      </x:c>
      <x:c r="J1319" s="8" t="n">
        <x:v>1.2102109053497938</x:v>
      </x:c>
      <x:c r="K1319" s="8" t="n">
        <x:v>1.2102109053497938</x:v>
      </x:c>
      <x:c r="L1319" s="8" t="n">
        <x:v>0</x:v>
      </x:c>
      <x:c r="M1319" s="7" t="n">
        <x:v>530.8884000114631</x:v>
      </x:c>
      <x:c r="N1319" s="2" t="str">
        <x:v>qiskit.primitives.StatevectorSampler</x:v>
      </x:c>
      <x:c r="O1319" s="9" t="str">
        <x:v>01100011</x:v>
      </x:c>
    </x:row>
    <x:row r="1320" ht="18" customHeight="1">
      <x:c r="A1320" s="2" t="str">
        <x:v>controlled_n6_single_bottleneck_3</x:v>
      </x:c>
      <x:c r="B1320" s="2" t="str">
        <x:v>BPSO</x:v>
      </x:c>
      <x:c r="C1320" s="2" t="n">
        <x:v>123</x:v>
      </x:c>
      <x:c r="D1320" s="2" t="str">
        <x:v>success</x:v>
      </x:c>
      <x:c r="E1320" s="2" t="n">
        <x:v>8</x:v>
      </x:c>
      <x:c r="F1320" s="7" t="n">
        <x:v>95</x:v>
      </x:c>
      <x:c r="G1320" s="7" t="n">
        <x:v>63.33333333333333</x:v>
      </x:c>
      <x:c r="H1320" s="7" t="n">
        <x:f>IF(F1320=0,"n.a.",100*(F1320-G1320)/F1320)</x:f>
        <x:v>33.333333333333336</x:v>
      </x:c>
      <x:c r="I1320" s="7" t="n">
        <x:f>F1320-G1320</x:f>
        <x:v>31.66666666666667</x:v>
      </x:c>
      <x:c r="J1320" s="8" t="n">
        <x:v>1.2102109053497938</x:v>
      </x:c>
      <x:c r="K1320" s="8" t="n">
        <x:v>1.2102109053497938</x:v>
      </x:c>
      <x:c r="L1320" s="8" t="n">
        <x:v>0</x:v>
      </x:c>
      <x:c r="M1320" s="7" t="n">
        <x:v>21.619099992676638</x:v>
      </x:c>
      <x:c r="N1320" s="2" t="str">
        <x:v>repository_particle_dynamics_on_frozen_qubo</x:v>
      </x:c>
      <x:c r="O1320" s="9" t="str">
        <x:v>10110001</x:v>
      </x:c>
    </x:row>
    <x:row r="1321" ht="18" customHeight="1">
      <x:c r="A1321" s="2" t="str">
        <x:v>controlled_n6_single_bottleneck_3</x:v>
      </x:c>
      <x:c r="B1321" s="2" t="str">
        <x:v>QAOA</x:v>
      </x:c>
      <x:c r="C1321" s="2" t="n">
        <x:v>123</x:v>
      </x:c>
      <x:c r="D1321" s="2" t="str">
        <x:v>success</x:v>
      </x:c>
      <x:c r="E1321" s="2" t="n">
        <x:v>8</x:v>
      </x:c>
      <x:c r="F1321" s="7" t="n">
        <x:v>95</x:v>
      </x:c>
      <x:c r="G1321" s="7" t="n">
        <x:v>63.33333333333333</x:v>
      </x:c>
      <x:c r="H1321" s="7" t="n">
        <x:f>IF(F1321=0,"n.a.",100*(F1321-G1321)/F1321)</x:f>
        <x:v>33.333333333333336</x:v>
      </x:c>
      <x:c r="I1321" s="7" t="n">
        <x:f>F1321-G1321</x:f>
        <x:v>31.66666666666667</x:v>
      </x:c>
      <x:c r="J1321" s="8" t="n">
        <x:v>1.2102109053497938</x:v>
      </x:c>
      <x:c r="K1321" s="8" t="n">
        <x:v>1.2102109053497938</x:v>
      </x:c>
      <x:c r="L1321" s="8" t="n">
        <x:v>0</x:v>
      </x:c>
      <x:c r="M1321" s="7" t="n">
        <x:v>565.9681999968598</x:v>
      </x:c>
      <x:c r="N1321" s="2" t="str">
        <x:v>qiskit.primitives.StatevectorSampler</x:v>
      </x:c>
      <x:c r="O1321" s="9" t="str">
        <x:v>01100101</x:v>
      </x:c>
    </x:row>
    <x:row r="1322" ht="18" customHeight="1">
      <x:c r="A1322" s="2" t="str">
        <x:v>controlled_n6_single_bottleneck_3</x:v>
      </x:c>
      <x:c r="B1322" s="2" t="str">
        <x:v>BPSO</x:v>
      </x:c>
      <x:c r="C1322" s="2" t="n">
        <x:v>456</x:v>
      </x:c>
      <x:c r="D1322" s="2" t="str">
        <x:v>success</x:v>
      </x:c>
      <x:c r="E1322" s="2" t="n">
        <x:v>8</x:v>
      </x:c>
      <x:c r="F1322" s="7" t="n">
        <x:v>95</x:v>
      </x:c>
      <x:c r="G1322" s="7" t="n">
        <x:v>63.33333333333333</x:v>
      </x:c>
      <x:c r="H1322" s="7" t="n">
        <x:f>IF(F1322=0,"n.a.",100*(F1322-G1322)/F1322)</x:f>
        <x:v>33.333333333333336</x:v>
      </x:c>
      <x:c r="I1322" s="7" t="n">
        <x:f>F1322-G1322</x:f>
        <x:v>31.66666666666667</x:v>
      </x:c>
      <x:c r="J1322" s="8" t="n">
        <x:v>1.2102109053497938</x:v>
      </x:c>
      <x:c r="K1322" s="8" t="n">
        <x:v>1.2102109053497938</x:v>
      </x:c>
      <x:c r="L1322" s="8" t="n">
        <x:v>0</x:v>
      </x:c>
      <x:c r="M1322" s="7" t="n">
        <x:v>19.76930000819266</x:v>
      </x:c>
      <x:c r="N1322" s="2" t="str">
        <x:v>repository_particle_dynamics_on_frozen_qubo</x:v>
      </x:c>
      <x:c r="O1322" s="9" t="str">
        <x:v>00111010</x:v>
      </x:c>
    </x:row>
    <x:row r="1323" ht="18" customHeight="1">
      <x:c r="A1323" s="2" t="str">
        <x:v>controlled_n6_single_bottleneck_3</x:v>
      </x:c>
      <x:c r="B1323" s="2" t="str">
        <x:v>QAOA</x:v>
      </x:c>
      <x:c r="C1323" s="2" t="n">
        <x:v>456</x:v>
      </x:c>
      <x:c r="D1323" s="2" t="str">
        <x:v>success</x:v>
      </x:c>
      <x:c r="E1323" s="2" t="n">
        <x:v>8</x:v>
      </x:c>
      <x:c r="F1323" s="7" t="n">
        <x:v>95</x:v>
      </x:c>
      <x:c r="G1323" s="7" t="n">
        <x:v>63.33333333333333</x:v>
      </x:c>
      <x:c r="H1323" s="7" t="n">
        <x:f>IF(F1323=0,"n.a.",100*(F1323-G1323)/F1323)</x:f>
        <x:v>33.333333333333336</x:v>
      </x:c>
      <x:c r="I1323" s="7" t="n">
        <x:f>F1323-G1323</x:f>
        <x:v>31.66666666666667</x:v>
      </x:c>
      <x:c r="J1323" s="8" t="n">
        <x:v>1.2102109053497938</x:v>
      </x:c>
      <x:c r="K1323" s="8" t="n">
        <x:v>1.2102109053497938</x:v>
      </x:c>
      <x:c r="L1323" s="8" t="n">
        <x:v>0</x:v>
      </x:c>
      <x:c r="M1323" s="7" t="n">
        <x:v>508.4911000012653</x:v>
      </x:c>
      <x:c r="N1323" s="2" t="str">
        <x:v>qiskit.primitives.StatevectorSampler</x:v>
      </x:c>
      <x:c r="O1323" s="9" t="str">
        <x:v>00011110</x:v>
      </x:c>
    </x:row>
    <x:row r="1324" ht="18" customHeight="1">
      <x:c r="A1324" s="2" t="str">
        <x:v>controlled_n6_single_bottleneck_3</x:v>
      </x:c>
      <x:c r="B1324" s="2" t="str">
        <x:v>BPSO</x:v>
      </x:c>
      <x:c r="C1324" s="2" t="n">
        <x:v>789</x:v>
      </x:c>
      <x:c r="D1324" s="2" t="str">
        <x:v>success</x:v>
      </x:c>
      <x:c r="E1324" s="2" t="n">
        <x:v>8</x:v>
      </x:c>
      <x:c r="F1324" s="7" t="n">
        <x:v>95</x:v>
      </x:c>
      <x:c r="G1324" s="7" t="n">
        <x:v>63.33333333333333</x:v>
      </x:c>
      <x:c r="H1324" s="7" t="n">
        <x:f>IF(F1324=0,"n.a.",100*(F1324-G1324)/F1324)</x:f>
        <x:v>33.333333333333336</x:v>
      </x:c>
      <x:c r="I1324" s="7" t="n">
        <x:f>F1324-G1324</x:f>
        <x:v>31.66666666666667</x:v>
      </x:c>
      <x:c r="J1324" s="8" t="n">
        <x:v>1.2102109053497938</x:v>
      </x:c>
      <x:c r="K1324" s="8" t="n">
        <x:v>1.2102109053497938</x:v>
      </x:c>
      <x:c r="L1324" s="8" t="n">
        <x:v>0</x:v>
      </x:c>
      <x:c r="M1324" s="7" t="n">
        <x:v>18.245399987790734</x:v>
      </x:c>
      <x:c r="N1324" s="2" t="str">
        <x:v>repository_particle_dynamics_on_frozen_qubo</x:v>
      </x:c>
      <x:c r="O1324" s="9" t="str">
        <x:v>01110010</x:v>
      </x:c>
    </x:row>
    <x:row r="1325" ht="18" customHeight="1">
      <x:c r="A1325" s="2" t="str">
        <x:v>controlled_n6_single_bottleneck_3</x:v>
      </x:c>
      <x:c r="B1325" s="2" t="str">
        <x:v>QAOA</x:v>
      </x:c>
      <x:c r="C1325" s="2" t="n">
        <x:v>789</x:v>
      </x:c>
      <x:c r="D1325" s="2" t="str">
        <x:v>success</x:v>
      </x:c>
      <x:c r="E1325" s="2" t="n">
        <x:v>8</x:v>
      </x:c>
      <x:c r="F1325" s="7" t="n">
        <x:v>95</x:v>
      </x:c>
      <x:c r="G1325" s="7" t="n">
        <x:v>63.33333333333333</x:v>
      </x:c>
      <x:c r="H1325" s="7" t="n">
        <x:f>IF(F1325=0,"n.a.",100*(F1325-G1325)/F1325)</x:f>
        <x:v>33.333333333333336</x:v>
      </x:c>
      <x:c r="I1325" s="7" t="n">
        <x:f>F1325-G1325</x:f>
        <x:v>31.66666666666667</x:v>
      </x:c>
      <x:c r="J1325" s="8" t="n">
        <x:v>1.2102109053497938</x:v>
      </x:c>
      <x:c r="K1325" s="8" t="n">
        <x:v>1.2102109053497938</x:v>
      </x:c>
      <x:c r="L1325" s="8" t="n">
        <x:v>0</x:v>
      </x:c>
      <x:c r="M1325" s="7" t="n">
        <x:v>434.7426999884192</x:v>
      </x:c>
      <x:c r="N1325" s="2" t="str">
        <x:v>qiskit.primitives.StatevectorSampler</x:v>
      </x:c>
      <x:c r="O1325" s="9" t="str">
        <x:v>11100010</x:v>
      </x:c>
    </x:row>
    <x:row r="1326" ht="18" customHeight="1">
      <x:c r="A1326" s="2" t="str">
        <x:v>controlled_n6_single_bottleneck_3</x:v>
      </x:c>
      <x:c r="B1326" s="2" t="str">
        <x:v>BPSO</x:v>
      </x:c>
      <x:c r="C1326" s="2" t="n">
        <x:v>2026</x:v>
      </x:c>
      <x:c r="D1326" s="2" t="str">
        <x:v>success</x:v>
      </x:c>
      <x:c r="E1326" s="2" t="n">
        <x:v>8</x:v>
      </x:c>
      <x:c r="F1326" s="7" t="n">
        <x:v>95</x:v>
      </x:c>
      <x:c r="G1326" s="7" t="n">
        <x:v>63.33333333333333</x:v>
      </x:c>
      <x:c r="H1326" s="7" t="n">
        <x:f>IF(F1326=0,"n.a.",100*(F1326-G1326)/F1326)</x:f>
        <x:v>33.333333333333336</x:v>
      </x:c>
      <x:c r="I1326" s="7" t="n">
        <x:f>F1326-G1326</x:f>
        <x:v>31.66666666666667</x:v>
      </x:c>
      <x:c r="J1326" s="8" t="n">
        <x:v>1.2102109053497938</x:v>
      </x:c>
      <x:c r="K1326" s="8" t="n">
        <x:v>1.2102109053497938</x:v>
      </x:c>
      <x:c r="L1326" s="8" t="n">
        <x:v>0</x:v>
      </x:c>
      <x:c r="M1326" s="7" t="n">
        <x:v>17.69629999762401</x:v>
      </x:c>
      <x:c r="N1326" s="2" t="str">
        <x:v>repository_particle_dynamics_on_frozen_qubo</x:v>
      </x:c>
      <x:c r="O1326" s="9" t="str">
        <x:v>11100001</x:v>
      </x:c>
    </x:row>
    <x:row r="1327" ht="18" customHeight="1">
      <x:c r="A1327" s="2" t="str">
        <x:v>controlled_n6_single_bottleneck_3</x:v>
      </x:c>
      <x:c r="B1327" s="2" t="str">
        <x:v>QAOA</x:v>
      </x:c>
      <x:c r="C1327" s="2" t="n">
        <x:v>2026</x:v>
      </x:c>
      <x:c r="D1327" s="2" t="str">
        <x:v>success</x:v>
      </x:c>
      <x:c r="E1327" s="2" t="n">
        <x:v>8</x:v>
      </x:c>
      <x:c r="F1327" s="7" t="n">
        <x:v>95</x:v>
      </x:c>
      <x:c r="G1327" s="7" t="n">
        <x:v>63.33333333333333</x:v>
      </x:c>
      <x:c r="H1327" s="7" t="n">
        <x:f>IF(F1327=0,"n.a.",100*(F1327-G1327)/F1327)</x:f>
        <x:v>33.333333333333336</x:v>
      </x:c>
      <x:c r="I1327" s="7" t="n">
        <x:f>F1327-G1327</x:f>
        <x:v>31.66666666666667</x:v>
      </x:c>
      <x:c r="J1327" s="8" t="n">
        <x:v>1.2102109053497938</x:v>
      </x:c>
      <x:c r="K1327" s="8" t="n">
        <x:v>1.2102109053497938</x:v>
      </x:c>
      <x:c r="L1327" s="8" t="n">
        <x:v>0</x:v>
      </x:c>
      <x:c r="M1327" s="7" t="n">
        <x:v>495.9799999924144</x:v>
      </x:c>
      <x:c r="N1327" s="2" t="str">
        <x:v>qiskit.primitives.StatevectorSampler</x:v>
      </x:c>
      <x:c r="O1327" s="9" t="str">
        <x:v>00111100</x:v>
      </x:c>
    </x:row>
    <x:row r="1328" ht="18" customHeight="1">
      <x:c r="A1328" s="2" t="str">
        <x:v>controlled_n6_adjacent_bottlenecks_1</x:v>
      </x:c>
      <x:c r="B1328" s="2" t="str">
        <x:v>Unmanaged</x:v>
      </x:c>
      <x:c r="C1328" s="2"/>
      <x:c r="D1328" s="2" t="str">
        <x:v>baseline</x:v>
      </x:c>
      <x:c r="E1328" s="2" t="n">
        <x:v>5</x:v>
      </x:c>
      <x:c r="F1328" s="7" t="n">
        <x:v>65</x:v>
      </x:c>
      <x:c r="G1328" s="7" t="n">
        <x:v>65</x:v>
      </x:c>
      <x:c r="H1328" s="7" t="n">
        <x:f>IF(F1328=0,"n.a.",100*(F1328-G1328)/F1328)</x:f>
        <x:v>0</x:v>
      </x:c>
      <x:c r="I1328" s="7" t="n">
        <x:f>F1328-G1328</x:f>
        <x:v>0</x:v>
      </x:c>
      <x:c r="J1328" s="8"/>
      <x:c r="K1328" s="8" t="n">
        <x:v>0.8424570762602881</x:v>
      </x:c>
      <x:c r="L1328" s="8"/>
      <x:c r="M1328" s="7"/>
      <x:c r="N1328" s="2" t="str">
        <x:v>unmanaged_input</x:v>
      </x:c>
      <x:c r="O1328" s="9"/>
    </x:row>
    <x:row r="1329" ht="18" customHeight="1">
      <x:c r="A1329" s="2" t="str">
        <x:v>controlled_n6_adjacent_bottlenecks_1</x:v>
      </x:c>
      <x:c r="B1329" s="2" t="str">
        <x:v>Exact J</x:v>
      </x:c>
      <x:c r="C1329" s="2"/>
      <x:c r="D1329" s="2" t="str">
        <x:v>success</x:v>
      </x:c>
      <x:c r="E1329" s="2" t="n">
        <x:v>5</x:v>
      </x:c>
      <x:c r="F1329" s="7" t="n">
        <x:v>65</x:v>
      </x:c>
      <x:c r="G1329" s="7" t="n">
        <x:v>55.00000000000001</x:v>
      </x:c>
      <x:c r="H1329" s="7" t="n">
        <x:f>IF(F1329=0,"n.a.",100*(F1329-G1329)/F1329)</x:f>
        <x:v>15.384615384615374</x:v>
      </x:c>
      <x:c r="I1329" s="7" t="n">
        <x:f>F1329-G1329</x:f>
        <x:v>9.999999999999993</x:v>
      </x:c>
      <x:c r="J1329" s="8" t="n">
        <x:v>0.8424570762602881</x:v>
      </x:c>
      <x:c r="K1329" s="8" t="n">
        <x:v>0.8424570762602881</x:v>
      </x:c>
      <x:c r="L1329" s="8" t="n">
        <x:v>0</x:v>
      </x:c>
      <x:c r="M1329" s="7"/>
      <x:c r="N1329" s="2" t="str">
        <x:v>exhaustive_enumeration</x:v>
      </x:c>
      <x:c r="O1329" s="9" t="str">
        <x:v>00101</x:v>
      </x:c>
    </x:row>
    <x:row r="1330" ht="18" customHeight="1">
      <x:c r="A1330" s="2" t="str">
        <x:v>controlled_n6_adjacent_bottlenecks_1</x:v>
      </x:c>
      <x:c r="B1330" s="2" t="str">
        <x:v>Exact peak</x:v>
      </x:c>
      <x:c r="C1330" s="2"/>
      <x:c r="D1330" s="2" t="str">
        <x:v>success</x:v>
      </x:c>
      <x:c r="E1330" s="2" t="n">
        <x:v>5</x:v>
      </x:c>
      <x:c r="F1330" s="7" t="n">
        <x:v>65</x:v>
      </x:c>
      <x:c r="G1330" s="7" t="n">
        <x:v>55.00000000000001</x:v>
      </x:c>
      <x:c r="H1330" s="7" t="n">
        <x:f>IF(F1330=0,"n.a.",100*(F1330-G1330)/F1330)</x:f>
        <x:v>15.384615384615374</x:v>
      </x:c>
      <x:c r="I1330" s="7" t="n">
        <x:f>F1330-G1330</x:f>
        <x:v>9.999999999999993</x:v>
      </x:c>
      <x:c r="J1330" s="8" t="n">
        <x:v>0.8424570762602881</x:v>
      </x:c>
      <x:c r="K1330" s="8" t="n">
        <x:v>0.8424570762602881</x:v>
      </x:c>
      <x:c r="L1330" s="8" t="n">
        <x:v>0</x:v>
      </x:c>
      <x:c r="M1330" s="7"/>
      <x:c r="N1330" s="2" t="str">
        <x:v>exhaustive_enumeration</x:v>
      </x:c>
      <x:c r="O1330" s="9" t="str">
        <x:v>00101</x:v>
      </x:c>
    </x:row>
    <x:row r="1331" ht="18" customHeight="1">
      <x:c r="A1331" s="2" t="str">
        <x:v>controlled_n6_adjacent_bottlenecks_1</x:v>
      </x:c>
      <x:c r="B1331" s="2" t="str">
        <x:v>BPSO</x:v>
      </x:c>
      <x:c r="C1331" s="2" t="n">
        <x:v>42</x:v>
      </x:c>
      <x:c r="D1331" s="2" t="str">
        <x:v>success</x:v>
      </x:c>
      <x:c r="E1331" s="2" t="n">
        <x:v>5</x:v>
      </x:c>
      <x:c r="F1331" s="7" t="n">
        <x:v>65</x:v>
      </x:c>
      <x:c r="G1331" s="7" t="n">
        <x:v>55.00000000000001</x:v>
      </x:c>
      <x:c r="H1331" s="7" t="n">
        <x:f>IF(F1331=0,"n.a.",100*(F1331-G1331)/F1331)</x:f>
        <x:v>15.384615384615374</x:v>
      </x:c>
      <x:c r="I1331" s="7" t="n">
        <x:f>F1331-G1331</x:f>
        <x:v>9.999999999999993</x:v>
      </x:c>
      <x:c r="J1331" s="8" t="n">
        <x:v>0.8424570762602881</x:v>
      </x:c>
      <x:c r="K1331" s="8" t="n">
        <x:v>0.8424570762602881</x:v>
      </x:c>
      <x:c r="L1331" s="8" t="n">
        <x:v>0</x:v>
      </x:c>
      <x:c r="M1331" s="7" t="n">
        <x:v>15.047399996547028</x:v>
      </x:c>
      <x:c r="N1331" s="2" t="str">
        <x:v>repository_particle_dynamics_on_frozen_qubo</x:v>
      </x:c>
      <x:c r="O1331" s="9" t="str">
        <x:v>00110</x:v>
      </x:c>
    </x:row>
    <x:row r="1332" ht="18" customHeight="1">
      <x:c r="A1332" s="2" t="str">
        <x:v>controlled_n6_adjacent_bottlenecks_1</x:v>
      </x:c>
      <x:c r="B1332" s="2" t="str">
        <x:v>QAOA</x:v>
      </x:c>
      <x:c r="C1332" s="2" t="n">
        <x:v>42</x:v>
      </x:c>
      <x:c r="D1332" s="2" t="str">
        <x:v>success</x:v>
      </x:c>
      <x:c r="E1332" s="2" t="n">
        <x:v>5</x:v>
      </x:c>
      <x:c r="F1332" s="7" t="n">
        <x:v>65</x:v>
      </x:c>
      <x:c r="G1332" s="7" t="n">
        <x:v>55.00000000000001</x:v>
      </x:c>
      <x:c r="H1332" s="7" t="n">
        <x:f>IF(F1332=0,"n.a.",100*(F1332-G1332)/F1332)</x:f>
        <x:v>15.384615384615374</x:v>
      </x:c>
      <x:c r="I1332" s="7" t="n">
        <x:f>F1332-G1332</x:f>
        <x:v>9.999999999999993</x:v>
      </x:c>
      <x:c r="J1332" s="8" t="n">
        <x:v>0.8424570762602881</x:v>
      </x:c>
      <x:c r="K1332" s="8" t="n">
        <x:v>0.8424570762602881</x:v>
      </x:c>
      <x:c r="L1332" s="8" t="n">
        <x:v>0</x:v>
      </x:c>
      <x:c r="M1332" s="7" t="n">
        <x:v>214.18150000681635</x:v>
      </x:c>
      <x:c r="N1332" s="2" t="str">
        <x:v>qiskit.primitives.StatevectorSampler</x:v>
      </x:c>
      <x:c r="O1332" s="9" t="str">
        <x:v>00110</x:v>
      </x:c>
    </x:row>
    <x:row r="1333" ht="18" customHeight="1">
      <x:c r="A1333" s="2" t="str">
        <x:v>controlled_n6_adjacent_bottlenecks_1</x:v>
      </x:c>
      <x:c r="B1333" s="2" t="str">
        <x:v>BPSO</x:v>
      </x:c>
      <x:c r="C1333" s="2" t="n">
        <x:v>123</x:v>
      </x:c>
      <x:c r="D1333" s="2" t="str">
        <x:v>success</x:v>
      </x:c>
      <x:c r="E1333" s="2" t="n">
        <x:v>5</x:v>
      </x:c>
      <x:c r="F1333" s="7" t="n">
        <x:v>65</x:v>
      </x:c>
      <x:c r="G1333" s="7" t="n">
        <x:v>55.00000000000001</x:v>
      </x:c>
      <x:c r="H1333" s="7" t="n">
        <x:f>IF(F1333=0,"n.a.",100*(F1333-G1333)/F1333)</x:f>
        <x:v>15.384615384615374</x:v>
      </x:c>
      <x:c r="I1333" s="7" t="n">
        <x:f>F1333-G1333</x:f>
        <x:v>9.999999999999993</x:v>
      </x:c>
      <x:c r="J1333" s="8" t="n">
        <x:v>0.8424570762602881</x:v>
      </x:c>
      <x:c r="K1333" s="8" t="n">
        <x:v>0.8424570762602881</x:v>
      </x:c>
      <x:c r="L1333" s="8" t="n">
        <x:v>0</x:v>
      </x:c>
      <x:c r="M1333" s="7" t="n">
        <x:v>18.913100007921457</x:v>
      </x:c>
      <x:c r="N1333" s="2" t="str">
        <x:v>repository_particle_dynamics_on_frozen_qubo</x:v>
      </x:c>
      <x:c r="O1333" s="9" t="str">
        <x:v>01010</x:v>
      </x:c>
    </x:row>
    <x:row r="1334" ht="18" customHeight="1">
      <x:c r="A1334" s="2" t="str">
        <x:v>controlled_n6_adjacent_bottlenecks_1</x:v>
      </x:c>
      <x:c r="B1334" s="2" t="str">
        <x:v>QAOA</x:v>
      </x:c>
      <x:c r="C1334" s="2" t="n">
        <x:v>123</x:v>
      </x:c>
      <x:c r="D1334" s="2" t="str">
        <x:v>success</x:v>
      </x:c>
      <x:c r="E1334" s="2" t="n">
        <x:v>5</x:v>
      </x:c>
      <x:c r="F1334" s="7" t="n">
        <x:v>65</x:v>
      </x:c>
      <x:c r="G1334" s="7" t="n">
        <x:v>55.00000000000001</x:v>
      </x:c>
      <x:c r="H1334" s="7" t="n">
        <x:f>IF(F1334=0,"n.a.",100*(F1334-G1334)/F1334)</x:f>
        <x:v>15.384615384615374</x:v>
      </x:c>
      <x:c r="I1334" s="7" t="n">
        <x:f>F1334-G1334</x:f>
        <x:v>9.999999999999993</x:v>
      </x:c>
      <x:c r="J1334" s="8" t="n">
        <x:v>0.8424570762602881</x:v>
      </x:c>
      <x:c r="K1334" s="8" t="n">
        <x:v>0.8424570762602881</x:v>
      </x:c>
      <x:c r="L1334" s="8" t="n">
        <x:v>0</x:v>
      </x:c>
      <x:c r="M1334" s="7" t="n">
        <x:v>327.98600000387523</x:v>
      </x:c>
      <x:c r="N1334" s="2" t="str">
        <x:v>qiskit.primitives.StatevectorSampler</x:v>
      </x:c>
      <x:c r="O1334" s="9" t="str">
        <x:v>00101</x:v>
      </x:c>
    </x:row>
    <x:row r="1335" ht="18" customHeight="1">
      <x:c r="A1335" s="2" t="str">
        <x:v>controlled_n6_adjacent_bottlenecks_1</x:v>
      </x:c>
      <x:c r="B1335" s="2" t="str">
        <x:v>BPSO</x:v>
      </x:c>
      <x:c r="C1335" s="2" t="n">
        <x:v>456</x:v>
      </x:c>
      <x:c r="D1335" s="2" t="str">
        <x:v>success</x:v>
      </x:c>
      <x:c r="E1335" s="2" t="n">
        <x:v>5</x:v>
      </x:c>
      <x:c r="F1335" s="7" t="n">
        <x:v>65</x:v>
      </x:c>
      <x:c r="G1335" s="7" t="n">
        <x:v>55.00000000000001</x:v>
      </x:c>
      <x:c r="H1335" s="7" t="n">
        <x:f>IF(F1335=0,"n.a.",100*(F1335-G1335)/F1335)</x:f>
        <x:v>15.384615384615374</x:v>
      </x:c>
      <x:c r="I1335" s="7" t="n">
        <x:f>F1335-G1335</x:f>
        <x:v>9.999999999999993</x:v>
      </x:c>
      <x:c r="J1335" s="8" t="n">
        <x:v>0.8424570762602881</x:v>
      </x:c>
      <x:c r="K1335" s="8" t="n">
        <x:v>0.8424570762602881</x:v>
      </x:c>
      <x:c r="L1335" s="8" t="n">
        <x:v>0</x:v>
      </x:c>
      <x:c r="M1335" s="7" t="n">
        <x:v>14.65089998964686</x:v>
      </x:c>
      <x:c r="N1335" s="2" t="str">
        <x:v>repository_particle_dynamics_on_frozen_qubo</x:v>
      </x:c>
      <x:c r="O1335" s="9" t="str">
        <x:v>01001</x:v>
      </x:c>
    </x:row>
    <x:row r="1336" ht="18" customHeight="1">
      <x:c r="A1336" s="2" t="str">
        <x:v>controlled_n6_adjacent_bottlenecks_1</x:v>
      </x:c>
      <x:c r="B1336" s="2" t="str">
        <x:v>QAOA</x:v>
      </x:c>
      <x:c r="C1336" s="2" t="n">
        <x:v>456</x:v>
      </x:c>
      <x:c r="D1336" s="2" t="str">
        <x:v>success</x:v>
      </x:c>
      <x:c r="E1336" s="2" t="n">
        <x:v>5</x:v>
      </x:c>
      <x:c r="F1336" s="7" t="n">
        <x:v>65</x:v>
      </x:c>
      <x:c r="G1336" s="7" t="n">
        <x:v>55.00000000000001</x:v>
      </x:c>
      <x:c r="H1336" s="7" t="n">
        <x:f>IF(F1336=0,"n.a.",100*(F1336-G1336)/F1336)</x:f>
        <x:v>15.384615384615374</x:v>
      </x:c>
      <x:c r="I1336" s="7" t="n">
        <x:f>F1336-G1336</x:f>
        <x:v>9.999999999999993</x:v>
      </x:c>
      <x:c r="J1336" s="8" t="n">
        <x:v>0.8424570762602881</x:v>
      </x:c>
      <x:c r="K1336" s="8" t="n">
        <x:v>0.8424570762602881</x:v>
      </x:c>
      <x:c r="L1336" s="8" t="n">
        <x:v>0</x:v>
      </x:c>
      <x:c r="M1336" s="7" t="n">
        <x:v>217.92930000810884</x:v>
      </x:c>
      <x:c r="N1336" s="2" t="str">
        <x:v>qiskit.primitives.StatevectorSampler</x:v>
      </x:c>
      <x:c r="O1336" s="9" t="str">
        <x:v>01010</x:v>
      </x:c>
    </x:row>
    <x:row r="1337" ht="18" customHeight="1">
      <x:c r="A1337" s="2" t="str">
        <x:v>controlled_n6_adjacent_bottlenecks_1</x:v>
      </x:c>
      <x:c r="B1337" s="2" t="str">
        <x:v>BPSO</x:v>
      </x:c>
      <x:c r="C1337" s="2" t="n">
        <x:v>789</x:v>
      </x:c>
      <x:c r="D1337" s="2" t="str">
        <x:v>success</x:v>
      </x:c>
      <x:c r="E1337" s="2" t="n">
        <x:v>5</x:v>
      </x:c>
      <x:c r="F1337" s="7" t="n">
        <x:v>65</x:v>
      </x:c>
      <x:c r="G1337" s="7" t="n">
        <x:v>55.00000000000001</x:v>
      </x:c>
      <x:c r="H1337" s="7" t="n">
        <x:f>IF(F1337=0,"n.a.",100*(F1337-G1337)/F1337)</x:f>
        <x:v>15.384615384615374</x:v>
      </x:c>
      <x:c r="I1337" s="7" t="n">
        <x:f>F1337-G1337</x:f>
        <x:v>9.999999999999993</x:v>
      </x:c>
      <x:c r="J1337" s="8" t="n">
        <x:v>0.8424570762602881</x:v>
      </x:c>
      <x:c r="K1337" s="8" t="n">
        <x:v>0.8424570762602881</x:v>
      </x:c>
      <x:c r="L1337" s="8" t="n">
        <x:v>0</x:v>
      </x:c>
      <x:c r="M1337" s="7" t="n">
        <x:v>15.460599999642</x:v>
      </x:c>
      <x:c r="N1337" s="2" t="str">
        <x:v>repository_particle_dynamics_on_frozen_qubo</x:v>
      </x:c>
      <x:c r="O1337" s="9" t="str">
        <x:v>01010</x:v>
      </x:c>
    </x:row>
    <x:row r="1338" ht="18" customHeight="1">
      <x:c r="A1338" s="2" t="str">
        <x:v>controlled_n6_adjacent_bottlenecks_1</x:v>
      </x:c>
      <x:c r="B1338" s="2" t="str">
        <x:v>QAOA</x:v>
      </x:c>
      <x:c r="C1338" s="2" t="n">
        <x:v>789</x:v>
      </x:c>
      <x:c r="D1338" s="2" t="str">
        <x:v>success</x:v>
      </x:c>
      <x:c r="E1338" s="2" t="n">
        <x:v>5</x:v>
      </x:c>
      <x:c r="F1338" s="7" t="n">
        <x:v>65</x:v>
      </x:c>
      <x:c r="G1338" s="7" t="n">
        <x:v>55.00000000000001</x:v>
      </x:c>
      <x:c r="H1338" s="7" t="n">
        <x:f>IF(F1338=0,"n.a.",100*(F1338-G1338)/F1338)</x:f>
        <x:v>15.384615384615374</x:v>
      </x:c>
      <x:c r="I1338" s="7" t="n">
        <x:f>F1338-G1338</x:f>
        <x:v>9.999999999999993</x:v>
      </x:c>
      <x:c r="J1338" s="8" t="n">
        <x:v>0.8424570762602881</x:v>
      </x:c>
      <x:c r="K1338" s="8" t="n">
        <x:v>0.8424570762602881</x:v>
      </x:c>
      <x:c r="L1338" s="8" t="n">
        <x:v>0</x:v>
      </x:c>
      <x:c r="M1338" s="7" t="n">
        <x:v>183.38270000822376</x:v>
      </x:c>
      <x:c r="N1338" s="2" t="str">
        <x:v>qiskit.primitives.StatevectorSampler</x:v>
      </x:c>
      <x:c r="O1338" s="9" t="str">
        <x:v>00101</x:v>
      </x:c>
    </x:row>
    <x:row r="1339" ht="18" customHeight="1">
      <x:c r="A1339" s="2" t="str">
        <x:v>controlled_n6_adjacent_bottlenecks_1</x:v>
      </x:c>
      <x:c r="B1339" s="2" t="str">
        <x:v>BPSO</x:v>
      </x:c>
      <x:c r="C1339" s="2" t="n">
        <x:v>2026</x:v>
      </x:c>
      <x:c r="D1339" s="2" t="str">
        <x:v>success</x:v>
      </x:c>
      <x:c r="E1339" s="2" t="n">
        <x:v>5</x:v>
      </x:c>
      <x:c r="F1339" s="7" t="n">
        <x:v>65</x:v>
      </x:c>
      <x:c r="G1339" s="7" t="n">
        <x:v>55.00000000000001</x:v>
      </x:c>
      <x:c r="H1339" s="7" t="n">
        <x:f>IF(F1339=0,"n.a.",100*(F1339-G1339)/F1339)</x:f>
        <x:v>15.384615384615374</x:v>
      </x:c>
      <x:c r="I1339" s="7" t="n">
        <x:f>F1339-G1339</x:f>
        <x:v>9.999999999999993</x:v>
      </x:c>
      <x:c r="J1339" s="8" t="n">
        <x:v>0.8424570762602881</x:v>
      </x:c>
      <x:c r="K1339" s="8" t="n">
        <x:v>0.8424570762602881</x:v>
      </x:c>
      <x:c r="L1339" s="8" t="n">
        <x:v>0</x:v>
      </x:c>
      <x:c r="M1339" s="7" t="n">
        <x:v>14.824700003373437</x:v>
      </x:c>
      <x:c r="N1339" s="2" t="str">
        <x:v>repository_particle_dynamics_on_frozen_qubo</x:v>
      </x:c>
      <x:c r="O1339" s="9" t="str">
        <x:v>10010</x:v>
      </x:c>
    </x:row>
    <x:row r="1340" ht="18" customHeight="1">
      <x:c r="A1340" s="2" t="str">
        <x:v>controlled_n6_adjacent_bottlenecks_1</x:v>
      </x:c>
      <x:c r="B1340" s="2" t="str">
        <x:v>QAOA</x:v>
      </x:c>
      <x:c r="C1340" s="2" t="n">
        <x:v>2026</x:v>
      </x:c>
      <x:c r="D1340" s="2" t="str">
        <x:v>success</x:v>
      </x:c>
      <x:c r="E1340" s="2" t="n">
        <x:v>5</x:v>
      </x:c>
      <x:c r="F1340" s="7" t="n">
        <x:v>65</x:v>
      </x:c>
      <x:c r="G1340" s="7" t="n">
        <x:v>55.00000000000001</x:v>
      </x:c>
      <x:c r="H1340" s="7" t="n">
        <x:f>IF(F1340=0,"n.a.",100*(F1340-G1340)/F1340)</x:f>
        <x:v>15.384615384615374</x:v>
      </x:c>
      <x:c r="I1340" s="7" t="n">
        <x:f>F1340-G1340</x:f>
        <x:v>9.999999999999993</x:v>
      </x:c>
      <x:c r="J1340" s="8" t="n">
        <x:v>0.8424570762602881</x:v>
      </x:c>
      <x:c r="K1340" s="8" t="n">
        <x:v>0.8424570762602881</x:v>
      </x:c>
      <x:c r="L1340" s="8" t="n">
        <x:v>0</x:v>
      </x:c>
      <x:c r="M1340" s="7" t="n">
        <x:v>192.7218999917386</x:v>
      </x:c>
      <x:c r="N1340" s="2" t="str">
        <x:v>qiskit.primitives.StatevectorSampler</x:v>
      </x:c>
      <x:c r="O1340" s="9" t="str">
        <x:v>00110</x:v>
      </x:c>
    </x:row>
    <x:row r="1341" ht="18" customHeight="1">
      <x:c r="A1341" s="2" t="str">
        <x:v>controlled_n6_adjacent_bottlenecks_2</x:v>
      </x:c>
      <x:c r="B1341" s="2" t="str">
        <x:v>Unmanaged</x:v>
      </x:c>
      <x:c r="C1341" s="2"/>
      <x:c r="D1341" s="2" t="str">
        <x:v>baseline</x:v>
      </x:c>
      <x:c r="E1341" s="2" t="n">
        <x:v>9</x:v>
      </x:c>
      <x:c r="F1341" s="7" t="n">
        <x:v>80</x:v>
      </x:c>
      <x:c r="G1341" s="7" t="n">
        <x:v>80</x:v>
      </x:c>
      <x:c r="H1341" s="7" t="n">
        <x:f>IF(F1341=0,"n.a.",100*(F1341-G1341)/F1341)</x:f>
        <x:v>0</x:v>
      </x:c>
      <x:c r="I1341" s="7" t="n">
        <x:f>F1341-G1341</x:f>
        <x:v>0</x:v>
      </x:c>
      <x:c r="J1341" s="8"/>
      <x:c r="K1341" s="8" t="n">
        <x:v>0.9493128729423869</x:v>
      </x:c>
      <x:c r="L1341" s="8"/>
      <x:c r="M1341" s="7"/>
      <x:c r="N1341" s="2" t="str">
        <x:v>unmanaged_input</x:v>
      </x:c>
      <x:c r="O1341" s="9"/>
    </x:row>
    <x:row r="1342" ht="18" customHeight="1">
      <x:c r="A1342" s="2" t="str">
        <x:v>controlled_n6_adjacent_bottlenecks_2</x:v>
      </x:c>
      <x:c r="B1342" s="2" t="str">
        <x:v>Exact J</x:v>
      </x:c>
      <x:c r="C1342" s="2"/>
      <x:c r="D1342" s="2" t="str">
        <x:v>success</x:v>
      </x:c>
      <x:c r="E1342" s="2" t="n">
        <x:v>9</x:v>
      </x:c>
      <x:c r="F1342" s="7" t="n">
        <x:v>80</x:v>
      </x:c>
      <x:c r="G1342" s="7" t="n">
        <x:v>71.66666666666667</x:v>
      </x:c>
      <x:c r="H1342" s="7" t="n">
        <x:f>IF(F1342=0,"n.a.",100*(F1342-G1342)/F1342)</x:f>
        <x:v>10.41666666666666</x:v>
      </x:c>
      <x:c r="I1342" s="7" t="n">
        <x:f>F1342-G1342</x:f>
        <x:v>8.333333333333329</x:v>
      </x:c>
      <x:c r="J1342" s="8" t="n">
        <x:v>0.9493128729423869</x:v>
      </x:c>
      <x:c r="K1342" s="8" t="n">
        <x:v>0.9493128729423869</x:v>
      </x:c>
      <x:c r="L1342" s="8" t="n">
        <x:v>0</x:v>
      </x:c>
      <x:c r="M1342" s="7"/>
      <x:c r="N1342" s="2" t="str">
        <x:v>exhaustive_enumeration</x:v>
      </x:c>
      <x:c r="O1342" s="9" t="str">
        <x:v>000110011</x:v>
      </x:c>
    </x:row>
    <x:row r="1343" ht="18" customHeight="1">
      <x:c r="A1343" s="2" t="str">
        <x:v>controlled_n6_adjacent_bottlenecks_2</x:v>
      </x:c>
      <x:c r="B1343" s="2" t="str">
        <x:v>Exact peak</x:v>
      </x:c>
      <x:c r="C1343" s="2"/>
      <x:c r="D1343" s="2" t="str">
        <x:v>success</x:v>
      </x:c>
      <x:c r="E1343" s="2" t="n">
        <x:v>9</x:v>
      </x:c>
      <x:c r="F1343" s="7" t="n">
        <x:v>80</x:v>
      </x:c>
      <x:c r="G1343" s="7" t="n">
        <x:v>71.66666666666667</x:v>
      </x:c>
      <x:c r="H1343" s="7" t="n">
        <x:f>IF(F1343=0,"n.a.",100*(F1343-G1343)/F1343)</x:f>
        <x:v>10.41666666666666</x:v>
      </x:c>
      <x:c r="I1343" s="7" t="n">
        <x:f>F1343-G1343</x:f>
        <x:v>8.333333333333329</x:v>
      </x:c>
      <x:c r="J1343" s="8" t="n">
        <x:v>0.9493128729423869</x:v>
      </x:c>
      <x:c r="K1343" s="8" t="n">
        <x:v>0.9493128729423869</x:v>
      </x:c>
      <x:c r="L1343" s="8" t="n">
        <x:v>0</x:v>
      </x:c>
      <x:c r="M1343" s="7"/>
      <x:c r="N1343" s="2" t="str">
        <x:v>exhaustive_enumeration</x:v>
      </x:c>
      <x:c r="O1343" s="9" t="str">
        <x:v>000110011</x:v>
      </x:c>
    </x:row>
    <x:row r="1344" ht="18" customHeight="1">
      <x:c r="A1344" s="2" t="str">
        <x:v>controlled_n6_adjacent_bottlenecks_2</x:v>
      </x:c>
      <x:c r="B1344" s="2" t="str">
        <x:v>BPSO</x:v>
      </x:c>
      <x:c r="C1344" s="2" t="n">
        <x:v>42</x:v>
      </x:c>
      <x:c r="D1344" s="2" t="str">
        <x:v>success</x:v>
      </x:c>
      <x:c r="E1344" s="2" t="n">
        <x:v>9</x:v>
      </x:c>
      <x:c r="F1344" s="7" t="n">
        <x:v>80</x:v>
      </x:c>
      <x:c r="G1344" s="7" t="n">
        <x:v>71.66666666666667</x:v>
      </x:c>
      <x:c r="H1344" s="7" t="n">
        <x:f>IF(F1344=0,"n.a.",100*(F1344-G1344)/F1344)</x:f>
        <x:v>10.41666666666666</x:v>
      </x:c>
      <x:c r="I1344" s="7" t="n">
        <x:f>F1344-G1344</x:f>
        <x:v>8.333333333333329</x:v>
      </x:c>
      <x:c r="J1344" s="8" t="n">
        <x:v>0.9493128729423869</x:v>
      </x:c>
      <x:c r="K1344" s="8" t="n">
        <x:v>0.9493128729423869</x:v>
      </x:c>
      <x:c r="L1344" s="8" t="n">
        <x:v>0</x:v>
      </x:c>
      <x:c r="M1344" s="7" t="n">
        <x:v>19.164900004398078</x:v>
      </x:c>
      <x:c r="N1344" s="2" t="str">
        <x:v>repository_particle_dynamics_on_frozen_qubo</x:v>
      </x:c>
      <x:c r="O1344" s="9" t="str">
        <x:v>001011010</x:v>
      </x:c>
    </x:row>
    <x:row r="1345" ht="18" customHeight="1">
      <x:c r="A1345" s="2" t="str">
        <x:v>controlled_n6_adjacent_bottlenecks_2</x:v>
      </x:c>
      <x:c r="B1345" s="2" t="str">
        <x:v>QAOA</x:v>
      </x:c>
      <x:c r="C1345" s="2" t="n">
        <x:v>42</x:v>
      </x:c>
      <x:c r="D1345" s="2" t="str">
        <x:v>success</x:v>
      </x:c>
      <x:c r="E1345" s="2" t="n">
        <x:v>9</x:v>
      </x:c>
      <x:c r="F1345" s="7" t="n">
        <x:v>80</x:v>
      </x:c>
      <x:c r="G1345" s="7" t="n">
        <x:v>71.66666666666667</x:v>
      </x:c>
      <x:c r="H1345" s="7" t="n">
        <x:f>IF(F1345=0,"n.a.",100*(F1345-G1345)/F1345)</x:f>
        <x:v>10.41666666666666</x:v>
      </x:c>
      <x:c r="I1345" s="7" t="n">
        <x:f>F1345-G1345</x:f>
        <x:v>8.333333333333329</x:v>
      </x:c>
      <x:c r="J1345" s="8" t="n">
        <x:v>0.9493128729423869</x:v>
      </x:c>
      <x:c r="K1345" s="8" t="n">
        <x:v>0.9493128729423869</x:v>
      </x:c>
      <x:c r="L1345" s="8" t="n">
        <x:v>0</x:v>
      </x:c>
      <x:c r="M1345" s="7" t="n">
        <x:v>714.6600999985822</x:v>
      </x:c>
      <x:c r="N1345" s="2" t="str">
        <x:v>qiskit.primitives.StatevectorSampler</x:v>
      </x:c>
      <x:c r="O1345" s="9" t="str">
        <x:v>101000011</x:v>
      </x:c>
    </x:row>
    <x:row r="1346" ht="18" customHeight="1">
      <x:c r="A1346" s="2" t="str">
        <x:v>controlled_n6_adjacent_bottlenecks_2</x:v>
      </x:c>
      <x:c r="B1346" s="2" t="str">
        <x:v>BPSO</x:v>
      </x:c>
      <x:c r="C1346" s="2" t="n">
        <x:v>123</x:v>
      </x:c>
      <x:c r="D1346" s="2" t="str">
        <x:v>success</x:v>
      </x:c>
      <x:c r="E1346" s="2" t="n">
        <x:v>9</x:v>
      </x:c>
      <x:c r="F1346" s="7" t="n">
        <x:v>80</x:v>
      </x:c>
      <x:c r="G1346" s="7" t="n">
        <x:v>71.66666666666667</x:v>
      </x:c>
      <x:c r="H1346" s="7" t="n">
        <x:f>IF(F1346=0,"n.a.",100*(F1346-G1346)/F1346)</x:f>
        <x:v>10.41666666666666</x:v>
      </x:c>
      <x:c r="I1346" s="7" t="n">
        <x:f>F1346-G1346</x:f>
        <x:v>8.333333333333329</x:v>
      </x:c>
      <x:c r="J1346" s="8" t="n">
        <x:v>0.9493128729423869</x:v>
      </x:c>
      <x:c r="K1346" s="8" t="n">
        <x:v>0.9493128729423869</x:v>
      </x:c>
      <x:c r="L1346" s="8" t="n">
        <x:v>0</x:v>
      </x:c>
      <x:c r="M1346" s="7" t="n">
        <x:v>20.863500001723878</x:v>
      </x:c>
      <x:c r="N1346" s="2" t="str">
        <x:v>repository_particle_dynamics_on_frozen_qubo</x:v>
      </x:c>
      <x:c r="O1346" s="9" t="str">
        <x:v>010011001</x:v>
      </x:c>
    </x:row>
    <x:row r="1347" ht="18" customHeight="1">
      <x:c r="A1347" s="2" t="str">
        <x:v>controlled_n6_adjacent_bottlenecks_2</x:v>
      </x:c>
      <x:c r="B1347" s="2" t="str">
        <x:v>QAOA</x:v>
      </x:c>
      <x:c r="C1347" s="2" t="n">
        <x:v>123</x:v>
      </x:c>
      <x:c r="D1347" s="2" t="str">
        <x:v>success</x:v>
      </x:c>
      <x:c r="E1347" s="2" t="n">
        <x:v>9</x:v>
      </x:c>
      <x:c r="F1347" s="7" t="n">
        <x:v>80</x:v>
      </x:c>
      <x:c r="G1347" s="7" t="n">
        <x:v>71.66666666666667</x:v>
      </x:c>
      <x:c r="H1347" s="7" t="n">
        <x:f>IF(F1347=0,"n.a.",100*(F1347-G1347)/F1347)</x:f>
        <x:v>10.41666666666666</x:v>
      </x:c>
      <x:c r="I1347" s="7" t="n">
        <x:f>F1347-G1347</x:f>
        <x:v>8.333333333333329</x:v>
      </x:c>
      <x:c r="J1347" s="8" t="n">
        <x:v>0.9493128729423869</x:v>
      </x:c>
      <x:c r="K1347" s="8" t="n">
        <x:v>0.9493128729423869</x:v>
      </x:c>
      <x:c r="L1347" s="8" t="n">
        <x:v>0</x:v>
      </x:c>
      <x:c r="M1347" s="7" t="n">
        <x:v>726.0200000018813</x:v>
      </x:c>
      <x:c r="N1347" s="2" t="str">
        <x:v>qiskit.primitives.StatevectorSampler</x:v>
      </x:c>
      <x:c r="O1347" s="9" t="str">
        <x:v>000111100</x:v>
      </x:c>
    </x:row>
    <x:row r="1348" ht="18" customHeight="1">
      <x:c r="A1348" s="2" t="str">
        <x:v>controlled_n6_adjacent_bottlenecks_2</x:v>
      </x:c>
      <x:c r="B1348" s="2" t="str">
        <x:v>BPSO</x:v>
      </x:c>
      <x:c r="C1348" s="2" t="n">
        <x:v>456</x:v>
      </x:c>
      <x:c r="D1348" s="2" t="str">
        <x:v>success</x:v>
      </x:c>
      <x:c r="E1348" s="2" t="n">
        <x:v>9</x:v>
      </x:c>
      <x:c r="F1348" s="7" t="n">
        <x:v>80</x:v>
      </x:c>
      <x:c r="G1348" s="7" t="n">
        <x:v>71.66666666666667</x:v>
      </x:c>
      <x:c r="H1348" s="7" t="n">
        <x:f>IF(F1348=0,"n.a.",100*(F1348-G1348)/F1348)</x:f>
        <x:v>10.41666666666666</x:v>
      </x:c>
      <x:c r="I1348" s="7" t="n">
        <x:f>F1348-G1348</x:f>
        <x:v>8.333333333333329</x:v>
      </x:c>
      <x:c r="J1348" s="8" t="n">
        <x:v>0.9493128729423869</x:v>
      </x:c>
      <x:c r="K1348" s="8" t="n">
        <x:v>0.9493128729423869</x:v>
      </x:c>
      <x:c r="L1348" s="8" t="n">
        <x:v>0</x:v>
      </x:c>
      <x:c r="M1348" s="7" t="n">
        <x:v>20.03399998648092</x:v>
      </x:c>
      <x:c r="N1348" s="2" t="str">
        <x:v>repository_particle_dynamics_on_frozen_qubo</x:v>
      </x:c>
      <x:c r="O1348" s="9" t="str">
        <x:v>000111010</x:v>
      </x:c>
    </x:row>
    <x:row r="1349" ht="18" customHeight="1">
      <x:c r="A1349" s="2" t="str">
        <x:v>controlled_n6_adjacent_bottlenecks_2</x:v>
      </x:c>
      <x:c r="B1349" s="2" t="str">
        <x:v>QAOA</x:v>
      </x:c>
      <x:c r="C1349" s="2" t="n">
        <x:v>456</x:v>
      </x:c>
      <x:c r="D1349" s="2" t="str">
        <x:v>success</x:v>
      </x:c>
      <x:c r="E1349" s="2" t="n">
        <x:v>9</x:v>
      </x:c>
      <x:c r="F1349" s="7" t="n">
        <x:v>80</x:v>
      </x:c>
      <x:c r="G1349" s="7" t="n">
        <x:v>71.66666666666667</x:v>
      </x:c>
      <x:c r="H1349" s="7" t="n">
        <x:f>IF(F1349=0,"n.a.",100*(F1349-G1349)/F1349)</x:f>
        <x:v>10.41666666666666</x:v>
      </x:c>
      <x:c r="I1349" s="7" t="n">
        <x:f>F1349-G1349</x:f>
        <x:v>8.333333333333329</x:v>
      </x:c>
      <x:c r="J1349" s="8" t="n">
        <x:v>0.9493128729423869</x:v>
      </x:c>
      <x:c r="K1349" s="8" t="n">
        <x:v>0.9493128729423869</x:v>
      </x:c>
      <x:c r="L1349" s="8" t="n">
        <x:v>0</x:v>
      </x:c>
      <x:c r="M1349" s="7" t="n">
        <x:v>626.6440999897895</x:v>
      </x:c>
      <x:c r="N1349" s="2" t="str">
        <x:v>qiskit.primitives.StatevectorSampler</x:v>
      </x:c>
      <x:c r="O1349" s="9" t="str">
        <x:v>001101100</x:v>
      </x:c>
    </x:row>
    <x:row r="1350" ht="18" customHeight="1">
      <x:c r="A1350" s="2" t="str">
        <x:v>controlled_n6_adjacent_bottlenecks_2</x:v>
      </x:c>
      <x:c r="B1350" s="2" t="str">
        <x:v>BPSO</x:v>
      </x:c>
      <x:c r="C1350" s="2" t="n">
        <x:v>789</x:v>
      </x:c>
      <x:c r="D1350" s="2" t="str">
        <x:v>success</x:v>
      </x:c>
      <x:c r="E1350" s="2" t="n">
        <x:v>9</x:v>
      </x:c>
      <x:c r="F1350" s="7" t="n">
        <x:v>80</x:v>
      </x:c>
      <x:c r="G1350" s="7" t="n">
        <x:v>71.66666666666667</x:v>
      </x:c>
      <x:c r="H1350" s="7" t="n">
        <x:f>IF(F1350=0,"n.a.",100*(F1350-G1350)/F1350)</x:f>
        <x:v>10.41666666666666</x:v>
      </x:c>
      <x:c r="I1350" s="7" t="n">
        <x:f>F1350-G1350</x:f>
        <x:v>8.333333333333329</x:v>
      </x:c>
      <x:c r="J1350" s="8" t="n">
        <x:v>0.9493128729423869</x:v>
      </x:c>
      <x:c r="K1350" s="8" t="n">
        <x:v>0.9493128729423869</x:v>
      </x:c>
      <x:c r="L1350" s="8" t="n">
        <x:v>0</x:v>
      </x:c>
      <x:c r="M1350" s="7" t="n">
        <x:v>19.265599999926053</x:v>
      </x:c>
      <x:c r="N1350" s="2" t="str">
        <x:v>repository_particle_dynamics_on_frozen_qubo</x:v>
      </x:c>
      <x:c r="O1350" s="9" t="str">
        <x:v>001011100</x:v>
      </x:c>
    </x:row>
    <x:row r="1351" ht="18" customHeight="1">
      <x:c r="A1351" s="2" t="str">
        <x:v>controlled_n6_adjacent_bottlenecks_2</x:v>
      </x:c>
      <x:c r="B1351" s="2" t="str">
        <x:v>QAOA</x:v>
      </x:c>
      <x:c r="C1351" s="2" t="n">
        <x:v>789</x:v>
      </x:c>
      <x:c r="D1351" s="2" t="str">
        <x:v>success</x:v>
      </x:c>
      <x:c r="E1351" s="2" t="n">
        <x:v>9</x:v>
      </x:c>
      <x:c r="F1351" s="7" t="n">
        <x:v>80</x:v>
      </x:c>
      <x:c r="G1351" s="7" t="n">
        <x:v>71.66666666666667</x:v>
      </x:c>
      <x:c r="H1351" s="7" t="n">
        <x:f>IF(F1351=0,"n.a.",100*(F1351-G1351)/F1351)</x:f>
        <x:v>10.41666666666666</x:v>
      </x:c>
      <x:c r="I1351" s="7" t="n">
        <x:f>F1351-G1351</x:f>
        <x:v>8.333333333333329</x:v>
      </x:c>
      <x:c r="J1351" s="8" t="n">
        <x:v>0.9493128729423869</x:v>
      </x:c>
      <x:c r="K1351" s="8" t="n">
        <x:v>0.9493128729423869</x:v>
      </x:c>
      <x:c r="L1351" s="8" t="n">
        <x:v>0</x:v>
      </x:c>
      <x:c r="M1351" s="7" t="n">
        <x:v>575.7157000043662</x:v>
      </x:c>
      <x:c r="N1351" s="2" t="str">
        <x:v>qiskit.primitives.StatevectorSampler</x:v>
      </x:c>
      <x:c r="O1351" s="9" t="str">
        <x:v>011000101</x:v>
      </x:c>
    </x:row>
    <x:row r="1352" ht="18" customHeight="1">
      <x:c r="A1352" s="2" t="str">
        <x:v>controlled_n6_adjacent_bottlenecks_2</x:v>
      </x:c>
      <x:c r="B1352" s="2" t="str">
        <x:v>BPSO</x:v>
      </x:c>
      <x:c r="C1352" s="2" t="n">
        <x:v>2026</x:v>
      </x:c>
      <x:c r="D1352" s="2" t="str">
        <x:v>success</x:v>
      </x:c>
      <x:c r="E1352" s="2" t="n">
        <x:v>9</x:v>
      </x:c>
      <x:c r="F1352" s="7" t="n">
        <x:v>80</x:v>
      </x:c>
      <x:c r="G1352" s="7" t="n">
        <x:v>71.66666666666667</x:v>
      </x:c>
      <x:c r="H1352" s="7" t="n">
        <x:f>IF(F1352=0,"n.a.",100*(F1352-G1352)/F1352)</x:f>
        <x:v>10.41666666666666</x:v>
      </x:c>
      <x:c r="I1352" s="7" t="n">
        <x:f>F1352-G1352</x:f>
        <x:v>8.333333333333329</x:v>
      </x:c>
      <x:c r="J1352" s="8" t="n">
        <x:v>0.9493128729423869</x:v>
      </x:c>
      <x:c r="K1352" s="8" t="n">
        <x:v>0.9493128729423869</x:v>
      </x:c>
      <x:c r="L1352" s="8" t="n">
        <x:v>0</x:v>
      </x:c>
      <x:c r="M1352" s="7" t="n">
        <x:v>19.345999986398965</x:v>
      </x:c>
      <x:c r="N1352" s="2" t="str">
        <x:v>repository_particle_dynamics_on_frozen_qubo</x:v>
      </x:c>
      <x:c r="O1352" s="9" t="str">
        <x:v>011001100</x:v>
      </x:c>
    </x:row>
    <x:row r="1353" ht="18" customHeight="1">
      <x:c r="A1353" s="2" t="str">
        <x:v>controlled_n6_adjacent_bottlenecks_2</x:v>
      </x:c>
      <x:c r="B1353" s="2" t="str">
        <x:v>QAOA</x:v>
      </x:c>
      <x:c r="C1353" s="2" t="n">
        <x:v>2026</x:v>
      </x:c>
      <x:c r="D1353" s="2" t="str">
        <x:v>success</x:v>
      </x:c>
      <x:c r="E1353" s="2" t="n">
        <x:v>9</x:v>
      </x:c>
      <x:c r="F1353" s="7" t="n">
        <x:v>80</x:v>
      </x:c>
      <x:c r="G1353" s="7" t="n">
        <x:v>71.66666666666667</x:v>
      </x:c>
      <x:c r="H1353" s="7" t="n">
        <x:f>IF(F1353=0,"n.a.",100*(F1353-G1353)/F1353)</x:f>
        <x:v>10.41666666666666</x:v>
      </x:c>
      <x:c r="I1353" s="7" t="n">
        <x:f>F1353-G1353</x:f>
        <x:v>8.333333333333329</x:v>
      </x:c>
      <x:c r="J1353" s="8" t="n">
        <x:v>0.9493128729423869</x:v>
      </x:c>
      <x:c r="K1353" s="8" t="n">
        <x:v>0.9493128729423869</x:v>
      </x:c>
      <x:c r="L1353" s="8" t="n">
        <x:v>0</x:v>
      </x:c>
      <x:c r="M1353" s="7" t="n">
        <x:v>658.6917999957222</x:v>
      </x:c>
      <x:c r="N1353" s="2" t="str">
        <x:v>qiskit.primitives.StatevectorSampler</x:v>
      </x:c>
      <x:c r="O1353" s="9" t="str">
        <x:v>100010101</x:v>
      </x:c>
    </x:row>
    <x:row r="1354" ht="18" customHeight="1">
      <x:c r="A1354" s="2" t="str">
        <x:v>controlled_n6_adjacent_bottlenecks_3</x:v>
      </x:c>
      <x:c r="B1354" s="2" t="str">
        <x:v>Unmanaged</x:v>
      </x:c>
      <x:c r="C1354" s="2"/>
      <x:c r="D1354" s="2" t="str">
        <x:v>baseline</x:v>
      </x:c>
      <x:c r="E1354" s="2" t="n">
        <x:v>10</x:v>
      </x:c>
      <x:c r="F1354" s="7" t="n">
        <x:v>95</x:v>
      </x:c>
      <x:c r="G1354" s="7" t="n">
        <x:v>95</x:v>
      </x:c>
      <x:c r="H1354" s="7" t="n">
        <x:f>IF(F1354=0,"n.a.",100*(F1354-G1354)/F1354)</x:f>
        <x:v>0</x:v>
      </x:c>
      <x:c r="I1354" s="7" t="n">
        <x:f>F1354-G1354</x:f>
        <x:v>0</x:v>
      </x:c>
      <x:c r="J1354" s="8"/>
      <x:c r="K1354" s="8" t="n">
        <x:v>1.6209300443672845</x:v>
      </x:c>
      <x:c r="L1354" s="8"/>
      <x:c r="M1354" s="7"/>
      <x:c r="N1354" s="2" t="str">
        <x:v>unmanaged_input</x:v>
      </x:c>
      <x:c r="O1354" s="9"/>
    </x:row>
    <x:row r="1355" ht="18" customHeight="1">
      <x:c r="A1355" s="2" t="str">
        <x:v>controlled_n6_adjacent_bottlenecks_3</x:v>
      </x:c>
      <x:c r="B1355" s="2" t="str">
        <x:v>Exact J</x:v>
      </x:c>
      <x:c r="C1355" s="2"/>
      <x:c r="D1355" s="2" t="str">
        <x:v>success</x:v>
      </x:c>
      <x:c r="E1355" s="2" t="n">
        <x:v>10</x:v>
      </x:c>
      <x:c r="F1355" s="7" t="n">
        <x:v>95</x:v>
      </x:c>
      <x:c r="G1355" s="7" t="n">
        <x:v>80</x:v>
      </x:c>
      <x:c r="H1355" s="7" t="n">
        <x:f>IF(F1355=0,"n.a.",100*(F1355-G1355)/F1355)</x:f>
        <x:v>15.789473684210526</x:v>
      </x:c>
      <x:c r="I1355" s="7" t="n">
        <x:f>F1355-G1355</x:f>
        <x:v>15</x:v>
      </x:c>
      <x:c r="J1355" s="8" t="n">
        <x:v>1.6209300443672845</x:v>
      </x:c>
      <x:c r="K1355" s="8" t="n">
        <x:v>1.6209300443672845</x:v>
      </x:c>
      <x:c r="L1355" s="8" t="n">
        <x:v>0</x:v>
      </x:c>
      <x:c r="M1355" s="7"/>
      <x:c r="N1355" s="2" t="str">
        <x:v>exhaustive_enumeration</x:v>
      </x:c>
      <x:c r="O1355" s="9" t="str">
        <x:v>0000111101</x:v>
      </x:c>
    </x:row>
    <x:row r="1356" ht="18" customHeight="1">
      <x:c r="A1356" s="2" t="str">
        <x:v>controlled_n6_adjacent_bottlenecks_3</x:v>
      </x:c>
      <x:c r="B1356" s="2" t="str">
        <x:v>Exact peak</x:v>
      </x:c>
      <x:c r="C1356" s="2"/>
      <x:c r="D1356" s="2" t="str">
        <x:v>success</x:v>
      </x:c>
      <x:c r="E1356" s="2" t="n">
        <x:v>10</x:v>
      </x:c>
      <x:c r="F1356" s="7" t="n">
        <x:v>95</x:v>
      </x:c>
      <x:c r="G1356" s="7" t="n">
        <x:v>80</x:v>
      </x:c>
      <x:c r="H1356" s="7" t="n">
        <x:f>IF(F1356=0,"n.a.",100*(F1356-G1356)/F1356)</x:f>
        <x:v>15.789473684210526</x:v>
      </x:c>
      <x:c r="I1356" s="7" t="n">
        <x:f>F1356-G1356</x:f>
        <x:v>15</x:v>
      </x:c>
      <x:c r="J1356" s="8" t="n">
        <x:v>1.6209300443672845</x:v>
      </x:c>
      <x:c r="K1356" s="8" t="n">
        <x:v>1.6209300443672845</x:v>
      </x:c>
      <x:c r="L1356" s="8" t="n">
        <x:v>0</x:v>
      </x:c>
      <x:c r="M1356" s="7"/>
      <x:c r="N1356" s="2" t="str">
        <x:v>exhaustive_enumeration</x:v>
      </x:c>
      <x:c r="O1356" s="9" t="str">
        <x:v>0000111101</x:v>
      </x:c>
    </x:row>
    <x:row r="1357" ht="18" customHeight="1">
      <x:c r="A1357" s="2" t="str">
        <x:v>controlled_n6_adjacent_bottlenecks_3</x:v>
      </x:c>
      <x:c r="B1357" s="2" t="str">
        <x:v>BPSO</x:v>
      </x:c>
      <x:c r="C1357" s="2" t="n">
        <x:v>42</x:v>
      </x:c>
      <x:c r="D1357" s="2" t="str">
        <x:v>success</x:v>
      </x:c>
      <x:c r="E1357" s="2" t="n">
        <x:v>10</x:v>
      </x:c>
      <x:c r="F1357" s="7" t="n">
        <x:v>95</x:v>
      </x:c>
      <x:c r="G1357" s="7" t="n">
        <x:v>80</x:v>
      </x:c>
      <x:c r="H1357" s="7" t="n">
        <x:f>IF(F1357=0,"n.a.",100*(F1357-G1357)/F1357)</x:f>
        <x:v>15.789473684210526</x:v>
      </x:c>
      <x:c r="I1357" s="7" t="n">
        <x:f>F1357-G1357</x:f>
        <x:v>15</x:v>
      </x:c>
      <x:c r="J1357" s="8" t="n">
        <x:v>1.6209300443672845</x:v>
      </x:c>
      <x:c r="K1357" s="8" t="n">
        <x:v>1.6209300443672845</x:v>
      </x:c>
      <x:c r="L1357" s="8" t="n">
        <x:v>0</x:v>
      </x:c>
      <x:c r="M1357" s="7" t="n">
        <x:v>20.81890001136344</x:v>
      </x:c>
      <x:c r="N1357" s="2" t="str">
        <x:v>repository_particle_dynamics_on_frozen_qubo</x:v>
      </x:c>
      <x:c r="O1357" s="9" t="str">
        <x:v>1011100001</x:v>
      </x:c>
    </x:row>
    <x:row r="1358" ht="18" customHeight="1">
      <x:c r="A1358" s="2" t="str">
        <x:v>controlled_n6_adjacent_bottlenecks_3</x:v>
      </x:c>
      <x:c r="B1358" s="2" t="str">
        <x:v>QAOA</x:v>
      </x:c>
      <x:c r="C1358" s="2" t="n">
        <x:v>42</x:v>
      </x:c>
      <x:c r="D1358" s="2" t="str">
        <x:v>success</x:v>
      </x:c>
      <x:c r="E1358" s="2" t="n">
        <x:v>10</x:v>
      </x:c>
      <x:c r="F1358" s="7" t="n">
        <x:v>95</x:v>
      </x:c>
      <x:c r="G1358" s="7" t="n">
        <x:v>80</x:v>
      </x:c>
      <x:c r="H1358" s="7" t="n">
        <x:f>IF(F1358=0,"n.a.",100*(F1358-G1358)/F1358)</x:f>
        <x:v>15.789473684210526</x:v>
      </x:c>
      <x:c r="I1358" s="7" t="n">
        <x:f>F1358-G1358</x:f>
        <x:v>15</x:v>
      </x:c>
      <x:c r="J1358" s="8" t="n">
        <x:v>1.6209300443672845</x:v>
      </x:c>
      <x:c r="K1358" s="8" t="n">
        <x:v>1.6209300443672845</x:v>
      </x:c>
      <x:c r="L1358" s="8" t="n">
        <x:v>0</x:v>
      </x:c>
      <x:c r="M1358" s="7" t="n">
        <x:v>700.5675999971572</x:v>
      </x:c>
      <x:c r="N1358" s="2" t="str">
        <x:v>qiskit.primitives.StatevectorSampler</x:v>
      </x:c>
      <x:c r="O1358" s="9" t="str">
        <x:v>0101001101</x:v>
      </x:c>
    </x:row>
    <x:row r="1359" ht="18" customHeight="1">
      <x:c r="A1359" s="2" t="str">
        <x:v>controlled_n6_adjacent_bottlenecks_3</x:v>
      </x:c>
      <x:c r="B1359" s="2" t="str">
        <x:v>BPSO</x:v>
      </x:c>
      <x:c r="C1359" s="2" t="n">
        <x:v>123</x:v>
      </x:c>
      <x:c r="D1359" s="2" t="str">
        <x:v>success</x:v>
      </x:c>
      <x:c r="E1359" s="2" t="n">
        <x:v>10</x:v>
      </x:c>
      <x:c r="F1359" s="7" t="n">
        <x:v>95</x:v>
      </x:c>
      <x:c r="G1359" s="7" t="n">
        <x:v>80</x:v>
      </x:c>
      <x:c r="H1359" s="7" t="n">
        <x:f>IF(F1359=0,"n.a.",100*(F1359-G1359)/F1359)</x:f>
        <x:v>15.789473684210526</x:v>
      </x:c>
      <x:c r="I1359" s="7" t="n">
        <x:f>F1359-G1359</x:f>
        <x:v>15</x:v>
      </x:c>
      <x:c r="J1359" s="8" t="n">
        <x:v>1.6209300443672845</x:v>
      </x:c>
      <x:c r="K1359" s="8" t="n">
        <x:v>1.6209300443672845</x:v>
      </x:c>
      <x:c r="L1359" s="8" t="n">
        <x:v>0</x:v>
      </x:c>
      <x:c r="M1359" s="7" t="n">
        <x:v>20.380500005558133</x:v>
      </x:c>
      <x:c r="N1359" s="2" t="str">
        <x:v>repository_particle_dynamics_on_frozen_qubo</x:v>
      </x:c>
      <x:c r="O1359" s="9" t="str">
        <x:v>1010011010</x:v>
      </x:c>
    </x:row>
    <x:row r="1360" ht="18" customHeight="1">
      <x:c r="A1360" s="2" t="str">
        <x:v>controlled_n6_adjacent_bottlenecks_3</x:v>
      </x:c>
      <x:c r="B1360" s="2" t="str">
        <x:v>QAOA</x:v>
      </x:c>
      <x:c r="C1360" s="2" t="n">
        <x:v>123</x:v>
      </x:c>
      <x:c r="D1360" s="2" t="str">
        <x:v>success</x:v>
      </x:c>
      <x:c r="E1360" s="2" t="n">
        <x:v>10</x:v>
      </x:c>
      <x:c r="F1360" s="7" t="n">
        <x:v>95</x:v>
      </x:c>
      <x:c r="G1360" s="7" t="n">
        <x:v>80</x:v>
      </x:c>
      <x:c r="H1360" s="7" t="n">
        <x:f>IF(F1360=0,"n.a.",100*(F1360-G1360)/F1360)</x:f>
        <x:v>15.789473684210526</x:v>
      </x:c>
      <x:c r="I1360" s="7" t="n">
        <x:f>F1360-G1360</x:f>
        <x:v>15</x:v>
      </x:c>
      <x:c r="J1360" s="8" t="n">
        <x:v>1.6209300443672845</x:v>
      </x:c>
      <x:c r="K1360" s="8" t="n">
        <x:v>1.6209300443672845</x:v>
      </x:c>
      <x:c r="L1360" s="8" t="n">
        <x:v>0</x:v>
      </x:c>
      <x:c r="M1360" s="7" t="n">
        <x:v>810.7262000121409</x:v>
      </x:c>
      <x:c r="N1360" s="2" t="str">
        <x:v>qiskit.primitives.StatevectorSampler</x:v>
      </x:c>
      <x:c r="O1360" s="9" t="str">
        <x:v>0010011110</x:v>
      </x:c>
    </x:row>
    <x:row r="1361" ht="18" customHeight="1">
      <x:c r="A1361" s="2" t="str">
        <x:v>controlled_n6_adjacent_bottlenecks_3</x:v>
      </x:c>
      <x:c r="B1361" s="2" t="str">
        <x:v>BPSO</x:v>
      </x:c>
      <x:c r="C1361" s="2" t="n">
        <x:v>456</x:v>
      </x:c>
      <x:c r="D1361" s="2" t="str">
        <x:v>success</x:v>
      </x:c>
      <x:c r="E1361" s="2" t="n">
        <x:v>10</x:v>
      </x:c>
      <x:c r="F1361" s="7" t="n">
        <x:v>95</x:v>
      </x:c>
      <x:c r="G1361" s="7" t="n">
        <x:v>80</x:v>
      </x:c>
      <x:c r="H1361" s="7" t="n">
        <x:f>IF(F1361=0,"n.a.",100*(F1361-G1361)/F1361)</x:f>
        <x:v>15.789473684210526</x:v>
      </x:c>
      <x:c r="I1361" s="7" t="n">
        <x:f>F1361-G1361</x:f>
        <x:v>15</x:v>
      </x:c>
      <x:c r="J1361" s="8" t="n">
        <x:v>1.6209300443672845</x:v>
      </x:c>
      <x:c r="K1361" s="8" t="n">
        <x:v>1.6209300443672845</x:v>
      </x:c>
      <x:c r="L1361" s="8" t="n">
        <x:v>0</x:v>
      </x:c>
      <x:c r="M1361" s="7" t="n">
        <x:v>20.54159999534022</x:v>
      </x:c>
      <x:c r="N1361" s="2" t="str">
        <x:v>repository_particle_dynamics_on_frozen_qubo</x:v>
      </x:c>
      <x:c r="O1361" s="9" t="str">
        <x:v>0111000101</x:v>
      </x:c>
    </x:row>
    <x:row r="1362" ht="18" customHeight="1">
      <x:c r="A1362" s="2" t="str">
        <x:v>controlled_n6_adjacent_bottlenecks_3</x:v>
      </x:c>
      <x:c r="B1362" s="2" t="str">
        <x:v>QAOA</x:v>
      </x:c>
      <x:c r="C1362" s="2" t="n">
        <x:v>456</x:v>
      </x:c>
      <x:c r="D1362" s="2" t="str">
        <x:v>success</x:v>
      </x:c>
      <x:c r="E1362" s="2" t="n">
        <x:v>10</x:v>
      </x:c>
      <x:c r="F1362" s="7" t="n">
        <x:v>95</x:v>
      </x:c>
      <x:c r="G1362" s="7" t="n">
        <x:v>80</x:v>
      </x:c>
      <x:c r="H1362" s="7" t="n">
        <x:f>IF(F1362=0,"n.a.",100*(F1362-G1362)/F1362)</x:f>
        <x:v>15.789473684210526</x:v>
      </x:c>
      <x:c r="I1362" s="7" t="n">
        <x:f>F1362-G1362</x:f>
        <x:v>15</x:v>
      </x:c>
      <x:c r="J1362" s="8" t="n">
        <x:v>1.6209300443672845</x:v>
      </x:c>
      <x:c r="K1362" s="8" t="n">
        <x:v>1.6209300443672845</x:v>
      </x:c>
      <x:c r="L1362" s="8" t="n">
        <x:v>0</x:v>
      </x:c>
      <x:c r="M1362" s="7" t="n">
        <x:v>682.748499995796</x:v>
      </x:c>
      <x:c r="N1362" s="2" t="str">
        <x:v>qiskit.primitives.StatevectorSampler</x:v>
      </x:c>
      <x:c r="O1362" s="9" t="str">
        <x:v>0000111110</x:v>
      </x:c>
    </x:row>
    <x:row r="1363" ht="18" customHeight="1">
      <x:c r="A1363" s="2" t="str">
        <x:v>controlled_n6_adjacent_bottlenecks_3</x:v>
      </x:c>
      <x:c r="B1363" s="2" t="str">
        <x:v>BPSO</x:v>
      </x:c>
      <x:c r="C1363" s="2" t="n">
        <x:v>789</x:v>
      </x:c>
      <x:c r="D1363" s="2" t="str">
        <x:v>success</x:v>
      </x:c>
      <x:c r="E1363" s="2" t="n">
        <x:v>10</x:v>
      </x:c>
      <x:c r="F1363" s="7" t="n">
        <x:v>95</x:v>
      </x:c>
      <x:c r="G1363" s="7" t="n">
        <x:v>80</x:v>
      </x:c>
      <x:c r="H1363" s="7" t="n">
        <x:f>IF(F1363=0,"n.a.",100*(F1363-G1363)/F1363)</x:f>
        <x:v>15.789473684210526</x:v>
      </x:c>
      <x:c r="I1363" s="7" t="n">
        <x:f>F1363-G1363</x:f>
        <x:v>15</x:v>
      </x:c>
      <x:c r="J1363" s="8" t="n">
        <x:v>1.6209300443672845</x:v>
      </x:c>
      <x:c r="K1363" s="8" t="n">
        <x:v>1.6209300443672845</x:v>
      </x:c>
      <x:c r="L1363" s="8" t="n">
        <x:v>0</x:v>
      </x:c>
      <x:c r="M1363" s="7" t="n">
        <x:v>21.463700002641417</x:v>
      </x:c>
      <x:c r="N1363" s="2" t="str">
        <x:v>repository_particle_dynamics_on_frozen_qubo</x:v>
      </x:c>
      <x:c r="O1363" s="9" t="str">
        <x:v>0000111110</x:v>
      </x:c>
    </x:row>
    <x:row r="1364" ht="18" customHeight="1">
      <x:c r="A1364" s="2" t="str">
        <x:v>controlled_n6_adjacent_bottlenecks_3</x:v>
      </x:c>
      <x:c r="B1364" s="2" t="str">
        <x:v>QAOA</x:v>
      </x:c>
      <x:c r="C1364" s="2" t="n">
        <x:v>789</x:v>
      </x:c>
      <x:c r="D1364" s="2" t="str">
        <x:v>success</x:v>
      </x:c>
      <x:c r="E1364" s="2" t="n">
        <x:v>10</x:v>
      </x:c>
      <x:c r="F1364" s="7" t="n">
        <x:v>95</x:v>
      </x:c>
      <x:c r="G1364" s="7" t="n">
        <x:v>80</x:v>
      </x:c>
      <x:c r="H1364" s="7" t="n">
        <x:f>IF(F1364=0,"n.a.",100*(F1364-G1364)/F1364)</x:f>
        <x:v>15.789473684210526</x:v>
      </x:c>
      <x:c r="I1364" s="7" t="n">
        <x:f>F1364-G1364</x:f>
        <x:v>15</x:v>
      </x:c>
      <x:c r="J1364" s="8" t="n">
        <x:v>1.6209300443672845</x:v>
      </x:c>
      <x:c r="K1364" s="8" t="n">
        <x:v>1.6209300443672845</x:v>
      </x:c>
      <x:c r="L1364" s="8" t="n">
        <x:v>0</x:v>
      </x:c>
      <x:c r="M1364" s="7" t="n">
        <x:v>816.5245999989565</x:v>
      </x:c>
      <x:c r="N1364" s="2" t="str">
        <x:v>qiskit.primitives.StatevectorSampler</x:v>
      </x:c>
      <x:c r="O1364" s="9" t="str">
        <x:v>1011100010</x:v>
      </x:c>
    </x:row>
    <x:row r="1365" ht="18" customHeight="1">
      <x:c r="A1365" s="2" t="str">
        <x:v>controlled_n6_adjacent_bottlenecks_3</x:v>
      </x:c>
      <x:c r="B1365" s="2" t="str">
        <x:v>BPSO</x:v>
      </x:c>
      <x:c r="C1365" s="2" t="n">
        <x:v>2026</x:v>
      </x:c>
      <x:c r="D1365" s="2" t="str">
        <x:v>success</x:v>
      </x:c>
      <x:c r="E1365" s="2" t="n">
        <x:v>10</x:v>
      </x:c>
      <x:c r="F1365" s="7" t="n">
        <x:v>95</x:v>
      </x:c>
      <x:c r="G1365" s="7" t="n">
        <x:v>80</x:v>
      </x:c>
      <x:c r="H1365" s="7" t="n">
        <x:f>IF(F1365=0,"n.a.",100*(F1365-G1365)/F1365)</x:f>
        <x:v>15.789473684210526</x:v>
      </x:c>
      <x:c r="I1365" s="7" t="n">
        <x:f>F1365-G1365</x:f>
        <x:v>15</x:v>
      </x:c>
      <x:c r="J1365" s="8" t="n">
        <x:v>1.6209300443672845</x:v>
      </x:c>
      <x:c r="K1365" s="8" t="n">
        <x:v>1.6209300443672845</x:v>
      </x:c>
      <x:c r="L1365" s="8" t="n">
        <x:v>0</x:v>
      </x:c>
      <x:c r="M1365" s="7" t="n">
        <x:v>20.38820000598207</x:v>
      </x:c>
      <x:c r="N1365" s="2" t="str">
        <x:v>repository_particle_dynamics_on_frozen_qubo</x:v>
      </x:c>
      <x:c r="O1365" s="9" t="str">
        <x:v>1100001101</x:v>
      </x:c>
    </x:row>
    <x:row r="1366" ht="18" customHeight="1">
      <x:c r="A1366" s="2" t="str">
        <x:v>controlled_n6_adjacent_bottlenecks_3</x:v>
      </x:c>
      <x:c r="B1366" s="2" t="str">
        <x:v>QAOA</x:v>
      </x:c>
      <x:c r="C1366" s="2" t="n">
        <x:v>2026</x:v>
      </x:c>
      <x:c r="D1366" s="2" t="str">
        <x:v>success</x:v>
      </x:c>
      <x:c r="E1366" s="2" t="n">
        <x:v>10</x:v>
      </x:c>
      <x:c r="F1366" s="7" t="n">
        <x:v>95</x:v>
      </x:c>
      <x:c r="G1366" s="7" t="n">
        <x:v>80</x:v>
      </x:c>
      <x:c r="H1366" s="7" t="n">
        <x:f>IF(F1366=0,"n.a.",100*(F1366-G1366)/F1366)</x:f>
        <x:v>15.789473684210526</x:v>
      </x:c>
      <x:c r="I1366" s="7" t="n">
        <x:f>F1366-G1366</x:f>
        <x:v>15</x:v>
      </x:c>
      <x:c r="J1366" s="8" t="n">
        <x:v>1.6209300443672845</x:v>
      </x:c>
      <x:c r="K1366" s="8" t="n">
        <x:v>1.6209300443672845</x:v>
      </x:c>
      <x:c r="L1366" s="8" t="n">
        <x:v>0</x:v>
      </x:c>
      <x:c r="M1366" s="7" t="n">
        <x:v>734.9490000051446</x:v>
      </x:c>
      <x:c r="N1366" s="2" t="str">
        <x:v>qiskit.primitives.StatevectorSampler</x:v>
      </x:c>
      <x:c r="O1366" s="9" t="str">
        <x:v>0011100101</x:v>
      </x:c>
    </x:row>
    <x:row r="1367" ht="18" customHeight="1">
      <x:c r="A1367" s="2" t="str">
        <x:v>controlled_n6_separated_bottlenecks_1</x:v>
      </x:c>
      <x:c r="B1367" s="2" t="str">
        <x:v>Unmanaged</x:v>
      </x:c>
      <x:c r="C1367" s="2"/>
      <x:c r="D1367" s="2" t="str">
        <x:v>baseline</x:v>
      </x:c>
      <x:c r="E1367" s="2" t="n">
        <x:v>5</x:v>
      </x:c>
      <x:c r="F1367" s="7" t="n">
        <x:v>65</x:v>
      </x:c>
      <x:c r="G1367" s="7" t="n">
        <x:v>65</x:v>
      </x:c>
      <x:c r="H1367" s="7" t="n">
        <x:f>IF(F1367=0,"n.a.",100*(F1367-G1367)/F1367)</x:f>
        <x:v>0</x:v>
      </x:c>
      <x:c r="I1367" s="7" t="n">
        <x:f>F1367-G1367</x:f>
        <x:v>0</x:v>
      </x:c>
      <x:c r="J1367" s="8"/>
      <x:c r="K1367" s="8" t="n">
        <x:v>0.9634527649176956</x:v>
      </x:c>
      <x:c r="L1367" s="8"/>
      <x:c r="M1367" s="7"/>
      <x:c r="N1367" s="2" t="str">
        <x:v>unmanaged_input</x:v>
      </x:c>
      <x:c r="O1367" s="9"/>
    </x:row>
    <x:row r="1368" ht="18" customHeight="1">
      <x:c r="A1368" s="2" t="str">
        <x:v>controlled_n6_separated_bottlenecks_1</x:v>
      </x:c>
      <x:c r="B1368" s="2" t="str">
        <x:v>Exact J</x:v>
      </x:c>
      <x:c r="C1368" s="2"/>
      <x:c r="D1368" s="2" t="str">
        <x:v>success</x:v>
      </x:c>
      <x:c r="E1368" s="2" t="n">
        <x:v>5</x:v>
      </x:c>
      <x:c r="F1368" s="7" t="n">
        <x:v>65</x:v>
      </x:c>
      <x:c r="G1368" s="7" t="n">
        <x:v>52.5</x:v>
      </x:c>
      <x:c r="H1368" s="7" t="n">
        <x:f>IF(F1368=0,"n.a.",100*(F1368-G1368)/F1368)</x:f>
        <x:v>19.23076923076923</x:v>
      </x:c>
      <x:c r="I1368" s="7" t="n">
        <x:f>F1368-G1368</x:f>
        <x:v>12.5</x:v>
      </x:c>
      <x:c r="J1368" s="8" t="n">
        <x:v>0.9634527649176956</x:v>
      </x:c>
      <x:c r="K1368" s="8" t="n">
        <x:v>0.9634527649176956</x:v>
      </x:c>
      <x:c r="L1368" s="8" t="n">
        <x:v>0</x:v>
      </x:c>
      <x:c r="M1368" s="7"/>
      <x:c r="N1368" s="2" t="str">
        <x:v>exhaustive_enumeration</x:v>
      </x:c>
      <x:c r="O1368" s="9" t="str">
        <x:v>00101</x:v>
      </x:c>
    </x:row>
    <x:row r="1369" ht="18" customHeight="1">
      <x:c r="A1369" s="2" t="str">
        <x:v>controlled_n6_separated_bottlenecks_1</x:v>
      </x:c>
      <x:c r="B1369" s="2" t="str">
        <x:v>Exact peak</x:v>
      </x:c>
      <x:c r="C1369" s="2"/>
      <x:c r="D1369" s="2" t="str">
        <x:v>success</x:v>
      </x:c>
      <x:c r="E1369" s="2" t="n">
        <x:v>5</x:v>
      </x:c>
      <x:c r="F1369" s="7" t="n">
        <x:v>65</x:v>
      </x:c>
      <x:c r="G1369" s="7" t="n">
        <x:v>52.5</x:v>
      </x:c>
      <x:c r="H1369" s="7" t="n">
        <x:f>IF(F1369=0,"n.a.",100*(F1369-G1369)/F1369)</x:f>
        <x:v>19.23076923076923</x:v>
      </x:c>
      <x:c r="I1369" s="7" t="n">
        <x:f>F1369-G1369</x:f>
        <x:v>12.5</x:v>
      </x:c>
      <x:c r="J1369" s="8" t="n">
        <x:v>0.9634527649176956</x:v>
      </x:c>
      <x:c r="K1369" s="8" t="n">
        <x:v>0.9634527649176956</x:v>
      </x:c>
      <x:c r="L1369" s="8" t="n">
        <x:v>0</x:v>
      </x:c>
      <x:c r="M1369" s="7"/>
      <x:c r="N1369" s="2" t="str">
        <x:v>exhaustive_enumeration</x:v>
      </x:c>
      <x:c r="O1369" s="9" t="str">
        <x:v>00101</x:v>
      </x:c>
    </x:row>
    <x:row r="1370" ht="18" customHeight="1">
      <x:c r="A1370" s="2" t="str">
        <x:v>controlled_n6_separated_bottlenecks_1</x:v>
      </x:c>
      <x:c r="B1370" s="2" t="str">
        <x:v>BPSO</x:v>
      </x:c>
      <x:c r="C1370" s="2" t="n">
        <x:v>42</x:v>
      </x:c>
      <x:c r="D1370" s="2" t="str">
        <x:v>success</x:v>
      </x:c>
      <x:c r="E1370" s="2" t="n">
        <x:v>5</x:v>
      </x:c>
      <x:c r="F1370" s="7" t="n">
        <x:v>65</x:v>
      </x:c>
      <x:c r="G1370" s="7" t="n">
        <x:v>52.5</x:v>
      </x:c>
      <x:c r="H1370" s="7" t="n">
        <x:f>IF(F1370=0,"n.a.",100*(F1370-G1370)/F1370)</x:f>
        <x:v>19.23076923076923</x:v>
      </x:c>
      <x:c r="I1370" s="7" t="n">
        <x:f>F1370-G1370</x:f>
        <x:v>12.5</x:v>
      </x:c>
      <x:c r="J1370" s="8" t="n">
        <x:v>0.9634527649176956</x:v>
      </x:c>
      <x:c r="K1370" s="8" t="n">
        <x:v>0.9634527649176956</x:v>
      </x:c>
      <x:c r="L1370" s="8" t="n">
        <x:v>0</x:v>
      </x:c>
      <x:c r="M1370" s="7" t="n">
        <x:v>14.677999992272817</x:v>
      </x:c>
      <x:c r="N1370" s="2" t="str">
        <x:v>repository_particle_dynamics_on_frozen_qubo</x:v>
      </x:c>
      <x:c r="O1370" s="9" t="str">
        <x:v>00110</x:v>
      </x:c>
    </x:row>
    <x:row r="1371" ht="18" customHeight="1">
      <x:c r="A1371" s="2" t="str">
        <x:v>controlled_n6_separated_bottlenecks_1</x:v>
      </x:c>
      <x:c r="B1371" s="2" t="str">
        <x:v>QAOA</x:v>
      </x:c>
      <x:c r="C1371" s="2" t="n">
        <x:v>42</x:v>
      </x:c>
      <x:c r="D1371" s="2" t="str">
        <x:v>success</x:v>
      </x:c>
      <x:c r="E1371" s="2" t="n">
        <x:v>5</x:v>
      </x:c>
      <x:c r="F1371" s="7" t="n">
        <x:v>65</x:v>
      </x:c>
      <x:c r="G1371" s="7" t="n">
        <x:v>52.5</x:v>
      </x:c>
      <x:c r="H1371" s="7" t="n">
        <x:f>IF(F1371=0,"n.a.",100*(F1371-G1371)/F1371)</x:f>
        <x:v>19.23076923076923</x:v>
      </x:c>
      <x:c r="I1371" s="7" t="n">
        <x:f>F1371-G1371</x:f>
        <x:v>12.5</x:v>
      </x:c>
      <x:c r="J1371" s="8" t="n">
        <x:v>0.9634527649176956</x:v>
      </x:c>
      <x:c r="K1371" s="8" t="n">
        <x:v>0.9634527649176956</x:v>
      </x:c>
      <x:c r="L1371" s="8" t="n">
        <x:v>0</x:v>
      </x:c>
      <x:c r="M1371" s="7" t="n">
        <x:v>244.70349999319296</x:v>
      </x:c>
      <x:c r="N1371" s="2" t="str">
        <x:v>qiskit.primitives.StatevectorSampler</x:v>
      </x:c>
      <x:c r="O1371" s="9" t="str">
        <x:v>00110</x:v>
      </x:c>
    </x:row>
    <x:row r="1372" ht="18" customHeight="1">
      <x:c r="A1372" s="2" t="str">
        <x:v>controlled_n6_separated_bottlenecks_1</x:v>
      </x:c>
      <x:c r="B1372" s="2" t="str">
        <x:v>BPSO</x:v>
      </x:c>
      <x:c r="C1372" s="2" t="n">
        <x:v>123</x:v>
      </x:c>
      <x:c r="D1372" s="2" t="str">
        <x:v>success</x:v>
      </x:c>
      <x:c r="E1372" s="2" t="n">
        <x:v>5</x:v>
      </x:c>
      <x:c r="F1372" s="7" t="n">
        <x:v>65</x:v>
      </x:c>
      <x:c r="G1372" s="7" t="n">
        <x:v>52.5</x:v>
      </x:c>
      <x:c r="H1372" s="7" t="n">
        <x:f>IF(F1372=0,"n.a.",100*(F1372-G1372)/F1372)</x:f>
        <x:v>19.23076923076923</x:v>
      </x:c>
      <x:c r="I1372" s="7" t="n">
        <x:f>F1372-G1372</x:f>
        <x:v>12.5</x:v>
      </x:c>
      <x:c r="J1372" s="8" t="n">
        <x:v>0.9634527649176956</x:v>
      </x:c>
      <x:c r="K1372" s="8" t="n">
        <x:v>0.9634527649176956</x:v>
      </x:c>
      <x:c r="L1372" s="8" t="n">
        <x:v>0</x:v>
      </x:c>
      <x:c r="M1372" s="7" t="n">
        <x:v>15.292399999452755</x:v>
      </x:c>
      <x:c r="N1372" s="2" t="str">
        <x:v>repository_particle_dynamics_on_frozen_qubo</x:v>
      </x:c>
      <x:c r="O1372" s="9" t="str">
        <x:v>01010</x:v>
      </x:c>
    </x:row>
    <x:row r="1373" ht="18" customHeight="1">
      <x:c r="A1373" s="2" t="str">
        <x:v>controlled_n6_separated_bottlenecks_1</x:v>
      </x:c>
      <x:c r="B1373" s="2" t="str">
        <x:v>QAOA</x:v>
      </x:c>
      <x:c r="C1373" s="2" t="n">
        <x:v>123</x:v>
      </x:c>
      <x:c r="D1373" s="2" t="str">
        <x:v>success</x:v>
      </x:c>
      <x:c r="E1373" s="2" t="n">
        <x:v>5</x:v>
      </x:c>
      <x:c r="F1373" s="7" t="n">
        <x:v>65</x:v>
      </x:c>
      <x:c r="G1373" s="7" t="n">
        <x:v>52.5</x:v>
      </x:c>
      <x:c r="H1373" s="7" t="n">
        <x:f>IF(F1373=0,"n.a.",100*(F1373-G1373)/F1373)</x:f>
        <x:v>19.23076923076923</x:v>
      </x:c>
      <x:c r="I1373" s="7" t="n">
        <x:f>F1373-G1373</x:f>
        <x:v>12.5</x:v>
      </x:c>
      <x:c r="J1373" s="8" t="n">
        <x:v>0.9634527649176956</x:v>
      </x:c>
      <x:c r="K1373" s="8" t="n">
        <x:v>0.9634527649176956</x:v>
      </x:c>
      <x:c r="L1373" s="8" t="n">
        <x:v>0</x:v>
      </x:c>
      <x:c r="M1373" s="7" t="n">
        <x:v>208.0625999951735</x:v>
      </x:c>
      <x:c r="N1373" s="2" t="str">
        <x:v>qiskit.primitives.StatevectorSampler</x:v>
      </x:c>
      <x:c r="O1373" s="9" t="str">
        <x:v>00101</x:v>
      </x:c>
    </x:row>
    <x:row r="1374" ht="18" customHeight="1">
      <x:c r="A1374" s="2" t="str">
        <x:v>controlled_n6_separated_bottlenecks_1</x:v>
      </x:c>
      <x:c r="B1374" s="2" t="str">
        <x:v>BPSO</x:v>
      </x:c>
      <x:c r="C1374" s="2" t="n">
        <x:v>456</x:v>
      </x:c>
      <x:c r="D1374" s="2" t="str">
        <x:v>success</x:v>
      </x:c>
      <x:c r="E1374" s="2" t="n">
        <x:v>5</x:v>
      </x:c>
      <x:c r="F1374" s="7" t="n">
        <x:v>65</x:v>
      </x:c>
      <x:c r="G1374" s="7" t="n">
        <x:v>52.5</x:v>
      </x:c>
      <x:c r="H1374" s="7" t="n">
        <x:f>IF(F1374=0,"n.a.",100*(F1374-G1374)/F1374)</x:f>
        <x:v>19.23076923076923</x:v>
      </x:c>
      <x:c r="I1374" s="7" t="n">
        <x:f>F1374-G1374</x:f>
        <x:v>12.5</x:v>
      </x:c>
      <x:c r="J1374" s="8" t="n">
        <x:v>0.9634527649176956</x:v>
      </x:c>
      <x:c r="K1374" s="8" t="n">
        <x:v>0.9634527649176956</x:v>
      </x:c>
      <x:c r="L1374" s="8" t="n">
        <x:v>0</x:v>
      </x:c>
      <x:c r="M1374" s="7" t="n">
        <x:v>14.899599991622381</x:v>
      </x:c>
      <x:c r="N1374" s="2" t="str">
        <x:v>repository_particle_dynamics_on_frozen_qubo</x:v>
      </x:c>
      <x:c r="O1374" s="9" t="str">
        <x:v>01001</x:v>
      </x:c>
    </x:row>
    <x:row r="1375" ht="18" customHeight="1">
      <x:c r="A1375" s="2" t="str">
        <x:v>controlled_n6_separated_bottlenecks_1</x:v>
      </x:c>
      <x:c r="B1375" s="2" t="str">
        <x:v>QAOA</x:v>
      </x:c>
      <x:c r="C1375" s="2" t="n">
        <x:v>456</x:v>
      </x:c>
      <x:c r="D1375" s="2" t="str">
        <x:v>success</x:v>
      </x:c>
      <x:c r="E1375" s="2" t="n">
        <x:v>5</x:v>
      </x:c>
      <x:c r="F1375" s="7" t="n">
        <x:v>65</x:v>
      </x:c>
      <x:c r="G1375" s="7" t="n">
        <x:v>52.5</x:v>
      </x:c>
      <x:c r="H1375" s="7" t="n">
        <x:f>IF(F1375=0,"n.a.",100*(F1375-G1375)/F1375)</x:f>
        <x:v>19.23076923076923</x:v>
      </x:c>
      <x:c r="I1375" s="7" t="n">
        <x:f>F1375-G1375</x:f>
        <x:v>12.5</x:v>
      </x:c>
      <x:c r="J1375" s="8" t="n">
        <x:v>0.9634527649176956</x:v>
      </x:c>
      <x:c r="K1375" s="8" t="n">
        <x:v>0.9634527649176956</x:v>
      </x:c>
      <x:c r="L1375" s="8" t="n">
        <x:v>0</x:v>
      </x:c>
      <x:c r="M1375" s="7" t="n">
        <x:v>174.1865000076359</x:v>
      </x:c>
      <x:c r="N1375" s="2" t="str">
        <x:v>qiskit.primitives.StatevectorSampler</x:v>
      </x:c>
      <x:c r="O1375" s="9" t="str">
        <x:v>01010</x:v>
      </x:c>
    </x:row>
    <x:row r="1376" ht="18" customHeight="1">
      <x:c r="A1376" s="2" t="str">
        <x:v>controlled_n6_separated_bottlenecks_1</x:v>
      </x:c>
      <x:c r="B1376" s="2" t="str">
        <x:v>BPSO</x:v>
      </x:c>
      <x:c r="C1376" s="2" t="n">
        <x:v>789</x:v>
      </x:c>
      <x:c r="D1376" s="2" t="str">
        <x:v>success</x:v>
      </x:c>
      <x:c r="E1376" s="2" t="n">
        <x:v>5</x:v>
      </x:c>
      <x:c r="F1376" s="7" t="n">
        <x:v>65</x:v>
      </x:c>
      <x:c r="G1376" s="7" t="n">
        <x:v>52.5</x:v>
      </x:c>
      <x:c r="H1376" s="7" t="n">
        <x:f>IF(F1376=0,"n.a.",100*(F1376-G1376)/F1376)</x:f>
        <x:v>19.23076923076923</x:v>
      </x:c>
      <x:c r="I1376" s="7" t="n">
        <x:f>F1376-G1376</x:f>
        <x:v>12.5</x:v>
      </x:c>
      <x:c r="J1376" s="8" t="n">
        <x:v>0.9634527649176956</x:v>
      </x:c>
      <x:c r="K1376" s="8" t="n">
        <x:v>0.9634527649176956</x:v>
      </x:c>
      <x:c r="L1376" s="8" t="n">
        <x:v>0</x:v>
      </x:c>
      <x:c r="M1376" s="7" t="n">
        <x:v>15.11910000408534</x:v>
      </x:c>
      <x:c r="N1376" s="2" t="str">
        <x:v>repository_particle_dynamics_on_frozen_qubo</x:v>
      </x:c>
      <x:c r="O1376" s="9" t="str">
        <x:v>01010</x:v>
      </x:c>
    </x:row>
    <x:row r="1377" ht="18" customHeight="1">
      <x:c r="A1377" s="2" t="str">
        <x:v>controlled_n6_separated_bottlenecks_1</x:v>
      </x:c>
      <x:c r="B1377" s="2" t="str">
        <x:v>QAOA</x:v>
      </x:c>
      <x:c r="C1377" s="2" t="n">
        <x:v>789</x:v>
      </x:c>
      <x:c r="D1377" s="2" t="str">
        <x:v>success</x:v>
      </x:c>
      <x:c r="E1377" s="2" t="n">
        <x:v>5</x:v>
      </x:c>
      <x:c r="F1377" s="7" t="n">
        <x:v>65</x:v>
      </x:c>
      <x:c r="G1377" s="7" t="n">
        <x:v>52.5</x:v>
      </x:c>
      <x:c r="H1377" s="7" t="n">
        <x:f>IF(F1377=0,"n.a.",100*(F1377-G1377)/F1377)</x:f>
        <x:v>19.23076923076923</x:v>
      </x:c>
      <x:c r="I1377" s="7" t="n">
        <x:f>F1377-G1377</x:f>
        <x:v>12.5</x:v>
      </x:c>
      <x:c r="J1377" s="8" t="n">
        <x:v>0.9634527649176956</x:v>
      </x:c>
      <x:c r="K1377" s="8" t="n">
        <x:v>0.9634527649176956</x:v>
      </x:c>
      <x:c r="L1377" s="8" t="n">
        <x:v>0</x:v>
      </x:c>
      <x:c r="M1377" s="7" t="n">
        <x:v>156.4072000037413</x:v>
      </x:c>
      <x:c r="N1377" s="2" t="str">
        <x:v>qiskit.primitives.StatevectorSampler</x:v>
      </x:c>
      <x:c r="O1377" s="9" t="str">
        <x:v>01001</x:v>
      </x:c>
    </x:row>
    <x:row r="1378" ht="18" customHeight="1">
      <x:c r="A1378" s="2" t="str">
        <x:v>controlled_n6_separated_bottlenecks_1</x:v>
      </x:c>
      <x:c r="B1378" s="2" t="str">
        <x:v>BPSO</x:v>
      </x:c>
      <x:c r="C1378" s="2" t="n">
        <x:v>2026</x:v>
      </x:c>
      <x:c r="D1378" s="2" t="str">
        <x:v>success</x:v>
      </x:c>
      <x:c r="E1378" s="2" t="n">
        <x:v>5</x:v>
      </x:c>
      <x:c r="F1378" s="7" t="n">
        <x:v>65</x:v>
      </x:c>
      <x:c r="G1378" s="7" t="n">
        <x:v>52.5</x:v>
      </x:c>
      <x:c r="H1378" s="7" t="n">
        <x:f>IF(F1378=0,"n.a.",100*(F1378-G1378)/F1378)</x:f>
        <x:v>19.23076923076923</x:v>
      </x:c>
      <x:c r="I1378" s="7" t="n">
        <x:f>F1378-G1378</x:f>
        <x:v>12.5</x:v>
      </x:c>
      <x:c r="J1378" s="8" t="n">
        <x:v>0.9634527649176956</x:v>
      </x:c>
      <x:c r="K1378" s="8" t="n">
        <x:v>0.9634527649176956</x:v>
      </x:c>
      <x:c r="L1378" s="8" t="n">
        <x:v>0</x:v>
      </x:c>
      <x:c r="M1378" s="7" t="n">
        <x:v>14.717700003529899</x:v>
      </x:c>
      <x:c r="N1378" s="2" t="str">
        <x:v>repository_particle_dynamics_on_frozen_qubo</x:v>
      </x:c>
      <x:c r="O1378" s="9" t="str">
        <x:v>10010</x:v>
      </x:c>
    </x:row>
    <x:row r="1379" ht="18" customHeight="1">
      <x:c r="A1379" s="2" t="str">
        <x:v>controlled_n6_separated_bottlenecks_1</x:v>
      </x:c>
      <x:c r="B1379" s="2" t="str">
        <x:v>QAOA</x:v>
      </x:c>
      <x:c r="C1379" s="2" t="n">
        <x:v>2026</x:v>
      </x:c>
      <x:c r="D1379" s="2" t="str">
        <x:v>success</x:v>
      </x:c>
      <x:c r="E1379" s="2" t="n">
        <x:v>5</x:v>
      </x:c>
      <x:c r="F1379" s="7" t="n">
        <x:v>65</x:v>
      </x:c>
      <x:c r="G1379" s="7" t="n">
        <x:v>52.5</x:v>
      </x:c>
      <x:c r="H1379" s="7" t="n">
        <x:f>IF(F1379=0,"n.a.",100*(F1379-G1379)/F1379)</x:f>
        <x:v>19.23076923076923</x:v>
      </x:c>
      <x:c r="I1379" s="7" t="n">
        <x:f>F1379-G1379</x:f>
        <x:v>12.5</x:v>
      </x:c>
      <x:c r="J1379" s="8" t="n">
        <x:v>0.9634527649176956</x:v>
      </x:c>
      <x:c r="K1379" s="8" t="n">
        <x:v>0.9634527649176956</x:v>
      </x:c>
      <x:c r="L1379" s="8" t="n">
        <x:v>0</x:v>
      </x:c>
      <x:c r="M1379" s="7" t="n">
        <x:v>180.17530000361148</x:v>
      </x:c>
      <x:c r="N1379" s="2" t="str">
        <x:v>qiskit.primitives.StatevectorSampler</x:v>
      </x:c>
      <x:c r="O1379" s="9" t="str">
        <x:v>00110</x:v>
      </x:c>
    </x:row>
    <x:row r="1380" ht="18" customHeight="1">
      <x:c r="A1380" s="2" t="str">
        <x:v>controlled_n6_separated_bottlenecks_2</x:v>
      </x:c>
      <x:c r="B1380" s="2" t="str">
        <x:v>Unmanaged</x:v>
      </x:c>
      <x:c r="C1380" s="2"/>
      <x:c r="D1380" s="2" t="str">
        <x:v>baseline</x:v>
      </x:c>
      <x:c r="E1380" s="2" t="n">
        <x:v>9</x:v>
      </x:c>
      <x:c r="F1380" s="7" t="n">
        <x:v>80</x:v>
      </x:c>
      <x:c r="G1380" s="7" t="n">
        <x:v>80</x:v>
      </x:c>
      <x:c r="H1380" s="7" t="n">
        <x:f>IF(F1380=0,"n.a.",100*(F1380-G1380)/F1380)</x:f>
        <x:v>0</x:v>
      </x:c>
      <x:c r="I1380" s="7" t="n">
        <x:f>F1380-G1380</x:f>
        <x:v>0</x:v>
      </x:c>
      <x:c r="J1380" s="8"/>
      <x:c r="K1380" s="8" t="n">
        <x:v>1.2046734053497943</x:v>
      </x:c>
      <x:c r="L1380" s="8"/>
      <x:c r="M1380" s="7"/>
      <x:c r="N1380" s="2" t="str">
        <x:v>unmanaged_input</x:v>
      </x:c>
      <x:c r="O1380" s="9"/>
    </x:row>
    <x:row r="1381" ht="18" customHeight="1">
      <x:c r="A1381" s="2" t="str">
        <x:v>controlled_n6_separated_bottlenecks_2</x:v>
      </x:c>
      <x:c r="B1381" s="2" t="str">
        <x:v>Exact J</x:v>
      </x:c>
      <x:c r="C1381" s="2"/>
      <x:c r="D1381" s="2" t="str">
        <x:v>success</x:v>
      </x:c>
      <x:c r="E1381" s="2" t="n">
        <x:v>9</x:v>
      </x:c>
      <x:c r="F1381" s="7" t="n">
        <x:v>80</x:v>
      </x:c>
      <x:c r="G1381" s="7" t="n">
        <x:v>67.5</x:v>
      </x:c>
      <x:c r="H1381" s="7" t="n">
        <x:f>IF(F1381=0,"n.a.",100*(F1381-G1381)/F1381)</x:f>
        <x:v>15.625</x:v>
      </x:c>
      <x:c r="I1381" s="7" t="n">
        <x:f>F1381-G1381</x:f>
        <x:v>12.5</x:v>
      </x:c>
      <x:c r="J1381" s="8" t="n">
        <x:v>1.2046734053497943</x:v>
      </x:c>
      <x:c r="K1381" s="8" t="n">
        <x:v>1.2046734053497943</x:v>
      </x:c>
      <x:c r="L1381" s="8" t="n">
        <x:v>0</x:v>
      </x:c>
      <x:c r="M1381" s="7"/>
      <x:c r="N1381" s="2" t="str">
        <x:v>exhaustive_enumeration</x:v>
      </x:c>
      <x:c r="O1381" s="9" t="str">
        <x:v>000110011</x:v>
      </x:c>
    </x:row>
    <x:row r="1382" ht="18" customHeight="1">
      <x:c r="A1382" s="2" t="str">
        <x:v>controlled_n6_separated_bottlenecks_2</x:v>
      </x:c>
      <x:c r="B1382" s="2" t="str">
        <x:v>Exact peak</x:v>
      </x:c>
      <x:c r="C1382" s="2"/>
      <x:c r="D1382" s="2" t="str">
        <x:v>success</x:v>
      </x:c>
      <x:c r="E1382" s="2" t="n">
        <x:v>9</x:v>
      </x:c>
      <x:c r="F1382" s="7" t="n">
        <x:v>80</x:v>
      </x:c>
      <x:c r="G1382" s="7" t="n">
        <x:v>67.5</x:v>
      </x:c>
      <x:c r="H1382" s="7" t="n">
        <x:f>IF(F1382=0,"n.a.",100*(F1382-G1382)/F1382)</x:f>
        <x:v>15.625</x:v>
      </x:c>
      <x:c r="I1382" s="7" t="n">
        <x:f>F1382-G1382</x:f>
        <x:v>12.5</x:v>
      </x:c>
      <x:c r="J1382" s="8" t="n">
        <x:v>1.2046734053497943</x:v>
      </x:c>
      <x:c r="K1382" s="8" t="n">
        <x:v>1.2046734053497943</x:v>
      </x:c>
      <x:c r="L1382" s="8" t="n">
        <x:v>0</x:v>
      </x:c>
      <x:c r="M1382" s="7"/>
      <x:c r="N1382" s="2" t="str">
        <x:v>exhaustive_enumeration</x:v>
      </x:c>
      <x:c r="O1382" s="9" t="str">
        <x:v>000110011</x:v>
      </x:c>
    </x:row>
    <x:row r="1383" ht="18" customHeight="1">
      <x:c r="A1383" s="2" t="str">
        <x:v>controlled_n6_separated_bottlenecks_2</x:v>
      </x:c>
      <x:c r="B1383" s="2" t="str">
        <x:v>BPSO</x:v>
      </x:c>
      <x:c r="C1383" s="2" t="n">
        <x:v>42</x:v>
      </x:c>
      <x:c r="D1383" s="2" t="str">
        <x:v>success</x:v>
      </x:c>
      <x:c r="E1383" s="2" t="n">
        <x:v>9</x:v>
      </x:c>
      <x:c r="F1383" s="7" t="n">
        <x:v>80</x:v>
      </x:c>
      <x:c r="G1383" s="7" t="n">
        <x:v>67.5</x:v>
      </x:c>
      <x:c r="H1383" s="7" t="n">
        <x:f>IF(F1383=0,"n.a.",100*(F1383-G1383)/F1383)</x:f>
        <x:v>15.625</x:v>
      </x:c>
      <x:c r="I1383" s="7" t="n">
        <x:f>F1383-G1383</x:f>
        <x:v>12.5</x:v>
      </x:c>
      <x:c r="J1383" s="8" t="n">
        <x:v>1.2046734053497943</x:v>
      </x:c>
      <x:c r="K1383" s="8" t="n">
        <x:v>1.2046734053497943</x:v>
      </x:c>
      <x:c r="L1383" s="8" t="n">
        <x:v>0</x:v>
      </x:c>
      <x:c r="M1383" s="7" t="n">
        <x:v>20.00029999180697</x:v>
      </x:c>
      <x:c r="N1383" s="2" t="str">
        <x:v>repository_particle_dynamics_on_frozen_qubo</x:v>
      </x:c>
      <x:c r="O1383" s="9" t="str">
        <x:v>001011010</x:v>
      </x:c>
    </x:row>
    <x:row r="1384" ht="18" customHeight="1">
      <x:c r="A1384" s="2" t="str">
        <x:v>controlled_n6_separated_bottlenecks_2</x:v>
      </x:c>
      <x:c r="B1384" s="2" t="str">
        <x:v>QAOA</x:v>
      </x:c>
      <x:c r="C1384" s="2" t="n">
        <x:v>42</x:v>
      </x:c>
      <x:c r="D1384" s="2" t="str">
        <x:v>success</x:v>
      </x:c>
      <x:c r="E1384" s="2" t="n">
        <x:v>9</x:v>
      </x:c>
      <x:c r="F1384" s="7" t="n">
        <x:v>80</x:v>
      </x:c>
      <x:c r="G1384" s="7" t="n">
        <x:v>67.5</x:v>
      </x:c>
      <x:c r="H1384" s="7" t="n">
        <x:f>IF(F1384=0,"n.a.",100*(F1384-G1384)/F1384)</x:f>
        <x:v>15.625</x:v>
      </x:c>
      <x:c r="I1384" s="7" t="n">
        <x:f>F1384-G1384</x:f>
        <x:v>12.5</x:v>
      </x:c>
      <x:c r="J1384" s="8" t="n">
        <x:v>1.2046734053497943</x:v>
      </x:c>
      <x:c r="K1384" s="8" t="n">
        <x:v>1.2046734053497943</x:v>
      </x:c>
      <x:c r="L1384" s="8" t="n">
        <x:v>0</x:v>
      </x:c>
      <x:c r="M1384" s="7" t="n">
        <x:v>514.7053999971831</x:v>
      </x:c>
      <x:c r="N1384" s="2" t="str">
        <x:v>qiskit.primitives.StatevectorSampler</x:v>
      </x:c>
      <x:c r="O1384" s="9" t="str">
        <x:v>000110011</x:v>
      </x:c>
    </x:row>
    <x:row r="1385" ht="18" customHeight="1">
      <x:c r="A1385" s="2" t="str">
        <x:v>controlled_n6_separated_bottlenecks_2</x:v>
      </x:c>
      <x:c r="B1385" s="2" t="str">
        <x:v>BPSO</x:v>
      </x:c>
      <x:c r="C1385" s="2" t="n">
        <x:v>123</x:v>
      </x:c>
      <x:c r="D1385" s="2" t="str">
        <x:v>success</x:v>
      </x:c>
      <x:c r="E1385" s="2" t="n">
        <x:v>9</x:v>
      </x:c>
      <x:c r="F1385" s="7" t="n">
        <x:v>80</x:v>
      </x:c>
      <x:c r="G1385" s="7" t="n">
        <x:v>67.5</x:v>
      </x:c>
      <x:c r="H1385" s="7" t="n">
        <x:f>IF(F1385=0,"n.a.",100*(F1385-G1385)/F1385)</x:f>
        <x:v>15.625</x:v>
      </x:c>
      <x:c r="I1385" s="7" t="n">
        <x:f>F1385-G1385</x:f>
        <x:v>12.5</x:v>
      </x:c>
      <x:c r="J1385" s="8" t="n">
        <x:v>1.2046734053497943</x:v>
      </x:c>
      <x:c r="K1385" s="8" t="n">
        <x:v>1.2046734053497943</x:v>
      </x:c>
      <x:c r="L1385" s="8" t="n">
        <x:v>0</x:v>
      </x:c>
      <x:c r="M1385" s="7" t="n">
        <x:v>20.893599998089485</x:v>
      </x:c>
      <x:c r="N1385" s="2" t="str">
        <x:v>repository_particle_dynamics_on_frozen_qubo</x:v>
      </x:c>
      <x:c r="O1385" s="9" t="str">
        <x:v>010011001</x:v>
      </x:c>
    </x:row>
    <x:row r="1386" ht="18" customHeight="1">
      <x:c r="A1386" s="2" t="str">
        <x:v>controlled_n6_separated_bottlenecks_2</x:v>
      </x:c>
      <x:c r="B1386" s="2" t="str">
        <x:v>QAOA</x:v>
      </x:c>
      <x:c r="C1386" s="2" t="n">
        <x:v>123</x:v>
      </x:c>
      <x:c r="D1386" s="2" t="str">
        <x:v>success</x:v>
      </x:c>
      <x:c r="E1386" s="2" t="n">
        <x:v>9</x:v>
      </x:c>
      <x:c r="F1386" s="7" t="n">
        <x:v>80</x:v>
      </x:c>
      <x:c r="G1386" s="7" t="n">
        <x:v>67.5</x:v>
      </x:c>
      <x:c r="H1386" s="7" t="n">
        <x:f>IF(F1386=0,"n.a.",100*(F1386-G1386)/F1386)</x:f>
        <x:v>15.625</x:v>
      </x:c>
      <x:c r="I1386" s="7" t="n">
        <x:f>F1386-G1386</x:f>
        <x:v>12.5</x:v>
      </x:c>
      <x:c r="J1386" s="8" t="n">
        <x:v>1.2046734053497943</x:v>
      </x:c>
      <x:c r="K1386" s="8" t="n">
        <x:v>1.2046734053497943</x:v>
      </x:c>
      <x:c r="L1386" s="8" t="n">
        <x:v>0</x:v>
      </x:c>
      <x:c r="M1386" s="7" t="n">
        <x:v>603.271499989205</x:v>
      </x:c>
      <x:c r="N1386" s="2" t="str">
        <x:v>qiskit.primitives.StatevectorSampler</x:v>
      </x:c>
      <x:c r="O1386" s="9" t="str">
        <x:v>001100011</x:v>
      </x:c>
    </x:row>
    <x:row r="1387" ht="18" customHeight="1">
      <x:c r="A1387" s="2" t="str">
        <x:v>controlled_n6_separated_bottlenecks_2</x:v>
      </x:c>
      <x:c r="B1387" s="2" t="str">
        <x:v>BPSO</x:v>
      </x:c>
      <x:c r="C1387" s="2" t="n">
        <x:v>456</x:v>
      </x:c>
      <x:c r="D1387" s="2" t="str">
        <x:v>success</x:v>
      </x:c>
      <x:c r="E1387" s="2" t="n">
        <x:v>9</x:v>
      </x:c>
      <x:c r="F1387" s="7" t="n">
        <x:v>80</x:v>
      </x:c>
      <x:c r="G1387" s="7" t="n">
        <x:v>67.5</x:v>
      </x:c>
      <x:c r="H1387" s="7" t="n">
        <x:f>IF(F1387=0,"n.a.",100*(F1387-G1387)/F1387)</x:f>
        <x:v>15.625</x:v>
      </x:c>
      <x:c r="I1387" s="7" t="n">
        <x:f>F1387-G1387</x:f>
        <x:v>12.5</x:v>
      </x:c>
      <x:c r="J1387" s="8" t="n">
        <x:v>1.2046734053497943</x:v>
      </x:c>
      <x:c r="K1387" s="8" t="n">
        <x:v>1.2046734053497943</x:v>
      </x:c>
      <x:c r="L1387" s="8" t="n">
        <x:v>0</x:v>
      </x:c>
      <x:c r="M1387" s="7" t="n">
        <x:v>19.487900004605763</x:v>
      </x:c>
      <x:c r="N1387" s="2" t="str">
        <x:v>repository_particle_dynamics_on_frozen_qubo</x:v>
      </x:c>
      <x:c r="O1387" s="9" t="str">
        <x:v>000111010</x:v>
      </x:c>
    </x:row>
    <x:row r="1388" ht="18" customHeight="1">
      <x:c r="A1388" s="2" t="str">
        <x:v>controlled_n6_separated_bottlenecks_2</x:v>
      </x:c>
      <x:c r="B1388" s="2" t="str">
        <x:v>QAOA</x:v>
      </x:c>
      <x:c r="C1388" s="2" t="n">
        <x:v>456</x:v>
      </x:c>
      <x:c r="D1388" s="2" t="str">
        <x:v>success</x:v>
      </x:c>
      <x:c r="E1388" s="2" t="n">
        <x:v>9</x:v>
      </x:c>
      <x:c r="F1388" s="7" t="n">
        <x:v>80</x:v>
      </x:c>
      <x:c r="G1388" s="7" t="n">
        <x:v>67.5</x:v>
      </x:c>
      <x:c r="H1388" s="7" t="n">
        <x:f>IF(F1388=0,"n.a.",100*(F1388-G1388)/F1388)</x:f>
        <x:v>15.625</x:v>
      </x:c>
      <x:c r="I1388" s="7" t="n">
        <x:f>F1388-G1388</x:f>
        <x:v>12.5</x:v>
      </x:c>
      <x:c r="J1388" s="8" t="n">
        <x:v>1.2046734053497943</x:v>
      </x:c>
      <x:c r="K1388" s="8" t="n">
        <x:v>1.2046734053497943</x:v>
      </x:c>
      <x:c r="L1388" s="8" t="n">
        <x:v>0</x:v>
      </x:c>
      <x:c r="M1388" s="7" t="n">
        <x:v>422.637499999837</x:v>
      </x:c>
      <x:c r="N1388" s="2" t="str">
        <x:v>qiskit.primitives.StatevectorSampler</x:v>
      </x:c>
      <x:c r="O1388" s="9" t="str">
        <x:v>100101100</x:v>
      </x:c>
    </x:row>
    <x:row r="1389" ht="18" customHeight="1">
      <x:c r="A1389" s="2" t="str">
        <x:v>controlled_n6_separated_bottlenecks_2</x:v>
      </x:c>
      <x:c r="B1389" s="2" t="str">
        <x:v>BPSO</x:v>
      </x:c>
      <x:c r="C1389" s="2" t="n">
        <x:v>789</x:v>
      </x:c>
      <x:c r="D1389" s="2" t="str">
        <x:v>success</x:v>
      </x:c>
      <x:c r="E1389" s="2" t="n">
        <x:v>9</x:v>
      </x:c>
      <x:c r="F1389" s="7" t="n">
        <x:v>80</x:v>
      </x:c>
      <x:c r="G1389" s="7" t="n">
        <x:v>67.5</x:v>
      </x:c>
      <x:c r="H1389" s="7" t="n">
        <x:f>IF(F1389=0,"n.a.",100*(F1389-G1389)/F1389)</x:f>
        <x:v>15.625</x:v>
      </x:c>
      <x:c r="I1389" s="7" t="n">
        <x:f>F1389-G1389</x:f>
        <x:v>12.5</x:v>
      </x:c>
      <x:c r="J1389" s="8" t="n">
        <x:v>1.2046734053497943</x:v>
      </x:c>
      <x:c r="K1389" s="8" t="n">
        <x:v>1.2046734053497943</x:v>
      </x:c>
      <x:c r="L1389" s="8" t="n">
        <x:v>0</x:v>
      </x:c>
      <x:c r="M1389" s="7" t="n">
        <x:v>19.112900001346134</x:v>
      </x:c>
      <x:c r="N1389" s="2" t="str">
        <x:v>repository_particle_dynamics_on_frozen_qubo</x:v>
      </x:c>
      <x:c r="O1389" s="9" t="str">
        <x:v>001011100</x:v>
      </x:c>
    </x:row>
    <x:row r="1390" ht="18" customHeight="1">
      <x:c r="A1390" s="2" t="str">
        <x:v>controlled_n6_separated_bottlenecks_2</x:v>
      </x:c>
      <x:c r="B1390" s="2" t="str">
        <x:v>QAOA</x:v>
      </x:c>
      <x:c r="C1390" s="2" t="n">
        <x:v>789</x:v>
      </x:c>
      <x:c r="D1390" s="2" t="str">
        <x:v>success</x:v>
      </x:c>
      <x:c r="E1390" s="2" t="n">
        <x:v>9</x:v>
      </x:c>
      <x:c r="F1390" s="7" t="n">
        <x:v>80</x:v>
      </x:c>
      <x:c r="G1390" s="7" t="n">
        <x:v>67.5</x:v>
      </x:c>
      <x:c r="H1390" s="7" t="n">
        <x:f>IF(F1390=0,"n.a.",100*(F1390-G1390)/F1390)</x:f>
        <x:v>15.625</x:v>
      </x:c>
      <x:c r="I1390" s="7" t="n">
        <x:f>F1390-G1390</x:f>
        <x:v>12.5</x:v>
      </x:c>
      <x:c r="J1390" s="8" t="n">
        <x:v>1.2046734053497943</x:v>
      </x:c>
      <x:c r="K1390" s="8" t="n">
        <x:v>1.2046734053497943</x:v>
      </x:c>
      <x:c r="L1390" s="8" t="n">
        <x:v>0</x:v>
      </x:c>
      <x:c r="M1390" s="7" t="n">
        <x:v>428.8572000077693</x:v>
      </x:c>
      <x:c r="N1390" s="2" t="str">
        <x:v>qiskit.primitives.StatevectorSampler</x:v>
      </x:c>
      <x:c r="O1390" s="9" t="str">
        <x:v>000110011</x:v>
      </x:c>
    </x:row>
    <x:row r="1391" ht="18" customHeight="1">
      <x:c r="A1391" s="2" t="str">
        <x:v>controlled_n6_separated_bottlenecks_2</x:v>
      </x:c>
      <x:c r="B1391" s="2" t="str">
        <x:v>BPSO</x:v>
      </x:c>
      <x:c r="C1391" s="2" t="n">
        <x:v>2026</x:v>
      </x:c>
      <x:c r="D1391" s="2" t="str">
        <x:v>success</x:v>
      </x:c>
      <x:c r="E1391" s="2" t="n">
        <x:v>9</x:v>
      </x:c>
      <x:c r="F1391" s="7" t="n">
        <x:v>80</x:v>
      </x:c>
      <x:c r="G1391" s="7" t="n">
        <x:v>67.5</x:v>
      </x:c>
      <x:c r="H1391" s="7" t="n">
        <x:f>IF(F1391=0,"n.a.",100*(F1391-G1391)/F1391)</x:f>
        <x:v>15.625</x:v>
      </x:c>
      <x:c r="I1391" s="7" t="n">
        <x:f>F1391-G1391</x:f>
        <x:v>12.5</x:v>
      </x:c>
      <x:c r="J1391" s="8" t="n">
        <x:v>1.2046734053497943</x:v>
      </x:c>
      <x:c r="K1391" s="8" t="n">
        <x:v>1.2046734053497943</x:v>
      </x:c>
      <x:c r="L1391" s="8" t="n">
        <x:v>0</x:v>
      </x:c>
      <x:c r="M1391" s="7" t="n">
        <x:v>19.007900002179667</x:v>
      </x:c>
      <x:c r="N1391" s="2" t="str">
        <x:v>repository_particle_dynamics_on_frozen_qubo</x:v>
      </x:c>
      <x:c r="O1391" s="9" t="str">
        <x:v>011001100</x:v>
      </x:c>
    </x:row>
    <x:row r="1392" ht="18" customHeight="1">
      <x:c r="A1392" s="2" t="str">
        <x:v>controlled_n6_separated_bottlenecks_2</x:v>
      </x:c>
      <x:c r="B1392" s="2" t="str">
        <x:v>QAOA</x:v>
      </x:c>
      <x:c r="C1392" s="2" t="n">
        <x:v>2026</x:v>
      </x:c>
      <x:c r="D1392" s="2" t="str">
        <x:v>success</x:v>
      </x:c>
      <x:c r="E1392" s="2" t="n">
        <x:v>9</x:v>
      </x:c>
      <x:c r="F1392" s="7" t="n">
        <x:v>80</x:v>
      </x:c>
      <x:c r="G1392" s="7" t="n">
        <x:v>67.5</x:v>
      </x:c>
      <x:c r="H1392" s="7" t="n">
        <x:f>IF(F1392=0,"n.a.",100*(F1392-G1392)/F1392)</x:f>
        <x:v>15.625</x:v>
      </x:c>
      <x:c r="I1392" s="7" t="n">
        <x:f>F1392-G1392</x:f>
        <x:v>12.5</x:v>
      </x:c>
      <x:c r="J1392" s="8" t="n">
        <x:v>1.2046734053497943</x:v>
      </x:c>
      <x:c r="K1392" s="8" t="n">
        <x:v>1.2046734053497943</x:v>
      </x:c>
      <x:c r="L1392" s="8" t="n">
        <x:v>0</x:v>
      </x:c>
      <x:c r="M1392" s="7" t="n">
        <x:v>458.17840000381693</x:v>
      </x:c>
      <x:c r="N1392" s="2" t="str">
        <x:v>qiskit.primitives.StatevectorSampler</x:v>
      </x:c>
      <x:c r="O1392" s="9" t="str">
        <x:v>011000110</x:v>
      </x:c>
    </x:row>
    <x:row r="1393" ht="18" customHeight="1">
      <x:c r="A1393" s="2" t="str">
        <x:v>controlled_n6_separated_bottlenecks_3</x:v>
      </x:c>
      <x:c r="B1393" s="2" t="str">
        <x:v>Unmanaged</x:v>
      </x:c>
      <x:c r="C1393" s="2"/>
      <x:c r="D1393" s="2" t="str">
        <x:v>baseline</x:v>
      </x:c>
      <x:c r="E1393" s="2" t="n">
        <x:v>10</x:v>
      </x:c>
      <x:c r="F1393" s="7" t="n">
        <x:v>95</x:v>
      </x:c>
      <x:c r="G1393" s="7" t="n">
        <x:v>95</x:v>
      </x:c>
      <x:c r="H1393" s="7" t="n">
        <x:f>IF(F1393=0,"n.a.",100*(F1393-G1393)/F1393)</x:f>
        <x:v>0</x:v>
      </x:c>
      <x:c r="I1393" s="7" t="n">
        <x:f>F1393-G1393</x:f>
        <x:v>0</x:v>
      </x:c>
      <x:c r="J1393" s="8"/>
      <x:c r="K1393" s="8" t="n">
        <x:v>1.7205281893004114</x:v>
      </x:c>
      <x:c r="L1393" s="8"/>
      <x:c r="M1393" s="7"/>
      <x:c r="N1393" s="2" t="str">
        <x:v>unmanaged_input</x:v>
      </x:c>
      <x:c r="O1393" s="9"/>
    </x:row>
    <x:row r="1394" ht="18" customHeight="1">
      <x:c r="A1394" s="2" t="str">
        <x:v>controlled_n6_separated_bottlenecks_3</x:v>
      </x:c>
      <x:c r="B1394" s="2" t="str">
        <x:v>Exact J</x:v>
      </x:c>
      <x:c r="C1394" s="2"/>
      <x:c r="D1394" s="2" t="str">
        <x:v>success</x:v>
      </x:c>
      <x:c r="E1394" s="2" t="n">
        <x:v>10</x:v>
      </x:c>
      <x:c r="F1394" s="7" t="n">
        <x:v>95</x:v>
      </x:c>
      <x:c r="G1394" s="7" t="n">
        <x:v>80</x:v>
      </x:c>
      <x:c r="H1394" s="7" t="n">
        <x:f>IF(F1394=0,"n.a.",100*(F1394-G1394)/F1394)</x:f>
        <x:v>15.789473684210526</x:v>
      </x:c>
      <x:c r="I1394" s="7" t="n">
        <x:f>F1394-G1394</x:f>
        <x:v>15</x:v>
      </x:c>
      <x:c r="J1394" s="8" t="n">
        <x:v>1.7205281893004114</x:v>
      </x:c>
      <x:c r="K1394" s="8" t="n">
        <x:v>1.7205281893004114</x:v>
      </x:c>
      <x:c r="L1394" s="8" t="n">
        <x:v>0</x:v>
      </x:c>
      <x:c r="M1394" s="7"/>
      <x:c r="N1394" s="2" t="str">
        <x:v>exhaustive_enumeration</x:v>
      </x:c>
      <x:c r="O1394" s="9" t="str">
        <x:v>0000111101</x:v>
      </x:c>
    </x:row>
    <x:row r="1395" ht="18" customHeight="1">
      <x:c r="A1395" s="2" t="str">
        <x:v>controlled_n6_separated_bottlenecks_3</x:v>
      </x:c>
      <x:c r="B1395" s="2" t="str">
        <x:v>Exact peak</x:v>
      </x:c>
      <x:c r="C1395" s="2"/>
      <x:c r="D1395" s="2" t="str">
        <x:v>success</x:v>
      </x:c>
      <x:c r="E1395" s="2" t="n">
        <x:v>10</x:v>
      </x:c>
      <x:c r="F1395" s="7" t="n">
        <x:v>95</x:v>
      </x:c>
      <x:c r="G1395" s="7" t="n">
        <x:v>80</x:v>
      </x:c>
      <x:c r="H1395" s="7" t="n">
        <x:f>IF(F1395=0,"n.a.",100*(F1395-G1395)/F1395)</x:f>
        <x:v>15.789473684210526</x:v>
      </x:c>
      <x:c r="I1395" s="7" t="n">
        <x:f>F1395-G1395</x:f>
        <x:v>15</x:v>
      </x:c>
      <x:c r="J1395" s="8" t="n">
        <x:v>1.7205281893004114</x:v>
      </x:c>
      <x:c r="K1395" s="8" t="n">
        <x:v>1.7205281893004114</x:v>
      </x:c>
      <x:c r="L1395" s="8" t="n">
        <x:v>0</x:v>
      </x:c>
      <x:c r="M1395" s="7"/>
      <x:c r="N1395" s="2" t="str">
        <x:v>exhaustive_enumeration</x:v>
      </x:c>
      <x:c r="O1395" s="9" t="str">
        <x:v>0000111101</x:v>
      </x:c>
    </x:row>
    <x:row r="1396" ht="18" customHeight="1">
      <x:c r="A1396" s="2" t="str">
        <x:v>controlled_n6_separated_bottlenecks_3</x:v>
      </x:c>
      <x:c r="B1396" s="2" t="str">
        <x:v>BPSO</x:v>
      </x:c>
      <x:c r="C1396" s="2" t="n">
        <x:v>42</x:v>
      </x:c>
      <x:c r="D1396" s="2" t="str">
        <x:v>success</x:v>
      </x:c>
      <x:c r="E1396" s="2" t="n">
        <x:v>10</x:v>
      </x:c>
      <x:c r="F1396" s="7" t="n">
        <x:v>95</x:v>
      </x:c>
      <x:c r="G1396" s="7" t="n">
        <x:v>80</x:v>
      </x:c>
      <x:c r="H1396" s="7" t="n">
        <x:f>IF(F1396=0,"n.a.",100*(F1396-G1396)/F1396)</x:f>
        <x:v>15.789473684210526</x:v>
      </x:c>
      <x:c r="I1396" s="7" t="n">
        <x:f>F1396-G1396</x:f>
        <x:v>15</x:v>
      </x:c>
      <x:c r="J1396" s="8" t="n">
        <x:v>1.7205281893004114</x:v>
      </x:c>
      <x:c r="K1396" s="8" t="n">
        <x:v>1.7205281893004114</x:v>
      </x:c>
      <x:c r="L1396" s="8" t="n">
        <x:v>0</x:v>
      </x:c>
      <x:c r="M1396" s="7" t="n">
        <x:v>20.387700002174824</x:v>
      </x:c>
      <x:c r="N1396" s="2" t="str">
        <x:v>repository_particle_dynamics_on_frozen_qubo</x:v>
      </x:c>
      <x:c r="O1396" s="9" t="str">
        <x:v>1011100001</x:v>
      </x:c>
    </x:row>
    <x:row r="1397" ht="18" customHeight="1">
      <x:c r="A1397" s="2" t="str">
        <x:v>controlled_n6_separated_bottlenecks_3</x:v>
      </x:c>
      <x:c r="B1397" s="2" t="str">
        <x:v>QAOA</x:v>
      </x:c>
      <x:c r="C1397" s="2" t="n">
        <x:v>42</x:v>
      </x:c>
      <x:c r="D1397" s="2" t="str">
        <x:v>success</x:v>
      </x:c>
      <x:c r="E1397" s="2" t="n">
        <x:v>10</x:v>
      </x:c>
      <x:c r="F1397" s="7" t="n">
        <x:v>95</x:v>
      </x:c>
      <x:c r="G1397" s="7" t="n">
        <x:v>80</x:v>
      </x:c>
      <x:c r="H1397" s="7" t="n">
        <x:f>IF(F1397=0,"n.a.",100*(F1397-G1397)/F1397)</x:f>
        <x:v>15.789473684210526</x:v>
      </x:c>
      <x:c r="I1397" s="7" t="n">
        <x:f>F1397-G1397</x:f>
        <x:v>15</x:v>
      </x:c>
      <x:c r="J1397" s="8" t="n">
        <x:v>1.7205281893004114</x:v>
      </x:c>
      <x:c r="K1397" s="8" t="n">
        <x:v>1.7205281893004114</x:v>
      </x:c>
      <x:c r="L1397" s="8" t="n">
        <x:v>0</x:v>
      </x:c>
      <x:c r="M1397" s="7" t="n">
        <x:v>781.1175999959232</x:v>
      </x:c>
      <x:c r="N1397" s="2" t="str">
        <x:v>qiskit.primitives.StatevectorSampler</x:v>
      </x:c>
      <x:c r="O1397" s="9" t="str">
        <x:v>1010001110</x:v>
      </x:c>
    </x:row>
    <x:row r="1398" ht="18" customHeight="1">
      <x:c r="A1398" s="2" t="str">
        <x:v>controlled_n6_separated_bottlenecks_3</x:v>
      </x:c>
      <x:c r="B1398" s="2" t="str">
        <x:v>BPSO</x:v>
      </x:c>
      <x:c r="C1398" s="2" t="n">
        <x:v>123</x:v>
      </x:c>
      <x:c r="D1398" s="2" t="str">
        <x:v>success</x:v>
      </x:c>
      <x:c r="E1398" s="2" t="n">
        <x:v>10</x:v>
      </x:c>
      <x:c r="F1398" s="7" t="n">
        <x:v>95</x:v>
      </x:c>
      <x:c r="G1398" s="7" t="n">
        <x:v>80</x:v>
      </x:c>
      <x:c r="H1398" s="7" t="n">
        <x:f>IF(F1398=0,"n.a.",100*(F1398-G1398)/F1398)</x:f>
        <x:v>15.789473684210526</x:v>
      </x:c>
      <x:c r="I1398" s="7" t="n">
        <x:f>F1398-G1398</x:f>
        <x:v>15</x:v>
      </x:c>
      <x:c r="J1398" s="8" t="n">
        <x:v>1.7205281893004114</x:v>
      </x:c>
      <x:c r="K1398" s="8" t="n">
        <x:v>1.7205281893004114</x:v>
      </x:c>
      <x:c r="L1398" s="8" t="n">
        <x:v>0</x:v>
      </x:c>
      <x:c r="M1398" s="7" t="n">
        <x:v>20.84179999656044</x:v>
      </x:c>
      <x:c r="N1398" s="2" t="str">
        <x:v>repository_particle_dynamics_on_frozen_qubo</x:v>
      </x:c>
      <x:c r="O1398" s="9" t="str">
        <x:v>1010011010</x:v>
      </x:c>
    </x:row>
    <x:row r="1399" ht="18" customHeight="1">
      <x:c r="A1399" s="2" t="str">
        <x:v>controlled_n6_separated_bottlenecks_3</x:v>
      </x:c>
      <x:c r="B1399" s="2" t="str">
        <x:v>QAOA</x:v>
      </x:c>
      <x:c r="C1399" s="2" t="n">
        <x:v>123</x:v>
      </x:c>
      <x:c r="D1399" s="2" t="str">
        <x:v>success</x:v>
      </x:c>
      <x:c r="E1399" s="2" t="n">
        <x:v>10</x:v>
      </x:c>
      <x:c r="F1399" s="7" t="n">
        <x:v>95</x:v>
      </x:c>
      <x:c r="G1399" s="7" t="n">
        <x:v>80</x:v>
      </x:c>
      <x:c r="H1399" s="7" t="n">
        <x:f>IF(F1399=0,"n.a.",100*(F1399-G1399)/F1399)</x:f>
        <x:v>15.789473684210526</x:v>
      </x:c>
      <x:c r="I1399" s="7" t="n">
        <x:f>F1399-G1399</x:f>
        <x:v>15</x:v>
      </x:c>
      <x:c r="J1399" s="8" t="n">
        <x:v>1.7205281893004114</x:v>
      </x:c>
      <x:c r="K1399" s="8" t="n">
        <x:v>1.7205281893004114</x:v>
      </x:c>
      <x:c r="L1399" s="8" t="n">
        <x:v>0</x:v>
      </x:c>
      <x:c r="M1399" s="7" t="n">
        <x:v>756.8031999981031</x:v>
      </x:c>
      <x:c r="N1399" s="2" t="str">
        <x:v>qiskit.primitives.StatevectorSampler</x:v>
      </x:c>
      <x:c r="O1399" s="9" t="str">
        <x:v>1000101110</x:v>
      </x:c>
    </x:row>
    <x:row r="1400" ht="18" customHeight="1">
      <x:c r="A1400" s="2" t="str">
        <x:v>controlled_n6_separated_bottlenecks_3</x:v>
      </x:c>
      <x:c r="B1400" s="2" t="str">
        <x:v>BPSO</x:v>
      </x:c>
      <x:c r="C1400" s="2" t="n">
        <x:v>456</x:v>
      </x:c>
      <x:c r="D1400" s="2" t="str">
        <x:v>success</x:v>
      </x:c>
      <x:c r="E1400" s="2" t="n">
        <x:v>10</x:v>
      </x:c>
      <x:c r="F1400" s="7" t="n">
        <x:v>95</x:v>
      </x:c>
      <x:c r="G1400" s="7" t="n">
        <x:v>80</x:v>
      </x:c>
      <x:c r="H1400" s="7" t="n">
        <x:f>IF(F1400=0,"n.a.",100*(F1400-G1400)/F1400)</x:f>
        <x:v>15.789473684210526</x:v>
      </x:c>
      <x:c r="I1400" s="7" t="n">
        <x:f>F1400-G1400</x:f>
        <x:v>15</x:v>
      </x:c>
      <x:c r="J1400" s="8" t="n">
        <x:v>1.7205281893004114</x:v>
      </x:c>
      <x:c r="K1400" s="8" t="n">
        <x:v>1.7205281893004114</x:v>
      </x:c>
      <x:c r="L1400" s="8" t="n">
        <x:v>0</x:v>
      </x:c>
      <x:c r="M1400" s="7" t="n">
        <x:v>21.054100012406707</x:v>
      </x:c>
      <x:c r="N1400" s="2" t="str">
        <x:v>repository_particle_dynamics_on_frozen_qubo</x:v>
      </x:c>
      <x:c r="O1400" s="9" t="str">
        <x:v>0111000101</x:v>
      </x:c>
    </x:row>
    <x:row r="1401" ht="18" customHeight="1">
      <x:c r="A1401" s="2" t="str">
        <x:v>controlled_n6_separated_bottlenecks_3</x:v>
      </x:c>
      <x:c r="B1401" s="2" t="str">
        <x:v>QAOA</x:v>
      </x:c>
      <x:c r="C1401" s="2" t="n">
        <x:v>456</x:v>
      </x:c>
      <x:c r="D1401" s="2" t="str">
        <x:v>success</x:v>
      </x:c>
      <x:c r="E1401" s="2" t="n">
        <x:v>10</x:v>
      </x:c>
      <x:c r="F1401" s="7" t="n">
        <x:v>95</x:v>
      </x:c>
      <x:c r="G1401" s="7" t="n">
        <x:v>80</x:v>
      </x:c>
      <x:c r="H1401" s="7" t="n">
        <x:f>IF(F1401=0,"n.a.",100*(F1401-G1401)/F1401)</x:f>
        <x:v>15.789473684210526</x:v>
      </x:c>
      <x:c r="I1401" s="7" t="n">
        <x:f>F1401-G1401</x:f>
        <x:v>15</x:v>
      </x:c>
      <x:c r="J1401" s="8" t="n">
        <x:v>1.7205281893004114</x:v>
      </x:c>
      <x:c r="K1401" s="8" t="n">
        <x:v>1.7205281893004114</x:v>
      </x:c>
      <x:c r="L1401" s="8" t="n">
        <x:v>0</x:v>
      </x:c>
      <x:c r="M1401" s="7" t="n">
        <x:v>701.8049999896903</x:v>
      </x:c>
      <x:c r="N1401" s="2" t="str">
        <x:v>qiskit.primitives.StatevectorSampler</x:v>
      </x:c>
      <x:c r="O1401" s="9" t="str">
        <x:v>1000011110</x:v>
      </x:c>
    </x:row>
    <x:row r="1402" ht="18" customHeight="1">
      <x:c r="A1402" s="2" t="str">
        <x:v>controlled_n6_separated_bottlenecks_3</x:v>
      </x:c>
      <x:c r="B1402" s="2" t="str">
        <x:v>BPSO</x:v>
      </x:c>
      <x:c r="C1402" s="2" t="n">
        <x:v>789</x:v>
      </x:c>
      <x:c r="D1402" s="2" t="str">
        <x:v>success</x:v>
      </x:c>
      <x:c r="E1402" s="2" t="n">
        <x:v>10</x:v>
      </x:c>
      <x:c r="F1402" s="7" t="n">
        <x:v>95</x:v>
      </x:c>
      <x:c r="G1402" s="7" t="n">
        <x:v>80</x:v>
      </x:c>
      <x:c r="H1402" s="7" t="n">
        <x:f>IF(F1402=0,"n.a.",100*(F1402-G1402)/F1402)</x:f>
        <x:v>15.789473684210526</x:v>
      </x:c>
      <x:c r="I1402" s="7" t="n">
        <x:f>F1402-G1402</x:f>
        <x:v>15</x:v>
      </x:c>
      <x:c r="J1402" s="8" t="n">
        <x:v>1.7205281893004114</x:v>
      </x:c>
      <x:c r="K1402" s="8" t="n">
        <x:v>1.7205281893004114</x:v>
      </x:c>
      <x:c r="L1402" s="8" t="n">
        <x:v>0</x:v>
      </x:c>
      <x:c r="M1402" s="7" t="n">
        <x:v>21.916199999395758</x:v>
      </x:c>
      <x:c r="N1402" s="2" t="str">
        <x:v>repository_particle_dynamics_on_frozen_qubo</x:v>
      </x:c>
      <x:c r="O1402" s="9" t="str">
        <x:v>0000111110</x:v>
      </x:c>
    </x:row>
    <x:row r="1403" ht="18" customHeight="1">
      <x:c r="A1403" s="2" t="str">
        <x:v>controlled_n6_separated_bottlenecks_3</x:v>
      </x:c>
      <x:c r="B1403" s="2" t="str">
        <x:v>QAOA</x:v>
      </x:c>
      <x:c r="C1403" s="2" t="n">
        <x:v>789</x:v>
      </x:c>
      <x:c r="D1403" s="2" t="str">
        <x:v>success</x:v>
      </x:c>
      <x:c r="E1403" s="2" t="n">
        <x:v>10</x:v>
      </x:c>
      <x:c r="F1403" s="7" t="n">
        <x:v>95</x:v>
      </x:c>
      <x:c r="G1403" s="7" t="n">
        <x:v>80</x:v>
      </x:c>
      <x:c r="H1403" s="7" t="n">
        <x:f>IF(F1403=0,"n.a.",100*(F1403-G1403)/F1403)</x:f>
        <x:v>15.789473684210526</x:v>
      </x:c>
      <x:c r="I1403" s="7" t="n">
        <x:f>F1403-G1403</x:f>
        <x:v>15</x:v>
      </x:c>
      <x:c r="J1403" s="8" t="n">
        <x:v>1.7205281893004114</x:v>
      </x:c>
      <x:c r="K1403" s="8" t="n">
        <x:v>1.7205281893004114</x:v>
      </x:c>
      <x:c r="L1403" s="8" t="n">
        <x:v>0</x:v>
      </x:c>
      <x:c r="M1403" s="7" t="n">
        <x:v>690.8685000089463</x:v>
      </x:c>
      <x:c r="N1403" s="2" t="str">
        <x:v>qiskit.primitives.StatevectorSampler</x:v>
      </x:c>
      <x:c r="O1403" s="9" t="str">
        <x:v>1111000010</x:v>
      </x:c>
    </x:row>
    <x:row r="1404" ht="18" customHeight="1">
      <x:c r="A1404" s="2" t="str">
        <x:v>controlled_n6_separated_bottlenecks_3</x:v>
      </x:c>
      <x:c r="B1404" s="2" t="str">
        <x:v>BPSO</x:v>
      </x:c>
      <x:c r="C1404" s="2" t="n">
        <x:v>2026</x:v>
      </x:c>
      <x:c r="D1404" s="2" t="str">
        <x:v>success</x:v>
      </x:c>
      <x:c r="E1404" s="2" t="n">
        <x:v>10</x:v>
      </x:c>
      <x:c r="F1404" s="7" t="n">
        <x:v>95</x:v>
      </x:c>
      <x:c r="G1404" s="7" t="n">
        <x:v>80</x:v>
      </x:c>
      <x:c r="H1404" s="7" t="n">
        <x:f>IF(F1404=0,"n.a.",100*(F1404-G1404)/F1404)</x:f>
        <x:v>15.789473684210526</x:v>
      </x:c>
      <x:c r="I1404" s="7" t="n">
        <x:f>F1404-G1404</x:f>
        <x:v>15</x:v>
      </x:c>
      <x:c r="J1404" s="8" t="n">
        <x:v>1.7205281893004114</x:v>
      </x:c>
      <x:c r="K1404" s="8" t="n">
        <x:v>1.7205281893004114</x:v>
      </x:c>
      <x:c r="L1404" s="8" t="n">
        <x:v>0</x:v>
      </x:c>
      <x:c r="M1404" s="7" t="n">
        <x:v>21.263999995426275</x:v>
      </x:c>
      <x:c r="N1404" s="2" t="str">
        <x:v>repository_particle_dynamics_on_frozen_qubo</x:v>
      </x:c>
      <x:c r="O1404" s="9" t="str">
        <x:v>1100001101</x:v>
      </x:c>
    </x:row>
    <x:row r="1405" ht="18" customHeight="1">
      <x:c r="A1405" s="2" t="str">
        <x:v>controlled_n6_separated_bottlenecks_3</x:v>
      </x:c>
      <x:c r="B1405" s="2" t="str">
        <x:v>QAOA</x:v>
      </x:c>
      <x:c r="C1405" s="2" t="n">
        <x:v>2026</x:v>
      </x:c>
      <x:c r="D1405" s="2" t="str">
        <x:v>success</x:v>
      </x:c>
      <x:c r="E1405" s="2" t="n">
        <x:v>10</x:v>
      </x:c>
      <x:c r="F1405" s="7" t="n">
        <x:v>95</x:v>
      </x:c>
      <x:c r="G1405" s="7" t="n">
        <x:v>80</x:v>
      </x:c>
      <x:c r="H1405" s="7" t="n">
        <x:f>IF(F1405=0,"n.a.",100*(F1405-G1405)/F1405)</x:f>
        <x:v>15.789473684210526</x:v>
      </x:c>
      <x:c r="I1405" s="7" t="n">
        <x:f>F1405-G1405</x:f>
        <x:v>15</x:v>
      </x:c>
      <x:c r="J1405" s="8" t="n">
        <x:v>1.7205281893004114</x:v>
      </x:c>
      <x:c r="K1405" s="8" t="n">
        <x:v>1.7205281893004114</x:v>
      </x:c>
      <x:c r="L1405" s="8" t="n">
        <x:v>0</x:v>
      </x:c>
      <x:c r="M1405" s="7" t="n">
        <x:v>787.9558999993606</x:v>
      </x:c>
      <x:c r="N1405" s="2" t="str">
        <x:v>qiskit.primitives.StatevectorSampler</x:v>
      </x:c>
      <x:c r="O1405" s="9" t="str">
        <x:v>1000011110</x:v>
      </x:c>
    </x:row>
    <x:row r="1406" ht="18" customHeight="1">
      <x:c r="A1406" s="2" t="str">
        <x:v>controlled_n6_distributed_peak_1</x:v>
      </x:c>
      <x:c r="B1406" s="2" t="str">
        <x:v>Unmanaged</x:v>
      </x:c>
      <x:c r="C1406" s="2"/>
      <x:c r="D1406" s="2" t="str">
        <x:v>baseline</x:v>
      </x:c>
      <x:c r="E1406" s="2" t="n">
        <x:v>10</x:v>
      </x:c>
      <x:c r="F1406" s="7" t="n">
        <x:v>85</x:v>
      </x:c>
      <x:c r="G1406" s="7" t="n">
        <x:v>85</x:v>
      </x:c>
      <x:c r="H1406" s="7" t="n">
        <x:f>IF(F1406=0,"n.a.",100*(F1406-G1406)/F1406)</x:f>
        <x:v>0</x:v>
      </x:c>
      <x:c r="I1406" s="7" t="n">
        <x:f>F1406-G1406</x:f>
        <x:v>0</x:v>
      </x:c>
      <x:c r="J1406" s="8"/>
      <x:c r="K1406" s="8" t="n">
        <x:v>1.2703451903292187</x:v>
      </x:c>
      <x:c r="L1406" s="8"/>
      <x:c r="M1406" s="7"/>
      <x:c r="N1406" s="2" t="str">
        <x:v>unmanaged_input</x:v>
      </x:c>
      <x:c r="O1406" s="9"/>
    </x:row>
    <x:row r="1407" ht="18" customHeight="1">
      <x:c r="A1407" s="2" t="str">
        <x:v>controlled_n6_distributed_peak_1</x:v>
      </x:c>
      <x:c r="B1407" s="2" t="str">
        <x:v>Exact J</x:v>
      </x:c>
      <x:c r="C1407" s="2"/>
      <x:c r="D1407" s="2" t="str">
        <x:v>success</x:v>
      </x:c>
      <x:c r="E1407" s="2" t="n">
        <x:v>10</x:v>
      </x:c>
      <x:c r="F1407" s="7" t="n">
        <x:v>85</x:v>
      </x:c>
      <x:c r="G1407" s="7" t="n">
        <x:v>85</x:v>
      </x:c>
      <x:c r="H1407" s="7" t="n">
        <x:f>IF(F1407=0,"n.a.",100*(F1407-G1407)/F1407)</x:f>
        <x:v>0</x:v>
      </x:c>
      <x:c r="I1407" s="7" t="n">
        <x:f>F1407-G1407</x:f>
        <x:v>0</x:v>
      </x:c>
      <x:c r="J1407" s="8" t="n">
        <x:v>1.2703451903292187</x:v>
      </x:c>
      <x:c r="K1407" s="8" t="n">
        <x:v>1.2703451903292187</x:v>
      </x:c>
      <x:c r="L1407" s="8" t="n">
        <x:v>0</x:v>
      </x:c>
      <x:c r="M1407" s="7"/>
      <x:c r="N1407" s="2" t="str">
        <x:v>exhaustive_enumeration</x:v>
      </x:c>
      <x:c r="O1407" s="9" t="str">
        <x:v>0011110011</x:v>
      </x:c>
    </x:row>
    <x:row r="1408" ht="18" customHeight="1">
      <x:c r="A1408" s="2" t="str">
        <x:v>controlled_n6_distributed_peak_1</x:v>
      </x:c>
      <x:c r="B1408" s="2" t="str">
        <x:v>Exact peak</x:v>
      </x:c>
      <x:c r="C1408" s="2"/>
      <x:c r="D1408" s="2" t="str">
        <x:v>success</x:v>
      </x:c>
      <x:c r="E1408" s="2" t="n">
        <x:v>10</x:v>
      </x:c>
      <x:c r="F1408" s="7" t="n">
        <x:v>85</x:v>
      </x:c>
      <x:c r="G1408" s="7" t="n">
        <x:v>85</x:v>
      </x:c>
      <x:c r="H1408" s="7" t="n">
        <x:f>IF(F1408=0,"n.a.",100*(F1408-G1408)/F1408)</x:f>
        <x:v>0</x:v>
      </x:c>
      <x:c r="I1408" s="7" t="n">
        <x:f>F1408-G1408</x:f>
        <x:v>0</x:v>
      </x:c>
      <x:c r="J1408" s="8" t="n">
        <x:v>1.2703451903292187</x:v>
      </x:c>
      <x:c r="K1408" s="8" t="n">
        <x:v>1.2703451903292187</x:v>
      </x:c>
      <x:c r="L1408" s="8" t="n">
        <x:v>0</x:v>
      </x:c>
      <x:c r="M1408" s="7"/>
      <x:c r="N1408" s="2" t="str">
        <x:v>exhaustive_enumeration</x:v>
      </x:c>
      <x:c r="O1408" s="9" t="str">
        <x:v>0011110011</x:v>
      </x:c>
    </x:row>
    <x:row r="1409" ht="18" customHeight="1">
      <x:c r="A1409" s="2" t="str">
        <x:v>controlled_n6_distributed_peak_1</x:v>
      </x:c>
      <x:c r="B1409" s="2" t="str">
        <x:v>BPSO</x:v>
      </x:c>
      <x:c r="C1409" s="2" t="n">
        <x:v>42</x:v>
      </x:c>
      <x:c r="D1409" s="2" t="str">
        <x:v>success</x:v>
      </x:c>
      <x:c r="E1409" s="2" t="n">
        <x:v>10</x:v>
      </x:c>
      <x:c r="F1409" s="7" t="n">
        <x:v>85</x:v>
      </x:c>
      <x:c r="G1409" s="7" t="n">
        <x:v>85</x:v>
      </x:c>
      <x:c r="H1409" s="7" t="n">
        <x:f>IF(F1409=0,"n.a.",100*(F1409-G1409)/F1409)</x:f>
        <x:v>0</x:v>
      </x:c>
      <x:c r="I1409" s="7" t="n">
        <x:f>F1409-G1409</x:f>
        <x:v>0</x:v>
      </x:c>
      <x:c r="J1409" s="8" t="n">
        <x:v>1.2703451903292187</x:v>
      </x:c>
      <x:c r="K1409" s="8" t="n">
        <x:v>1.2703451903292187</x:v>
      </x:c>
      <x:c r="L1409" s="8" t="n">
        <x:v>0</x:v>
      </x:c>
      <x:c r="M1409" s="7" t="n">
        <x:v>74.80770000256598</x:v>
      </x:c>
      <x:c r="N1409" s="2" t="str">
        <x:v>repository_particle_dynamics_on_frozen_qubo</x:v>
      </x:c>
      <x:c r="O1409" s="9" t="str">
        <x:v>1011011100</x:v>
      </x:c>
    </x:row>
    <x:row r="1410" ht="18" customHeight="1">
      <x:c r="A1410" s="2" t="str">
        <x:v>controlled_n6_distributed_peak_1</x:v>
      </x:c>
      <x:c r="B1410" s="2" t="str">
        <x:v>QAOA</x:v>
      </x:c>
      <x:c r="C1410" s="2" t="n">
        <x:v>42</x:v>
      </x:c>
      <x:c r="D1410" s="2" t="str">
        <x:v>success</x:v>
      </x:c>
      <x:c r="E1410" s="2" t="n">
        <x:v>10</x:v>
      </x:c>
      <x:c r="F1410" s="7" t="n">
        <x:v>85</x:v>
      </x:c>
      <x:c r="G1410" s="7" t="n">
        <x:v>85</x:v>
      </x:c>
      <x:c r="H1410" s="7" t="n">
        <x:f>IF(F1410=0,"n.a.",100*(F1410-G1410)/F1410)</x:f>
        <x:v>0</x:v>
      </x:c>
      <x:c r="I1410" s="7" t="n">
        <x:f>F1410-G1410</x:f>
        <x:v>0</x:v>
      </x:c>
      <x:c r="J1410" s="8" t="n">
        <x:v>1.270345190329219</x:v>
      </x:c>
      <x:c r="K1410" s="8" t="n">
        <x:v>1.2703451903292187</x:v>
      </x:c>
      <x:c r="L1410" s="8" t="n">
        <x:v>4.440892098500626e-16</x:v>
      </x:c>
      <x:c r="M1410" s="7" t="n">
        <x:v>788.9190000132658</x:v>
      </x:c>
      <x:c r="N1410" s="2" t="str">
        <x:v>qiskit.primitives.StatevectorSampler</x:v>
      </x:c>
      <x:c r="O1410" s="9" t="str">
        <x:v>1110010011</x:v>
      </x:c>
    </x:row>
    <x:row r="1411" ht="18" customHeight="1">
      <x:c r="A1411" s="2" t="str">
        <x:v>controlled_n6_distributed_peak_1</x:v>
      </x:c>
      <x:c r="B1411" s="2" t="str">
        <x:v>BPSO</x:v>
      </x:c>
      <x:c r="C1411" s="2" t="n">
        <x:v>123</x:v>
      </x:c>
      <x:c r="D1411" s="2" t="str">
        <x:v>success</x:v>
      </x:c>
      <x:c r="E1411" s="2" t="n">
        <x:v>10</x:v>
      </x:c>
      <x:c r="F1411" s="7" t="n">
        <x:v>85</x:v>
      </x:c>
      <x:c r="G1411" s="7" t="n">
        <x:v>85</x:v>
      </x:c>
      <x:c r="H1411" s="7" t="n">
        <x:f>IF(F1411=0,"n.a.",100*(F1411-G1411)/F1411)</x:f>
        <x:v>0</x:v>
      </x:c>
      <x:c r="I1411" s="7" t="n">
        <x:f>F1411-G1411</x:f>
        <x:v>0</x:v>
      </x:c>
      <x:c r="J1411" s="8" t="n">
        <x:v>1.2703451903292187</x:v>
      </x:c>
      <x:c r="K1411" s="8" t="n">
        <x:v>1.2703451903292187</x:v>
      </x:c>
      <x:c r="L1411" s="8" t="n">
        <x:v>0</x:v>
      </x:c>
      <x:c r="M1411" s="7" t="n">
        <x:v>21.987499989336357</x:v>
      </x:c>
      <x:c r="N1411" s="2" t="str">
        <x:v>repository_particle_dynamics_on_frozen_qubo</x:v>
      </x:c>
      <x:c r="O1411" s="9" t="str">
        <x:v>1001110110</x:v>
      </x:c>
    </x:row>
    <x:row r="1412" ht="18" customHeight="1">
      <x:c r="A1412" s="2" t="str">
        <x:v>controlled_n6_distributed_peak_1</x:v>
      </x:c>
      <x:c r="B1412" s="2" t="str">
        <x:v>QAOA</x:v>
      </x:c>
      <x:c r="C1412" s="2" t="n">
        <x:v>123</x:v>
      </x:c>
      <x:c r="D1412" s="2" t="str">
        <x:v>success</x:v>
      </x:c>
      <x:c r="E1412" s="2" t="n">
        <x:v>10</x:v>
      </x:c>
      <x:c r="F1412" s="7" t="n">
        <x:v>85</x:v>
      </x:c>
      <x:c r="G1412" s="7" t="n">
        <x:v>85</x:v>
      </x:c>
      <x:c r="H1412" s="7" t="n">
        <x:f>IF(F1412=0,"n.a.",100*(F1412-G1412)/F1412)</x:f>
        <x:v>0</x:v>
      </x:c>
      <x:c r="I1412" s="7" t="n">
        <x:f>F1412-G1412</x:f>
        <x:v>0</x:v>
      </x:c>
      <x:c r="J1412" s="8" t="n">
        <x:v>1.270345190329219</x:v>
      </x:c>
      <x:c r="K1412" s="8" t="n">
        <x:v>1.2703451903292187</x:v>
      </x:c>
      <x:c r="L1412" s="8" t="n">
        <x:v>4.440892098500626e-16</x:v>
      </x:c>
      <x:c r="M1412" s="7" t="n">
        <x:v>806.1069999967003</x:v>
      </x:c>
      <x:c r="N1412" s="2" t="str">
        <x:v>qiskit.primitives.StatevectorSampler</x:v>
      </x:c>
      <x:c r="O1412" s="9" t="str">
        <x:v>1111001100</x:v>
      </x:c>
    </x:row>
    <x:row r="1413" ht="18" customHeight="1">
      <x:c r="A1413" s="2" t="str">
        <x:v>controlled_n6_distributed_peak_1</x:v>
      </x:c>
      <x:c r="B1413" s="2" t="str">
        <x:v>BPSO</x:v>
      </x:c>
      <x:c r="C1413" s="2" t="n">
        <x:v>456</x:v>
      </x:c>
      <x:c r="D1413" s="2" t="str">
        <x:v>success</x:v>
      </x:c>
      <x:c r="E1413" s="2" t="n">
        <x:v>10</x:v>
      </x:c>
      <x:c r="F1413" s="7" t="n">
        <x:v>85</x:v>
      </x:c>
      <x:c r="G1413" s="7" t="n">
        <x:v>85</x:v>
      </x:c>
      <x:c r="H1413" s="7" t="n">
        <x:f>IF(F1413=0,"n.a.",100*(F1413-G1413)/F1413)</x:f>
        <x:v>0</x:v>
      </x:c>
      <x:c r="I1413" s="7" t="n">
        <x:f>F1413-G1413</x:f>
        <x:v>0</x:v>
      </x:c>
      <x:c r="J1413" s="8" t="n">
        <x:v>1.2703451903292187</x:v>
      </x:c>
      <x:c r="K1413" s="8" t="n">
        <x:v>1.2703451903292187</x:v>
      </x:c>
      <x:c r="L1413" s="8" t="n">
        <x:v>0</x:v>
      </x:c>
      <x:c r="M1413" s="7" t="n">
        <x:v>22.284300008323044</x:v>
      </x:c>
      <x:c r="N1413" s="2" t="str">
        <x:v>repository_particle_dynamics_on_frozen_qubo</x:v>
      </x:c>
      <x:c r="O1413" s="9" t="str">
        <x:v>1100111100</x:v>
      </x:c>
    </x:row>
    <x:row r="1414" ht="18" customHeight="1">
      <x:c r="A1414" s="2" t="str">
        <x:v>controlled_n6_distributed_peak_1</x:v>
      </x:c>
      <x:c r="B1414" s="2" t="str">
        <x:v>QAOA</x:v>
      </x:c>
      <x:c r="C1414" s="2" t="n">
        <x:v>456</x:v>
      </x:c>
      <x:c r="D1414" s="2" t="str">
        <x:v>success</x:v>
      </x:c>
      <x:c r="E1414" s="2" t="n">
        <x:v>10</x:v>
      </x:c>
      <x:c r="F1414" s="7" t="n">
        <x:v>85</x:v>
      </x:c>
      <x:c r="G1414" s="7" t="n">
        <x:v>85</x:v>
      </x:c>
      <x:c r="H1414" s="7" t="n">
        <x:f>IF(F1414=0,"n.a.",100*(F1414-G1414)/F1414)</x:f>
        <x:v>0</x:v>
      </x:c>
      <x:c r="I1414" s="7" t="n">
        <x:f>F1414-G1414</x:f>
        <x:v>0</x:v>
      </x:c>
      <x:c r="J1414" s="8" t="n">
        <x:v>1.270345190329219</x:v>
      </x:c>
      <x:c r="K1414" s="8" t="n">
        <x:v>1.2703451903292187</x:v>
      </x:c>
      <x:c r="L1414" s="8" t="n">
        <x:v>4.440892098500626e-16</x:v>
      </x:c>
      <x:c r="M1414" s="7" t="n">
        <x:v>754.0841000009095</x:v>
      </x:c>
      <x:c r="N1414" s="2" t="str">
        <x:v>qiskit.primitives.StatevectorSampler</x:v>
      </x:c>
      <x:c r="O1414" s="9" t="str">
        <x:v>1101011100</x:v>
      </x:c>
    </x:row>
    <x:row r="1415" ht="18" customHeight="1">
      <x:c r="A1415" s="2" t="str">
        <x:v>controlled_n6_distributed_peak_1</x:v>
      </x:c>
      <x:c r="B1415" s="2" t="str">
        <x:v>BPSO</x:v>
      </x:c>
      <x:c r="C1415" s="2" t="n">
        <x:v>789</x:v>
      </x:c>
      <x:c r="D1415" s="2" t="str">
        <x:v>success</x:v>
      </x:c>
      <x:c r="E1415" s="2" t="n">
        <x:v>10</x:v>
      </x:c>
      <x:c r="F1415" s="7" t="n">
        <x:v>85</x:v>
      </x:c>
      <x:c r="G1415" s="7" t="n">
        <x:v>85</x:v>
      </x:c>
      <x:c r="H1415" s="7" t="n">
        <x:f>IF(F1415=0,"n.a.",100*(F1415-G1415)/F1415)</x:f>
        <x:v>0</x:v>
      </x:c>
      <x:c r="I1415" s="7" t="n">
        <x:f>F1415-G1415</x:f>
        <x:v>0</x:v>
      </x:c>
      <x:c r="J1415" s="8" t="n">
        <x:v>1.2703451903292187</x:v>
      </x:c>
      <x:c r="K1415" s="8" t="n">
        <x:v>1.2703451903292187</x:v>
      </x:c>
      <x:c r="L1415" s="8" t="n">
        <x:v>0</x:v>
      </x:c>
      <x:c r="M1415" s="7" t="n">
        <x:v>20.43720000074245</x:v>
      </x:c>
      <x:c r="N1415" s="2" t="str">
        <x:v>repository_particle_dynamics_on_frozen_qubo</x:v>
      </x:c>
      <x:c r="O1415" s="9" t="str">
        <x:v>1110100101</x:v>
      </x:c>
    </x:row>
    <x:row r="1416" ht="18" customHeight="1">
      <x:c r="A1416" s="2" t="str">
        <x:v>controlled_n6_distributed_peak_1</x:v>
      </x:c>
      <x:c r="B1416" s="2" t="str">
        <x:v>QAOA</x:v>
      </x:c>
      <x:c r="C1416" s="2" t="n">
        <x:v>789</x:v>
      </x:c>
      <x:c r="D1416" s="2" t="str">
        <x:v>success</x:v>
      </x:c>
      <x:c r="E1416" s="2" t="n">
        <x:v>10</x:v>
      </x:c>
      <x:c r="F1416" s="7" t="n">
        <x:v>85</x:v>
      </x:c>
      <x:c r="G1416" s="7" t="n">
        <x:v>85</x:v>
      </x:c>
      <x:c r="H1416" s="7" t="n">
        <x:f>IF(F1416=0,"n.a.",100*(F1416-G1416)/F1416)</x:f>
        <x:v>0</x:v>
      </x:c>
      <x:c r="I1416" s="7" t="n">
        <x:f>F1416-G1416</x:f>
        <x:v>0</x:v>
      </x:c>
      <x:c r="J1416" s="8" t="n">
        <x:v>1.270345190329219</x:v>
      </x:c>
      <x:c r="K1416" s="8" t="n">
        <x:v>1.2703451903292187</x:v>
      </x:c>
      <x:c r="L1416" s="8" t="n">
        <x:v>4.440892098500626e-16</x:v>
      </x:c>
      <x:c r="M1416" s="7" t="n">
        <x:v>839.3949000019347</x:v>
      </x:c>
      <x:c r="N1416" s="2" t="str">
        <x:v>qiskit.primitives.StatevectorSampler</x:v>
      </x:c>
      <x:c r="O1416" s="9" t="str">
        <x:v>1100111100</x:v>
      </x:c>
    </x:row>
    <x:row r="1417" ht="18" customHeight="1">
      <x:c r="A1417" s="2" t="str">
        <x:v>controlled_n6_distributed_peak_1</x:v>
      </x:c>
      <x:c r="B1417" s="2" t="str">
        <x:v>BPSO</x:v>
      </x:c>
      <x:c r="C1417" s="2" t="n">
        <x:v>2026</x:v>
      </x:c>
      <x:c r="D1417" s="2" t="str">
        <x:v>success</x:v>
      </x:c>
      <x:c r="E1417" s="2" t="n">
        <x:v>10</x:v>
      </x:c>
      <x:c r="F1417" s="7" t="n">
        <x:v>85</x:v>
      </x:c>
      <x:c r="G1417" s="7" t="n">
        <x:v>85</x:v>
      </x:c>
      <x:c r="H1417" s="7" t="n">
        <x:f>IF(F1417=0,"n.a.",100*(F1417-G1417)/F1417)</x:f>
        <x:v>0</x:v>
      </x:c>
      <x:c r="I1417" s="7" t="n">
        <x:f>F1417-G1417</x:f>
        <x:v>0</x:v>
      </x:c>
      <x:c r="J1417" s="8" t="n">
        <x:v>1.2703451903292187</x:v>
      </x:c>
      <x:c r="K1417" s="8" t="n">
        <x:v>1.2703451903292187</x:v>
      </x:c>
      <x:c r="L1417" s="8" t="n">
        <x:v>0</x:v>
      </x:c>
      <x:c r="M1417" s="7" t="n">
        <x:v>20.85830000578426</x:v>
      </x:c>
      <x:c r="N1417" s="2" t="str">
        <x:v>repository_particle_dynamics_on_frozen_qubo</x:v>
      </x:c>
      <x:c r="O1417" s="9" t="str">
        <x:v>1011101010</x:v>
      </x:c>
    </x:row>
    <x:row r="1418" ht="18" customHeight="1">
      <x:c r="A1418" s="2" t="str">
        <x:v>controlled_n6_distributed_peak_1</x:v>
      </x:c>
      <x:c r="B1418" s="2" t="str">
        <x:v>QAOA</x:v>
      </x:c>
      <x:c r="C1418" s="2" t="n">
        <x:v>2026</x:v>
      </x:c>
      <x:c r="D1418" s="2" t="str">
        <x:v>success</x:v>
      </x:c>
      <x:c r="E1418" s="2" t="n">
        <x:v>10</x:v>
      </x:c>
      <x:c r="F1418" s="7" t="n">
        <x:v>85</x:v>
      </x:c>
      <x:c r="G1418" s="7" t="n">
        <x:v>85</x:v>
      </x:c>
      <x:c r="H1418" s="7" t="n">
        <x:f>IF(F1418=0,"n.a.",100*(F1418-G1418)/F1418)</x:f>
        <x:v>0</x:v>
      </x:c>
      <x:c r="I1418" s="7" t="n">
        <x:f>F1418-G1418</x:f>
        <x:v>0</x:v>
      </x:c>
      <x:c r="J1418" s="8" t="n">
        <x:v>1.270345190329219</x:v>
      </x:c>
      <x:c r="K1418" s="8" t="n">
        <x:v>1.2703451903292187</x:v>
      </x:c>
      <x:c r="L1418" s="8" t="n">
        <x:v>4.440892098500626e-16</x:v>
      </x:c>
      <x:c r="M1418" s="7" t="n">
        <x:v>932.0242999965558</x:v>
      </x:c>
      <x:c r="N1418" s="2" t="str">
        <x:v>qiskit.primitives.StatevectorSampler</x:v>
      </x:c>
      <x:c r="O1418" s="9" t="str">
        <x:v>0110110110</x:v>
      </x:c>
    </x:row>
    <x:row r="1419" ht="18" customHeight="1">
      <x:c r="A1419" s="2" t="str">
        <x:v>controlled_n6_distributed_peak_2</x:v>
      </x:c>
      <x:c r="B1419" s="2" t="str">
        <x:v>Unmanaged</x:v>
      </x:c>
      <x:c r="C1419" s="2"/>
      <x:c r="D1419" s="2" t="str">
        <x:v>baseline</x:v>
      </x:c>
      <x:c r="E1419" s="2" t="n">
        <x:v>10</x:v>
      </x:c>
      <x:c r="F1419" s="7" t="n">
        <x:v>85</x:v>
      </x:c>
      <x:c r="G1419" s="7" t="n">
        <x:v>85</x:v>
      </x:c>
      <x:c r="H1419" s="7" t="n">
        <x:f>IF(F1419=0,"n.a.",100*(F1419-G1419)/F1419)</x:f>
        <x:v>0</x:v>
      </x:c>
      <x:c r="I1419" s="7" t="n">
        <x:f>F1419-G1419</x:f>
        <x:v>0</x:v>
      </x:c>
      <x:c r="J1419" s="8"/>
      <x:c r="K1419" s="8" t="n">
        <x:v>1.7761227559156363</x:v>
      </x:c>
      <x:c r="L1419" s="8"/>
      <x:c r="M1419" s="7"/>
      <x:c r="N1419" s="2" t="str">
        <x:v>unmanaged_input</x:v>
      </x:c>
      <x:c r="O1419" s="9"/>
    </x:row>
    <x:row r="1420" ht="18" customHeight="1">
      <x:c r="A1420" s="2" t="str">
        <x:v>controlled_n6_distributed_peak_2</x:v>
      </x:c>
      <x:c r="B1420" s="2" t="str">
        <x:v>Exact J</x:v>
      </x:c>
      <x:c r="C1420" s="2"/>
      <x:c r="D1420" s="2" t="str">
        <x:v>success</x:v>
      </x:c>
      <x:c r="E1420" s="2" t="n">
        <x:v>10</x:v>
      </x:c>
      <x:c r="F1420" s="7" t="n">
        <x:v>85</x:v>
      </x:c>
      <x:c r="G1420" s="7" t="n">
        <x:v>93.75</x:v>
      </x:c>
      <x:c r="H1420" s="7" t="n">
        <x:f>IF(F1420=0,"n.a.",100*(F1420-G1420)/F1420)</x:f>
        <x:v>-10.294117647058824</x:v>
      </x:c>
      <x:c r="I1420" s="7" t="n">
        <x:f>F1420-G1420</x:f>
        <x:v>-8.75</x:v>
      </x:c>
      <x:c r="J1420" s="8" t="n">
        <x:v>1.7761227559156363</x:v>
      </x:c>
      <x:c r="K1420" s="8" t="n">
        <x:v>1.7761227559156363</x:v>
      </x:c>
      <x:c r="L1420" s="8" t="n">
        <x:v>0</x:v>
      </x:c>
      <x:c r="M1420" s="7"/>
      <x:c r="N1420" s="2" t="str">
        <x:v>exhaustive_enumeration</x:v>
      </x:c>
      <x:c r="O1420" s="9" t="str">
        <x:v>0111110011</x:v>
      </x:c>
    </x:row>
    <x:row r="1421" ht="18" customHeight="1">
      <x:c r="A1421" s="2" t="str">
        <x:v>controlled_n6_distributed_peak_2</x:v>
      </x:c>
      <x:c r="B1421" s="2" t="str">
        <x:v>Exact peak</x:v>
      </x:c>
      <x:c r="C1421" s="2"/>
      <x:c r="D1421" s="2" t="str">
        <x:v>success</x:v>
      </x:c>
      <x:c r="E1421" s="2" t="n">
        <x:v>10</x:v>
      </x:c>
      <x:c r="F1421" s="7" t="n">
        <x:v>85</x:v>
      </x:c>
      <x:c r="G1421" s="7" t="n">
        <x:v>87.5</x:v>
      </x:c>
      <x:c r="H1421" s="7" t="n">
        <x:f>IF(F1421=0,"n.a.",100*(F1421-G1421)/F1421)</x:f>
        <x:v>-2.9411764705882355</x:v>
      </x:c>
      <x:c r="I1421" s="7" t="n">
        <x:f>F1421-G1421</x:f>
        <x:v>-2.5</x:v>
      </x:c>
      <x:c r="J1421" s="8" t="n">
        <x:v>1.8177677211934145</x:v>
      </x:c>
      <x:c r="K1421" s="8" t="n">
        <x:v>1.7761227559156363</x:v>
      </x:c>
      <x:c r="L1421" s="8" t="n">
        <x:v>0.04164496527777817</x:v>
      </x:c>
      <x:c r="M1421" s="7"/>
      <x:c r="N1421" s="2" t="str">
        <x:v>exhaustive_enumeration</x:v>
      </x:c>
      <x:c r="O1421" s="9" t="str">
        <x:v>0011110011</x:v>
      </x:c>
    </x:row>
    <x:row r="1422" ht="18" customHeight="1">
      <x:c r="A1422" s="2" t="str">
        <x:v>controlled_n6_distributed_peak_2</x:v>
      </x:c>
      <x:c r="B1422" s="2" t="str">
        <x:v>BPSO</x:v>
      </x:c>
      <x:c r="C1422" s="2" t="n">
        <x:v>42</x:v>
      </x:c>
      <x:c r="D1422" s="2" t="str">
        <x:v>success</x:v>
      </x:c>
      <x:c r="E1422" s="2" t="n">
        <x:v>10</x:v>
      </x:c>
      <x:c r="F1422" s="7" t="n">
        <x:v>85</x:v>
      </x:c>
      <x:c r="G1422" s="7" t="n">
        <x:v>93.75</x:v>
      </x:c>
      <x:c r="H1422" s="7" t="n">
        <x:f>IF(F1422=0,"n.a.",100*(F1422-G1422)/F1422)</x:f>
        <x:v>-10.294117647058824</x:v>
      </x:c>
      <x:c r="I1422" s="7" t="n">
        <x:f>F1422-G1422</x:f>
        <x:v>-8.75</x:v>
      </x:c>
      <x:c r="J1422" s="8" t="n">
        <x:v>1.7761227559156363</x:v>
      </x:c>
      <x:c r="K1422" s="8" t="n">
        <x:v>1.7761227559156363</x:v>
      </x:c>
      <x:c r="L1422" s="8" t="n">
        <x:v>0</x:v>
      </x:c>
      <x:c r="M1422" s="7" t="n">
        <x:v>21.330700008547865</x:v>
      </x:c>
      <x:c r="N1422" s="2" t="str">
        <x:v>repository_particle_dynamics_on_frozen_qubo</x:v>
      </x:c>
      <x:c r="O1422" s="9" t="str">
        <x:v>0111111010</x:v>
      </x:c>
    </x:row>
    <x:row r="1423" ht="18" customHeight="1">
      <x:c r="A1423" s="2" t="str">
        <x:v>controlled_n6_distributed_peak_2</x:v>
      </x:c>
      <x:c r="B1423" s="2" t="str">
        <x:v>QAOA</x:v>
      </x:c>
      <x:c r="C1423" s="2" t="n">
        <x:v>42</x:v>
      </x:c>
      <x:c r="D1423" s="2" t="str">
        <x:v>success</x:v>
      </x:c>
      <x:c r="E1423" s="2" t="n">
        <x:v>10</x:v>
      </x:c>
      <x:c r="F1423" s="7" t="n">
        <x:v>85</x:v>
      </x:c>
      <x:c r="G1423" s="7" t="n">
        <x:v>93.75</x:v>
      </x:c>
      <x:c r="H1423" s="7" t="n">
        <x:f>IF(F1423=0,"n.a.",100*(F1423-G1423)/F1423)</x:f>
        <x:v>-10.294117647058824</x:v>
      </x:c>
      <x:c r="I1423" s="7" t="n">
        <x:f>F1423-G1423</x:f>
        <x:v>-8.75</x:v>
      </x:c>
      <x:c r="J1423" s="8" t="n">
        <x:v>1.7761227559156363</x:v>
      </x:c>
      <x:c r="K1423" s="8" t="n">
        <x:v>1.7761227559156363</x:v>
      </x:c>
      <x:c r="L1423" s="8" t="n">
        <x:v>0</x:v>
      </x:c>
      <x:c r="M1423" s="7" t="n">
        <x:v>756.6595000098459</x:v>
      </x:c>
      <x:c r="N1423" s="2" t="str">
        <x:v>qiskit.primitives.StatevectorSampler</x:v>
      </x:c>
      <x:c r="O1423" s="9" t="str">
        <x:v>1011110101</x:v>
      </x:c>
    </x:row>
    <x:row r="1424" ht="18" customHeight="1">
      <x:c r="A1424" s="2" t="str">
        <x:v>controlled_n6_distributed_peak_2</x:v>
      </x:c>
      <x:c r="B1424" s="2" t="str">
        <x:v>BPSO</x:v>
      </x:c>
      <x:c r="C1424" s="2" t="n">
        <x:v>123</x:v>
      </x:c>
      <x:c r="D1424" s="2" t="str">
        <x:v>success</x:v>
      </x:c>
      <x:c r="E1424" s="2" t="n">
        <x:v>10</x:v>
      </x:c>
      <x:c r="F1424" s="7" t="n">
        <x:v>85</x:v>
      </x:c>
      <x:c r="G1424" s="7" t="n">
        <x:v>93.75</x:v>
      </x:c>
      <x:c r="H1424" s="7" t="n">
        <x:f>IF(F1424=0,"n.a.",100*(F1424-G1424)/F1424)</x:f>
        <x:v>-10.294117647058824</x:v>
      </x:c>
      <x:c r="I1424" s="7" t="n">
        <x:f>F1424-G1424</x:f>
        <x:v>-8.75</x:v>
      </x:c>
      <x:c r="J1424" s="8" t="n">
        <x:v>1.7761227559156363</x:v>
      </x:c>
      <x:c r="K1424" s="8" t="n">
        <x:v>1.7761227559156363</x:v>
      </x:c>
      <x:c r="L1424" s="8" t="n">
        <x:v>0</x:v>
      </x:c>
      <x:c r="M1424" s="7" t="n">
        <x:v>21.5773999952944</x:v>
      </x:c>
      <x:c r="N1424" s="2" t="str">
        <x:v>repository_particle_dynamics_on_frozen_qubo</x:v>
      </x:c>
      <x:c r="O1424" s="9" t="str">
        <x:v>1011110110</x:v>
      </x:c>
    </x:row>
    <x:row r="1425" ht="18" customHeight="1">
      <x:c r="A1425" s="2" t="str">
        <x:v>controlled_n6_distributed_peak_2</x:v>
      </x:c>
      <x:c r="B1425" s="2" t="str">
        <x:v>QAOA</x:v>
      </x:c>
      <x:c r="C1425" s="2" t="n">
        <x:v>123</x:v>
      </x:c>
      <x:c r="D1425" s="2" t="str">
        <x:v>success</x:v>
      </x:c>
      <x:c r="E1425" s="2" t="n">
        <x:v>10</x:v>
      </x:c>
      <x:c r="F1425" s="7" t="n">
        <x:v>85</x:v>
      </x:c>
      <x:c r="G1425" s="7" t="n">
        <x:v>93.75</x:v>
      </x:c>
      <x:c r="H1425" s="7" t="n">
        <x:f>IF(F1425=0,"n.a.",100*(F1425-G1425)/F1425)</x:f>
        <x:v>-10.294117647058824</x:v>
      </x:c>
      <x:c r="I1425" s="7" t="n">
        <x:f>F1425-G1425</x:f>
        <x:v>-8.75</x:v>
      </x:c>
      <x:c r="J1425" s="8" t="n">
        <x:v>1.7761227559156363</x:v>
      </x:c>
      <x:c r="K1425" s="8" t="n">
        <x:v>1.7761227559156363</x:v>
      </x:c>
      <x:c r="L1425" s="8" t="n">
        <x:v>0</x:v>
      </x:c>
      <x:c r="M1425" s="7" t="n">
        <x:v>813.1934999983059</x:v>
      </x:c>
      <x:c r="N1425" s="2" t="str">
        <x:v>qiskit.primitives.StatevectorSampler</x:v>
      </x:c>
      <x:c r="O1425" s="9" t="str">
        <x:v>0111111010</x:v>
      </x:c>
    </x:row>
    <x:row r="1426" ht="18" customHeight="1">
      <x:c r="A1426" s="2" t="str">
        <x:v>controlled_n6_distributed_peak_2</x:v>
      </x:c>
      <x:c r="B1426" s="2" t="str">
        <x:v>BPSO</x:v>
      </x:c>
      <x:c r="C1426" s="2" t="n">
        <x:v>456</x:v>
      </x:c>
      <x:c r="D1426" s="2" t="str">
        <x:v>success</x:v>
      </x:c>
      <x:c r="E1426" s="2" t="n">
        <x:v>10</x:v>
      </x:c>
      <x:c r="F1426" s="7" t="n">
        <x:v>85</x:v>
      </x:c>
      <x:c r="G1426" s="7" t="n">
        <x:v>93.75</x:v>
      </x:c>
      <x:c r="H1426" s="7" t="n">
        <x:f>IF(F1426=0,"n.a.",100*(F1426-G1426)/F1426)</x:f>
        <x:v>-10.294117647058824</x:v>
      </x:c>
      <x:c r="I1426" s="7" t="n">
        <x:f>F1426-G1426</x:f>
        <x:v>-8.75</x:v>
      </x:c>
      <x:c r="J1426" s="8" t="n">
        <x:v>1.7761227559156363</x:v>
      </x:c>
      <x:c r="K1426" s="8" t="n">
        <x:v>1.7761227559156363</x:v>
      </x:c>
      <x:c r="L1426" s="8" t="n">
        <x:v>0</x:v>
      </x:c>
      <x:c r="M1426" s="7" t="n">
        <x:v>20.493400006671436</x:v>
      </x:c>
      <x:c r="N1426" s="2" t="str">
        <x:v>repository_particle_dynamics_on_frozen_qubo</x:v>
      </x:c>
      <x:c r="O1426" s="9" t="str">
        <x:v>1110111100</x:v>
      </x:c>
    </x:row>
    <x:row r="1427" ht="18" customHeight="1">
      <x:c r="A1427" s="2" t="str">
        <x:v>controlled_n6_distributed_peak_2</x:v>
      </x:c>
      <x:c r="B1427" s="2" t="str">
        <x:v>QAOA</x:v>
      </x:c>
      <x:c r="C1427" s="2" t="n">
        <x:v>456</x:v>
      </x:c>
      <x:c r="D1427" s="2" t="str">
        <x:v>success</x:v>
      </x:c>
      <x:c r="E1427" s="2" t="n">
        <x:v>10</x:v>
      </x:c>
      <x:c r="F1427" s="7" t="n">
        <x:v>85</x:v>
      </x:c>
      <x:c r="G1427" s="7" t="n">
        <x:v>93.75</x:v>
      </x:c>
      <x:c r="H1427" s="7" t="n">
        <x:f>IF(F1427=0,"n.a.",100*(F1427-G1427)/F1427)</x:f>
        <x:v>-10.294117647058824</x:v>
      </x:c>
      <x:c r="I1427" s="7" t="n">
        <x:f>F1427-G1427</x:f>
        <x:v>-8.75</x:v>
      </x:c>
      <x:c r="J1427" s="8" t="n">
        <x:v>1.7761227559156363</x:v>
      </x:c>
      <x:c r="K1427" s="8" t="n">
        <x:v>1.7761227559156363</x:v>
      </x:c>
      <x:c r="L1427" s="8" t="n">
        <x:v>0</x:v>
      </x:c>
      <x:c r="M1427" s="7" t="n">
        <x:v>723.3904000022449</x:v>
      </x:c>
      <x:c r="N1427" s="2" t="str">
        <x:v>qiskit.primitives.StatevectorSampler</x:v>
      </x:c>
      <x:c r="O1427" s="9" t="str">
        <x:v>1011110101</x:v>
      </x:c>
    </x:row>
    <x:row r="1428" ht="18" customHeight="1">
      <x:c r="A1428" s="2" t="str">
        <x:v>controlled_n6_distributed_peak_2</x:v>
      </x:c>
      <x:c r="B1428" s="2" t="str">
        <x:v>BPSO</x:v>
      </x:c>
      <x:c r="C1428" s="2" t="n">
        <x:v>789</x:v>
      </x:c>
      <x:c r="D1428" s="2" t="str">
        <x:v>success</x:v>
      </x:c>
      <x:c r="E1428" s="2" t="n">
        <x:v>10</x:v>
      </x:c>
      <x:c r="F1428" s="7" t="n">
        <x:v>85</x:v>
      </x:c>
      <x:c r="G1428" s="7" t="n">
        <x:v>93.75</x:v>
      </x:c>
      <x:c r="H1428" s="7" t="n">
        <x:f>IF(F1428=0,"n.a.",100*(F1428-G1428)/F1428)</x:f>
        <x:v>-10.294117647058824</x:v>
      </x:c>
      <x:c r="I1428" s="7" t="n">
        <x:f>F1428-G1428</x:f>
        <x:v>-8.75</x:v>
      </x:c>
      <x:c r="J1428" s="8" t="n">
        <x:v>1.7761227559156363</x:v>
      </x:c>
      <x:c r="K1428" s="8" t="n">
        <x:v>1.7761227559156363</x:v>
      </x:c>
      <x:c r="L1428" s="8" t="n">
        <x:v>0</x:v>
      </x:c>
      <x:c r="M1428" s="7" t="n">
        <x:v>22.402199989301153</x:v>
      </x:c>
      <x:c r="N1428" s="2" t="str">
        <x:v>repository_particle_dynamics_on_frozen_qubo</x:v>
      </x:c>
      <x:c r="O1428" s="9" t="str">
        <x:v>1110110101</x:v>
      </x:c>
    </x:row>
    <x:row r="1429" ht="18" customHeight="1">
      <x:c r="A1429" s="2" t="str">
        <x:v>controlled_n6_distributed_peak_2</x:v>
      </x:c>
      <x:c r="B1429" s="2" t="str">
        <x:v>QAOA</x:v>
      </x:c>
      <x:c r="C1429" s="2" t="n">
        <x:v>789</x:v>
      </x:c>
      <x:c r="D1429" s="2" t="str">
        <x:v>success</x:v>
      </x:c>
      <x:c r="E1429" s="2" t="n">
        <x:v>10</x:v>
      </x:c>
      <x:c r="F1429" s="7" t="n">
        <x:v>85</x:v>
      </x:c>
      <x:c r="G1429" s="7" t="n">
        <x:v>93.75</x:v>
      </x:c>
      <x:c r="H1429" s="7" t="n">
        <x:f>IF(F1429=0,"n.a.",100*(F1429-G1429)/F1429)</x:f>
        <x:v>-10.294117647058824</x:v>
      </x:c>
      <x:c r="I1429" s="7" t="n">
        <x:f>F1429-G1429</x:f>
        <x:v>-8.75</x:v>
      </x:c>
      <x:c r="J1429" s="8" t="n">
        <x:v>1.7761227559156363</x:v>
      </x:c>
      <x:c r="K1429" s="8" t="n">
        <x:v>1.7761227559156363</x:v>
      </x:c>
      <x:c r="L1429" s="8" t="n">
        <x:v>0</x:v>
      </x:c>
      <x:c r="M1429" s="7" t="n">
        <x:v>926.2224999984028</x:v>
      </x:c>
      <x:c r="N1429" s="2" t="str">
        <x:v>qiskit.primitives.StatevectorSampler</x:v>
      </x:c>
      <x:c r="O1429" s="9" t="str">
        <x:v>1110111001</x:v>
      </x:c>
    </x:row>
    <x:row r="1430" ht="18" customHeight="1">
      <x:c r="A1430" s="2" t="str">
        <x:v>controlled_n6_distributed_peak_2</x:v>
      </x:c>
      <x:c r="B1430" s="2" t="str">
        <x:v>BPSO</x:v>
      </x:c>
      <x:c r="C1430" s="2" t="n">
        <x:v>2026</x:v>
      </x:c>
      <x:c r="D1430" s="2" t="str">
        <x:v>success</x:v>
      </x:c>
      <x:c r="E1430" s="2" t="n">
        <x:v>10</x:v>
      </x:c>
      <x:c r="F1430" s="7" t="n">
        <x:v>85</x:v>
      </x:c>
      <x:c r="G1430" s="7" t="n">
        <x:v>93.75</x:v>
      </x:c>
      <x:c r="H1430" s="7" t="n">
        <x:f>IF(F1430=0,"n.a.",100*(F1430-G1430)/F1430)</x:f>
        <x:v>-10.294117647058824</x:v>
      </x:c>
      <x:c r="I1430" s="7" t="n">
        <x:f>F1430-G1430</x:f>
        <x:v>-8.75</x:v>
      </x:c>
      <x:c r="J1430" s="8" t="n">
        <x:v>1.7761227559156363</x:v>
      </x:c>
      <x:c r="K1430" s="8" t="n">
        <x:v>1.7761227559156363</x:v>
      </x:c>
      <x:c r="L1430" s="8" t="n">
        <x:v>0</x:v>
      </x:c>
      <x:c r="M1430" s="7" t="n">
        <x:v>21.66090000537224</x:v>
      </x:c>
      <x:c r="N1430" s="2" t="str">
        <x:v>repository_particle_dynamics_on_frozen_qubo</x:v>
      </x:c>
      <x:c r="O1430" s="9" t="str">
        <x:v>1111011010</x:v>
      </x:c>
    </x:row>
    <x:row r="1431" ht="18" customHeight="1">
      <x:c r="A1431" s="2" t="str">
        <x:v>controlled_n6_distributed_peak_2</x:v>
      </x:c>
      <x:c r="B1431" s="2" t="str">
        <x:v>QAOA</x:v>
      </x:c>
      <x:c r="C1431" s="2" t="n">
        <x:v>2026</x:v>
      </x:c>
      <x:c r="D1431" s="2" t="str">
        <x:v>success</x:v>
      </x:c>
      <x:c r="E1431" s="2" t="n">
        <x:v>10</x:v>
      </x:c>
      <x:c r="F1431" s="7" t="n">
        <x:v>85</x:v>
      </x:c>
      <x:c r="G1431" s="7" t="n">
        <x:v>93.75</x:v>
      </x:c>
      <x:c r="H1431" s="7" t="n">
        <x:f>IF(F1431=0,"n.a.",100*(F1431-G1431)/F1431)</x:f>
        <x:v>-10.294117647058824</x:v>
      </x:c>
      <x:c r="I1431" s="7" t="n">
        <x:f>F1431-G1431</x:f>
        <x:v>-8.75</x:v>
      </x:c>
      <x:c r="J1431" s="8" t="n">
        <x:v>1.7761227559156363</x:v>
      </x:c>
      <x:c r="K1431" s="8" t="n">
        <x:v>1.7761227559156363</x:v>
      </x:c>
      <x:c r="L1431" s="8" t="n">
        <x:v>0</x:v>
      </x:c>
      <x:c r="M1431" s="7" t="n">
        <x:v>816.7336000042269</x:v>
      </x:c>
      <x:c r="N1431" s="2" t="str">
        <x:v>qiskit.primitives.StatevectorSampler</x:v>
      </x:c>
      <x:c r="O1431" s="9" t="str">
        <x:v>1011111010</x:v>
      </x:c>
    </x:row>
    <x:row r="1432" ht="18" customHeight="1">
      <x:c r="A1432" s="2" t="str">
        <x:v>controlled_n6_distributed_peak_3</x:v>
      </x:c>
      <x:c r="B1432" s="2" t="str">
        <x:v>Unmanaged</x:v>
      </x:c>
      <x:c r="C1432" s="2"/>
      <x:c r="D1432" s="2" t="str">
        <x:v>baseline</x:v>
      </x:c>
      <x:c r="E1432" s="2" t="n">
        <x:v>10</x:v>
      </x:c>
      <x:c r="F1432" s="7" t="n">
        <x:v>85</x:v>
      </x:c>
      <x:c r="G1432" s="7" t="n">
        <x:v>85</x:v>
      </x:c>
      <x:c r="H1432" s="7" t="n">
        <x:f>IF(F1432=0,"n.a.",100*(F1432-G1432)/F1432)</x:f>
        <x:v>0</x:v>
      </x:c>
      <x:c r="I1432" s="7" t="n">
        <x:f>F1432-G1432</x:f>
        <x:v>0</x:v>
      </x:c>
      <x:c r="J1432" s="8"/>
      <x:c r="K1432" s="8" t="n">
        <x:v>5.617952925668719</x:v>
      </x:c>
      <x:c r="L1432" s="8"/>
      <x:c r="M1432" s="7"/>
      <x:c r="N1432" s="2" t="str">
        <x:v>unmanaged_input</x:v>
      </x:c>
      <x:c r="O1432" s="9"/>
    </x:row>
    <x:row r="1433" ht="18" customHeight="1">
      <x:c r="A1433" s="2" t="str">
        <x:v>controlled_n6_distributed_peak_3</x:v>
      </x:c>
      <x:c r="B1433" s="2" t="str">
        <x:v>Exact J</x:v>
      </x:c>
      <x:c r="C1433" s="2"/>
      <x:c r="D1433" s="2" t="str">
        <x:v>success</x:v>
      </x:c>
      <x:c r="E1433" s="2" t="n">
        <x:v>10</x:v>
      </x:c>
      <x:c r="F1433" s="7" t="n">
        <x:v>85</x:v>
      </x:c>
      <x:c r="G1433" s="7" t="n">
        <x:v>113.75</x:v>
      </x:c>
      <x:c r="H1433" s="7" t="n">
        <x:f>IF(F1433=0,"n.a.",100*(F1433-G1433)/F1433)</x:f>
        <x:v>-33.8235294117647</x:v>
      </x:c>
      <x:c r="I1433" s="7" t="n">
        <x:f>F1433-G1433</x:f>
        <x:v>-28.75</x:v>
      </x:c>
      <x:c r="J1433" s="8" t="n">
        <x:v>5.617952925668719</x:v>
      </x:c>
      <x:c r="K1433" s="8" t="n">
        <x:v>5.617952925668719</x:v>
      </x:c>
      <x:c r="L1433" s="8" t="n">
        <x:v>0</x:v>
      </x:c>
      <x:c r="M1433" s="7"/>
      <x:c r="N1433" s="2" t="str">
        <x:v>exhaustive_enumeration</x:v>
      </x:c>
      <x:c r="O1433" s="9" t="str">
        <x:v>0111110011</x:v>
      </x:c>
    </x:row>
    <x:row r="1434" ht="18" customHeight="1">
      <x:c r="A1434" s="2" t="str">
        <x:v>controlled_n6_distributed_peak_3</x:v>
      </x:c>
      <x:c r="B1434" s="2" t="str">
        <x:v>Exact peak</x:v>
      </x:c>
      <x:c r="C1434" s="2"/>
      <x:c r="D1434" s="2" t="str">
        <x:v>success</x:v>
      </x:c>
      <x:c r="E1434" s="2" t="n">
        <x:v>10</x:v>
      </x:c>
      <x:c r="F1434" s="7" t="n">
        <x:v>85</x:v>
      </x:c>
      <x:c r="G1434" s="7" t="n">
        <x:v>107.5</x:v>
      </x:c>
      <x:c r="H1434" s="7" t="n">
        <x:f>IF(F1434=0,"n.a.",100*(F1434-G1434)/F1434)</x:f>
        <x:v>-26.470588235294116</x:v>
      </x:c>
      <x:c r="I1434" s="7" t="n">
        <x:f>F1434-G1434</x:f>
        <x:v>-22.5</x:v>
      </x:c>
      <x:c r="J1434" s="8" t="n">
        <x:v>5.739445659722218</x:v>
      </x:c>
      <x:c r="K1434" s="8" t="n">
        <x:v>5.617952925668719</x:v>
      </x:c>
      <x:c r="L1434" s="8" t="n">
        <x:v>0.12149273405349881</x:v>
      </x:c>
      <x:c r="M1434" s="7"/>
      <x:c r="N1434" s="2" t="str">
        <x:v>exhaustive_enumeration</x:v>
      </x:c>
      <x:c r="O1434" s="9" t="str">
        <x:v>0111110001</x:v>
      </x:c>
    </x:row>
    <x:row r="1435" ht="18" customHeight="1">
      <x:c r="A1435" s="2" t="str">
        <x:v>controlled_n6_distributed_peak_3</x:v>
      </x:c>
      <x:c r="B1435" s="2" t="str">
        <x:v>BPSO</x:v>
      </x:c>
      <x:c r="C1435" s="2" t="n">
        <x:v>42</x:v>
      </x:c>
      <x:c r="D1435" s="2" t="str">
        <x:v>success</x:v>
      </x:c>
      <x:c r="E1435" s="2" t="n">
        <x:v>10</x:v>
      </x:c>
      <x:c r="F1435" s="7" t="n">
        <x:v>85</x:v>
      </x:c>
      <x:c r="G1435" s="7" t="n">
        <x:v>113.75</x:v>
      </x:c>
      <x:c r="H1435" s="7" t="n">
        <x:f>IF(F1435=0,"n.a.",100*(F1435-G1435)/F1435)</x:f>
        <x:v>-33.8235294117647</x:v>
      </x:c>
      <x:c r="I1435" s="7" t="n">
        <x:f>F1435-G1435</x:f>
        <x:v>-28.75</x:v>
      </x:c>
      <x:c r="J1435" s="8" t="n">
        <x:v>5.617952925668719</x:v>
      </x:c>
      <x:c r="K1435" s="8" t="n">
        <x:v>5.617952925668719</x:v>
      </x:c>
      <x:c r="L1435" s="8" t="n">
        <x:v>0</x:v>
      </x:c>
      <x:c r="M1435" s="7" t="n">
        <x:v>20.692399994004518</x:v>
      </x:c>
      <x:c r="N1435" s="2" t="str">
        <x:v>repository_particle_dynamics_on_frozen_qubo</x:v>
      </x:c>
      <x:c r="O1435" s="9" t="str">
        <x:v>0111111010</x:v>
      </x:c>
    </x:row>
    <x:row r="1436" ht="18" customHeight="1">
      <x:c r="A1436" s="2" t="str">
        <x:v>controlled_n6_distributed_peak_3</x:v>
      </x:c>
      <x:c r="B1436" s="2" t="str">
        <x:v>QAOA</x:v>
      </x:c>
      <x:c r="C1436" s="2" t="n">
        <x:v>42</x:v>
      </x:c>
      <x:c r="D1436" s="2" t="str">
        <x:v>success</x:v>
      </x:c>
      <x:c r="E1436" s="2" t="n">
        <x:v>10</x:v>
      </x:c>
      <x:c r="F1436" s="7" t="n">
        <x:v>85</x:v>
      </x:c>
      <x:c r="G1436" s="7" t="n">
        <x:v>113.75</x:v>
      </x:c>
      <x:c r="H1436" s="7" t="n">
        <x:f>IF(F1436=0,"n.a.",100*(F1436-G1436)/F1436)</x:f>
        <x:v>-33.8235294117647</x:v>
      </x:c>
      <x:c r="I1436" s="7" t="n">
        <x:f>F1436-G1436</x:f>
        <x:v>-28.75</x:v>
      </x:c>
      <x:c r="J1436" s="8" t="n">
        <x:v>5.61795292566872</x:v>
      </x:c>
      <x:c r="K1436" s="8" t="n">
        <x:v>5.617952925668719</x:v>
      </x:c>
      <x:c r="L1436" s="8" t="n">
        <x:v>8.881784197001252e-16</x:v>
      </x:c>
      <x:c r="M1436" s="7" t="n">
        <x:v>600.3791999974055</x:v>
      </x:c>
      <x:c r="N1436" s="2" t="str">
        <x:v>qiskit.primitives.StatevectorSampler</x:v>
      </x:c>
      <x:c r="O1436" s="9" t="str">
        <x:v>0111111010</x:v>
      </x:c>
    </x:row>
    <x:row r="1437" ht="18" customHeight="1">
      <x:c r="A1437" s="2" t="str">
        <x:v>controlled_n6_distributed_peak_3</x:v>
      </x:c>
      <x:c r="B1437" s="2" t="str">
        <x:v>BPSO</x:v>
      </x:c>
      <x:c r="C1437" s="2" t="n">
        <x:v>123</x:v>
      </x:c>
      <x:c r="D1437" s="2" t="str">
        <x:v>success</x:v>
      </x:c>
      <x:c r="E1437" s="2" t="n">
        <x:v>10</x:v>
      </x:c>
      <x:c r="F1437" s="7" t="n">
        <x:v>85</x:v>
      </x:c>
      <x:c r="G1437" s="7" t="n">
        <x:v>113.75</x:v>
      </x:c>
      <x:c r="H1437" s="7" t="n">
        <x:f>IF(F1437=0,"n.a.",100*(F1437-G1437)/F1437)</x:f>
        <x:v>-33.8235294117647</x:v>
      </x:c>
      <x:c r="I1437" s="7" t="n">
        <x:f>F1437-G1437</x:f>
        <x:v>-28.75</x:v>
      </x:c>
      <x:c r="J1437" s="8" t="n">
        <x:v>5.617952925668719</x:v>
      </x:c>
      <x:c r="K1437" s="8" t="n">
        <x:v>5.617952925668719</x:v>
      </x:c>
      <x:c r="L1437" s="8" t="n">
        <x:v>0</x:v>
      </x:c>
      <x:c r="M1437" s="7" t="n">
        <x:v>22.294399997917935</x:v>
      </x:c>
      <x:c r="N1437" s="2" t="str">
        <x:v>repository_particle_dynamics_on_frozen_qubo</x:v>
      </x:c>
      <x:c r="O1437" s="9" t="str">
        <x:v>1011111001</x:v>
      </x:c>
    </x:row>
    <x:row r="1438" ht="18" customHeight="1">
      <x:c r="A1438" s="2" t="str">
        <x:v>controlled_n6_distributed_peak_3</x:v>
      </x:c>
      <x:c r="B1438" s="2" t="str">
        <x:v>QAOA</x:v>
      </x:c>
      <x:c r="C1438" s="2" t="n">
        <x:v>123</x:v>
      </x:c>
      <x:c r="D1438" s="2" t="str">
        <x:v>success</x:v>
      </x:c>
      <x:c r="E1438" s="2" t="n">
        <x:v>10</x:v>
      </x:c>
      <x:c r="F1438" s="7" t="n">
        <x:v>85</x:v>
      </x:c>
      <x:c r="G1438" s="7" t="n">
        <x:v>113.75</x:v>
      </x:c>
      <x:c r="H1438" s="7" t="n">
        <x:f>IF(F1438=0,"n.a.",100*(F1438-G1438)/F1438)</x:f>
        <x:v>-33.8235294117647</x:v>
      </x:c>
      <x:c r="I1438" s="7" t="n">
        <x:f>F1438-G1438</x:f>
        <x:v>-28.75</x:v>
      </x:c>
      <x:c r="J1438" s="8" t="n">
        <x:v>5.61795292566872</x:v>
      </x:c>
      <x:c r="K1438" s="8" t="n">
        <x:v>5.617952925668719</x:v>
      </x:c>
      <x:c r="L1438" s="8" t="n">
        <x:v>8.881784197001252e-16</x:v>
      </x:c>
      <x:c r="M1438" s="7" t="n">
        <x:v>662.7973000140628</x:v>
      </x:c>
      <x:c r="N1438" s="2" t="str">
        <x:v>qiskit.primitives.StatevectorSampler</x:v>
      </x:c>
      <x:c r="O1438" s="9" t="str">
        <x:v>1111101100</x:v>
      </x:c>
    </x:row>
    <x:row r="1439" ht="18" customHeight="1">
      <x:c r="A1439" s="2" t="str">
        <x:v>controlled_n6_distributed_peak_3</x:v>
      </x:c>
      <x:c r="B1439" s="2" t="str">
        <x:v>BPSO</x:v>
      </x:c>
      <x:c r="C1439" s="2" t="n">
        <x:v>456</x:v>
      </x:c>
      <x:c r="D1439" s="2" t="str">
        <x:v>success</x:v>
      </x:c>
      <x:c r="E1439" s="2" t="n">
        <x:v>10</x:v>
      </x:c>
      <x:c r="F1439" s="7" t="n">
        <x:v>85</x:v>
      </x:c>
      <x:c r="G1439" s="7" t="n">
        <x:v>113.75</x:v>
      </x:c>
      <x:c r="H1439" s="7" t="n">
        <x:f>IF(F1439=0,"n.a.",100*(F1439-G1439)/F1439)</x:f>
        <x:v>-33.8235294117647</x:v>
      </x:c>
      <x:c r="I1439" s="7" t="n">
        <x:f>F1439-G1439</x:f>
        <x:v>-28.75</x:v>
      </x:c>
      <x:c r="J1439" s="8" t="n">
        <x:v>5.617952925668719</x:v>
      </x:c>
      <x:c r="K1439" s="8" t="n">
        <x:v>5.617952925668719</x:v>
      </x:c>
      <x:c r="L1439" s="8" t="n">
        <x:v>0</x:v>
      </x:c>
      <x:c r="M1439" s="7" t="n">
        <x:v>20.37919999565929</x:v>
      </x:c>
      <x:c r="N1439" s="2" t="str">
        <x:v>repository_particle_dynamics_on_frozen_qubo</x:v>
      </x:c>
      <x:c r="O1439" s="9" t="str">
        <x:v>1111011010</x:v>
      </x:c>
    </x:row>
    <x:row r="1440" ht="18" customHeight="1">
      <x:c r="A1440" s="2" t="str">
        <x:v>controlled_n6_distributed_peak_3</x:v>
      </x:c>
      <x:c r="B1440" s="2" t="str">
        <x:v>QAOA</x:v>
      </x:c>
      <x:c r="C1440" s="2" t="n">
        <x:v>456</x:v>
      </x:c>
      <x:c r="D1440" s="2" t="str">
        <x:v>success</x:v>
      </x:c>
      <x:c r="E1440" s="2" t="n">
        <x:v>10</x:v>
      </x:c>
      <x:c r="F1440" s="7" t="n">
        <x:v>85</x:v>
      </x:c>
      <x:c r="G1440" s="7" t="n">
        <x:v>113.75</x:v>
      </x:c>
      <x:c r="H1440" s="7" t="n">
        <x:f>IF(F1440=0,"n.a.",100*(F1440-G1440)/F1440)</x:f>
        <x:v>-33.8235294117647</x:v>
      </x:c>
      <x:c r="I1440" s="7" t="n">
        <x:f>F1440-G1440</x:f>
        <x:v>-28.75</x:v>
      </x:c>
      <x:c r="J1440" s="8" t="n">
        <x:v>5.61795292566872</x:v>
      </x:c>
      <x:c r="K1440" s="8" t="n">
        <x:v>5.617952925668719</x:v>
      </x:c>
      <x:c r="L1440" s="8" t="n">
        <x:v>8.881784197001252e-16</x:v>
      </x:c>
      <x:c r="M1440" s="7" t="n">
        <x:v>588.3514999877661</x:v>
      </x:c>
      <x:c r="N1440" s="2" t="str">
        <x:v>qiskit.primitives.StatevectorSampler</x:v>
      </x:c>
      <x:c r="O1440" s="9" t="str">
        <x:v>1011110101</x:v>
      </x:c>
    </x:row>
    <x:row r="1441" ht="18" customHeight="1">
      <x:c r="A1441" s="2" t="str">
        <x:v>controlled_n6_distributed_peak_3</x:v>
      </x:c>
      <x:c r="B1441" s="2" t="str">
        <x:v>BPSO</x:v>
      </x:c>
      <x:c r="C1441" s="2" t="n">
        <x:v>789</x:v>
      </x:c>
      <x:c r="D1441" s="2" t="str">
        <x:v>success</x:v>
      </x:c>
      <x:c r="E1441" s="2" t="n">
        <x:v>10</x:v>
      </x:c>
      <x:c r="F1441" s="7" t="n">
        <x:v>85</x:v>
      </x:c>
      <x:c r="G1441" s="7" t="n">
        <x:v>113.75</x:v>
      </x:c>
      <x:c r="H1441" s="7" t="n">
        <x:f>IF(F1441=0,"n.a.",100*(F1441-G1441)/F1441)</x:f>
        <x:v>-33.8235294117647</x:v>
      </x:c>
      <x:c r="I1441" s="7" t="n">
        <x:f>F1441-G1441</x:f>
        <x:v>-28.75</x:v>
      </x:c>
      <x:c r="J1441" s="8" t="n">
        <x:v>5.617952925668719</x:v>
      </x:c>
      <x:c r="K1441" s="8" t="n">
        <x:v>5.617952925668719</x:v>
      </x:c>
      <x:c r="L1441" s="8" t="n">
        <x:v>0</x:v>
      </x:c>
      <x:c r="M1441" s="7" t="n">
        <x:v>21.50170000095386</x:v>
      </x:c>
      <x:c r="N1441" s="2" t="str">
        <x:v>repository_particle_dynamics_on_frozen_qubo</x:v>
      </x:c>
      <x:c r="O1441" s="9" t="str">
        <x:v>1111010101</x:v>
      </x:c>
    </x:row>
    <x:row r="1442" ht="18" customHeight="1">
      <x:c r="A1442" s="2" t="str">
        <x:v>controlled_n6_distributed_peak_3</x:v>
      </x:c>
      <x:c r="B1442" s="2" t="str">
        <x:v>QAOA</x:v>
      </x:c>
      <x:c r="C1442" s="2" t="n">
        <x:v>789</x:v>
      </x:c>
      <x:c r="D1442" s="2" t="str">
        <x:v>success</x:v>
      </x:c>
      <x:c r="E1442" s="2" t="n">
        <x:v>10</x:v>
      </x:c>
      <x:c r="F1442" s="7" t="n">
        <x:v>85</x:v>
      </x:c>
      <x:c r="G1442" s="7" t="n">
        <x:v>113.75</x:v>
      </x:c>
      <x:c r="H1442" s="7" t="n">
        <x:f>IF(F1442=0,"n.a.",100*(F1442-G1442)/F1442)</x:f>
        <x:v>-33.8235294117647</x:v>
      </x:c>
      <x:c r="I1442" s="7" t="n">
        <x:f>F1442-G1442</x:f>
        <x:v>-28.75</x:v>
      </x:c>
      <x:c r="J1442" s="8" t="n">
        <x:v>5.61795292566872</x:v>
      </x:c>
      <x:c r="K1442" s="8" t="n">
        <x:v>5.617952925668719</x:v>
      </x:c>
      <x:c r="L1442" s="8" t="n">
        <x:v>8.881784197001252e-16</x:v>
      </x:c>
      <x:c r="M1442" s="7" t="n">
        <x:v>712.9940000013448</x:v>
      </x:c>
      <x:c r="N1442" s="2" t="str">
        <x:v>qiskit.primitives.StatevectorSampler</x:v>
      </x:c>
      <x:c r="O1442" s="9" t="str">
        <x:v>1111101001</x:v>
      </x:c>
    </x:row>
    <x:row r="1443" ht="18" customHeight="1">
      <x:c r="A1443" s="2" t="str">
        <x:v>controlled_n6_distributed_peak_3</x:v>
      </x:c>
      <x:c r="B1443" s="2" t="str">
        <x:v>BPSO</x:v>
      </x:c>
      <x:c r="C1443" s="2" t="n">
        <x:v>2026</x:v>
      </x:c>
      <x:c r="D1443" s="2" t="str">
        <x:v>success</x:v>
      </x:c>
      <x:c r="E1443" s="2" t="n">
        <x:v>10</x:v>
      </x:c>
      <x:c r="F1443" s="7" t="n">
        <x:v>85</x:v>
      </x:c>
      <x:c r="G1443" s="7" t="n">
        <x:v>113.75</x:v>
      </x:c>
      <x:c r="H1443" s="7" t="n">
        <x:f>IF(F1443=0,"n.a.",100*(F1443-G1443)/F1443)</x:f>
        <x:v>-33.8235294117647</x:v>
      </x:c>
      <x:c r="I1443" s="7" t="n">
        <x:f>F1443-G1443</x:f>
        <x:v>-28.75</x:v>
      </x:c>
      <x:c r="J1443" s="8" t="n">
        <x:v>5.617952925668719</x:v>
      </x:c>
      <x:c r="K1443" s="8" t="n">
        <x:v>5.617952925668719</x:v>
      </x:c>
      <x:c r="L1443" s="8" t="n">
        <x:v>0</x:v>
      </x:c>
      <x:c r="M1443" s="7" t="n">
        <x:v>21.59639999445062</x:v>
      </x:c>
      <x:c r="N1443" s="2" t="str">
        <x:v>repository_particle_dynamics_on_frozen_qubo</x:v>
      </x:c>
      <x:c r="O1443" s="9" t="str">
        <x:v>1111011010</x:v>
      </x:c>
    </x:row>
    <x:row r="1444" ht="18" customHeight="1">
      <x:c r="A1444" s="2" t="str">
        <x:v>controlled_n6_distributed_peak_3</x:v>
      </x:c>
      <x:c r="B1444" s="2" t="str">
        <x:v>QAOA</x:v>
      </x:c>
      <x:c r="C1444" s="2" t="n">
        <x:v>2026</x:v>
      </x:c>
      <x:c r="D1444" s="2" t="str">
        <x:v>success</x:v>
      </x:c>
      <x:c r="E1444" s="2" t="n">
        <x:v>10</x:v>
      </x:c>
      <x:c r="F1444" s="7" t="n">
        <x:v>85</x:v>
      </x:c>
      <x:c r="G1444" s="7" t="n">
        <x:v>113.75</x:v>
      </x:c>
      <x:c r="H1444" s="7" t="n">
        <x:f>IF(F1444=0,"n.a.",100*(F1444-G1444)/F1444)</x:f>
        <x:v>-33.8235294117647</x:v>
      </x:c>
      <x:c r="I1444" s="7" t="n">
        <x:f>F1444-G1444</x:f>
        <x:v>-28.75</x:v>
      </x:c>
      <x:c r="J1444" s="8" t="n">
        <x:v>5.61795292566872</x:v>
      </x:c>
      <x:c r="K1444" s="8" t="n">
        <x:v>5.617952925668719</x:v>
      </x:c>
      <x:c r="L1444" s="8" t="n">
        <x:v>8.881784197001252e-16</x:v>
      </x:c>
      <x:c r="M1444" s="7" t="n">
        <x:v>697.2773000015877</x:v>
      </x:c>
      <x:c r="N1444" s="2" t="str">
        <x:v>qiskit.primitives.StatevectorSampler</x:v>
      </x:c>
      <x:c r="O1444" s="9" t="str">
        <x:v>0111110110</x:v>
      </x:c>
    </x:row>
    <x:row r="1445" ht="18" customHeight="1">
      <x:c r="A1445" s="2" t="str">
        <x:v>controlled_n6_lane_closure_1</x:v>
      </x:c>
      <x:c r="B1445" s="2" t="str">
        <x:v>Unmanaged</x:v>
      </x:c>
      <x:c r="C1445" s="2"/>
      <x:c r="D1445" s="2" t="str">
        <x:v>baseline</x:v>
      </x:c>
      <x:c r="E1445" s="2" t="n">
        <x:v>0</x:v>
      </x:c>
      <x:c r="F1445" s="7" t="n">
        <x:v>55.00000000000001</x:v>
      </x:c>
      <x:c r="G1445" s="7" t="n">
        <x:v>55.00000000000001</x:v>
      </x:c>
      <x:c r="H1445" s="7" t="n">
        <x:f>IF(F1445=0,"n.a.",100*(F1445-G1445)/F1445)</x:f>
        <x:v>0</x:v>
      </x:c>
      <x:c r="I1445" s="7" t="n">
        <x:f>F1445-G1445</x:f>
        <x:v>0</x:v>
      </x:c>
      <x:c r="J1445" s="8"/>
      <x:c r="K1445" s="8" t="n">
        <x:v>0.11705185185185206</x:v>
      </x:c>
      <x:c r="L1445" s="8"/>
      <x:c r="M1445" s="7"/>
      <x:c r="N1445" s="2" t="str">
        <x:v>unmanaged_input</x:v>
      </x:c>
      <x:c r="O1445" s="9"/>
    </x:row>
    <x:row r="1446" ht="18" customHeight="1">
      <x:c r="A1446" s="2" t="str">
        <x:v>controlled_n6_lane_closure_1</x:v>
      </x:c>
      <x:c r="B1446" s="2" t="str">
        <x:v>Exact J</x:v>
      </x:c>
      <x:c r="C1446" s="2"/>
      <x:c r="D1446" s="2" t="str">
        <x:v>no_congestion</x:v>
      </x:c>
      <x:c r="E1446" s="2" t="n">
        <x:v>0</x:v>
      </x:c>
      <x:c r="F1446" s="7" t="n">
        <x:v>55.00000000000001</x:v>
      </x:c>
      <x:c r="G1446" s="7" t="n">
        <x:v>55.00000000000001</x:v>
      </x:c>
      <x:c r="H1446" s="7" t="n">
        <x:f>IF(F1446=0,"n.a.",100*(F1446-G1446)/F1446)</x:f>
        <x:v>0</x:v>
      </x:c>
      <x:c r="I1446" s="7" t="n">
        <x:f>F1446-G1446</x:f>
        <x:v>0</x:v>
      </x:c>
      <x:c r="J1446" s="8" t="n">
        <x:v>0.11705185185185206</x:v>
      </x:c>
      <x:c r="K1446" s="8" t="n">
        <x:v>0.11705185185185206</x:v>
      </x:c>
      <x:c r="L1446" s="8" t="n">
        <x:v>0</x:v>
      </x:c>
      <x:c r="M1446" s="7" t="n">
        <x:v>0</x:v>
      </x:c>
      <x:c r="N1446" s="2" t="str">
        <x:v>not_invoked</x:v>
      </x:c>
      <x:c r="O1446" s="9" t="str"/>
    </x:row>
    <x:row r="1447" ht="18" customHeight="1">
      <x:c r="A1447" s="2" t="str">
        <x:v>controlled_n6_lane_closure_1</x:v>
      </x:c>
      <x:c r="B1447" s="2" t="str">
        <x:v>Exact peak</x:v>
      </x:c>
      <x:c r="C1447" s="2"/>
      <x:c r="D1447" s="2" t="str">
        <x:v>no_congestion</x:v>
      </x:c>
      <x:c r="E1447" s="2" t="n">
        <x:v>0</x:v>
      </x:c>
      <x:c r="F1447" s="7" t="n">
        <x:v>55.00000000000001</x:v>
      </x:c>
      <x:c r="G1447" s="7" t="n">
        <x:v>55.00000000000001</x:v>
      </x:c>
      <x:c r="H1447" s="7" t="n">
        <x:f>IF(F1447=0,"n.a.",100*(F1447-G1447)/F1447)</x:f>
        <x:v>0</x:v>
      </x:c>
      <x:c r="I1447" s="7" t="n">
        <x:f>F1447-G1447</x:f>
        <x:v>0</x:v>
      </x:c>
      <x:c r="J1447" s="8" t="n">
        <x:v>0.11705185185185206</x:v>
      </x:c>
      <x:c r="K1447" s="8" t="n">
        <x:v>0.11705185185185206</x:v>
      </x:c>
      <x:c r="L1447" s="8" t="n">
        <x:v>0</x:v>
      </x:c>
      <x:c r="M1447" s="7" t="n">
        <x:v>0</x:v>
      </x:c>
      <x:c r="N1447" s="2" t="str">
        <x:v>not_invoked</x:v>
      </x:c>
      <x:c r="O1447" s="9" t="str"/>
    </x:row>
    <x:row r="1448" ht="18" customHeight="1">
      <x:c r="A1448" s="2" t="str">
        <x:v>controlled_n6_lane_closure_1</x:v>
      </x:c>
      <x:c r="B1448" s="2" t="str">
        <x:v>BPSO</x:v>
      </x:c>
      <x:c r="C1448" s="2" t="n">
        <x:v>42</x:v>
      </x:c>
      <x:c r="D1448" s="2" t="str">
        <x:v>no_congestion</x:v>
      </x:c>
      <x:c r="E1448" s="2" t="n">
        <x:v>0</x:v>
      </x:c>
      <x:c r="F1448" s="7" t="n">
        <x:v>55.00000000000001</x:v>
      </x:c>
      <x:c r="G1448" s="7" t="n">
        <x:v>55.00000000000001</x:v>
      </x:c>
      <x:c r="H1448" s="7" t="n">
        <x:f>IF(F1448=0,"n.a.",100*(F1448-G1448)/F1448)</x:f>
        <x:v>0</x:v>
      </x:c>
      <x:c r="I1448" s="7" t="n">
        <x:f>F1448-G1448</x:f>
        <x:v>0</x:v>
      </x:c>
      <x:c r="J1448" s="8" t="n">
        <x:v>0.11705185185185206</x:v>
      </x:c>
      <x:c r="K1448" s="8" t="n">
        <x:v>0.11705185185185206</x:v>
      </x:c>
      <x:c r="L1448" s="8" t="n">
        <x:v>0</x:v>
      </x:c>
      <x:c r="M1448" s="7" t="n">
        <x:v>0</x:v>
      </x:c>
      <x:c r="N1448" s="2" t="str">
        <x:v>not_invoked</x:v>
      </x:c>
      <x:c r="O1448" s="9" t="str"/>
    </x:row>
    <x:row r="1449" ht="18" customHeight="1">
      <x:c r="A1449" s="2" t="str">
        <x:v>controlled_n6_lane_closure_1</x:v>
      </x:c>
      <x:c r="B1449" s="2" t="str">
        <x:v>QAOA</x:v>
      </x:c>
      <x:c r="C1449" s="2" t="n">
        <x:v>42</x:v>
      </x:c>
      <x:c r="D1449" s="2" t="str">
        <x:v>no_congestion</x:v>
      </x:c>
      <x:c r="E1449" s="2" t="n">
        <x:v>0</x:v>
      </x:c>
      <x:c r="F1449" s="7" t="n">
        <x:v>55.00000000000001</x:v>
      </x:c>
      <x:c r="G1449" s="7" t="n">
        <x:v>55.00000000000001</x:v>
      </x:c>
      <x:c r="H1449" s="7" t="n">
        <x:f>IF(F1449=0,"n.a.",100*(F1449-G1449)/F1449)</x:f>
        <x:v>0</x:v>
      </x:c>
      <x:c r="I1449" s="7" t="n">
        <x:f>F1449-G1449</x:f>
        <x:v>0</x:v>
      </x:c>
      <x:c r="J1449" s="8" t="n">
        <x:v>0.11705185185185206</x:v>
      </x:c>
      <x:c r="K1449" s="8" t="n">
        <x:v>0.11705185185185206</x:v>
      </x:c>
      <x:c r="L1449" s="8" t="n">
        <x:v>0</x:v>
      </x:c>
      <x:c r="M1449" s="7" t="n">
        <x:v>0</x:v>
      </x:c>
      <x:c r="N1449" s="2" t="str">
        <x:v>not_invoked</x:v>
      </x:c>
      <x:c r="O1449" s="9" t="str"/>
    </x:row>
    <x:row r="1450" ht="18" customHeight="1">
      <x:c r="A1450" s="2" t="str">
        <x:v>controlled_n6_lane_closure_1</x:v>
      </x:c>
      <x:c r="B1450" s="2" t="str">
        <x:v>BPSO</x:v>
      </x:c>
      <x:c r="C1450" s="2" t="n">
        <x:v>123</x:v>
      </x:c>
      <x:c r="D1450" s="2" t="str">
        <x:v>no_congestion</x:v>
      </x:c>
      <x:c r="E1450" s="2" t="n">
        <x:v>0</x:v>
      </x:c>
      <x:c r="F1450" s="7" t="n">
        <x:v>55.00000000000001</x:v>
      </x:c>
      <x:c r="G1450" s="7" t="n">
        <x:v>55.00000000000001</x:v>
      </x:c>
      <x:c r="H1450" s="7" t="n">
        <x:f>IF(F1450=0,"n.a.",100*(F1450-G1450)/F1450)</x:f>
        <x:v>0</x:v>
      </x:c>
      <x:c r="I1450" s="7" t="n">
        <x:f>F1450-G1450</x:f>
        <x:v>0</x:v>
      </x:c>
      <x:c r="J1450" s="8" t="n">
        <x:v>0.11705185185185206</x:v>
      </x:c>
      <x:c r="K1450" s="8" t="n">
        <x:v>0.11705185185185206</x:v>
      </x:c>
      <x:c r="L1450" s="8" t="n">
        <x:v>0</x:v>
      </x:c>
      <x:c r="M1450" s="7" t="n">
        <x:v>0</x:v>
      </x:c>
      <x:c r="N1450" s="2" t="str">
        <x:v>not_invoked</x:v>
      </x:c>
      <x:c r="O1450" s="9" t="str"/>
    </x:row>
    <x:row r="1451" ht="18" customHeight="1">
      <x:c r="A1451" s="2" t="str">
        <x:v>controlled_n6_lane_closure_1</x:v>
      </x:c>
      <x:c r="B1451" s="2" t="str">
        <x:v>QAOA</x:v>
      </x:c>
      <x:c r="C1451" s="2" t="n">
        <x:v>123</x:v>
      </x:c>
      <x:c r="D1451" s="2" t="str">
        <x:v>no_congestion</x:v>
      </x:c>
      <x:c r="E1451" s="2" t="n">
        <x:v>0</x:v>
      </x:c>
      <x:c r="F1451" s="7" t="n">
        <x:v>55.00000000000001</x:v>
      </x:c>
      <x:c r="G1451" s="7" t="n">
        <x:v>55.00000000000001</x:v>
      </x:c>
      <x:c r="H1451" s="7" t="n">
        <x:f>IF(F1451=0,"n.a.",100*(F1451-G1451)/F1451)</x:f>
        <x:v>0</x:v>
      </x:c>
      <x:c r="I1451" s="7" t="n">
        <x:f>F1451-G1451</x:f>
        <x:v>0</x:v>
      </x:c>
      <x:c r="J1451" s="8" t="n">
        <x:v>0.11705185185185206</x:v>
      </x:c>
      <x:c r="K1451" s="8" t="n">
        <x:v>0.11705185185185206</x:v>
      </x:c>
      <x:c r="L1451" s="8" t="n">
        <x:v>0</x:v>
      </x:c>
      <x:c r="M1451" s="7" t="n">
        <x:v>0</x:v>
      </x:c>
      <x:c r="N1451" s="2" t="str">
        <x:v>not_invoked</x:v>
      </x:c>
      <x:c r="O1451" s="9" t="str"/>
    </x:row>
    <x:row r="1452" ht="18" customHeight="1">
      <x:c r="A1452" s="2" t="str">
        <x:v>controlled_n6_lane_closure_1</x:v>
      </x:c>
      <x:c r="B1452" s="2" t="str">
        <x:v>BPSO</x:v>
      </x:c>
      <x:c r="C1452" s="2" t="n">
        <x:v>456</x:v>
      </x:c>
      <x:c r="D1452" s="2" t="str">
        <x:v>no_congestion</x:v>
      </x:c>
      <x:c r="E1452" s="2" t="n">
        <x:v>0</x:v>
      </x:c>
      <x:c r="F1452" s="7" t="n">
        <x:v>55.00000000000001</x:v>
      </x:c>
      <x:c r="G1452" s="7" t="n">
        <x:v>55.00000000000001</x:v>
      </x:c>
      <x:c r="H1452" s="7" t="n">
        <x:f>IF(F1452=0,"n.a.",100*(F1452-G1452)/F1452)</x:f>
        <x:v>0</x:v>
      </x:c>
      <x:c r="I1452" s="7" t="n">
        <x:f>F1452-G1452</x:f>
        <x:v>0</x:v>
      </x:c>
      <x:c r="J1452" s="8" t="n">
        <x:v>0.11705185185185206</x:v>
      </x:c>
      <x:c r="K1452" s="8" t="n">
        <x:v>0.11705185185185206</x:v>
      </x:c>
      <x:c r="L1452" s="8" t="n">
        <x:v>0</x:v>
      </x:c>
      <x:c r="M1452" s="7" t="n">
        <x:v>0</x:v>
      </x:c>
      <x:c r="N1452" s="2" t="str">
        <x:v>not_invoked</x:v>
      </x:c>
      <x:c r="O1452" s="9" t="str"/>
    </x:row>
    <x:row r="1453" ht="18" customHeight="1">
      <x:c r="A1453" s="2" t="str">
        <x:v>controlled_n6_lane_closure_1</x:v>
      </x:c>
      <x:c r="B1453" s="2" t="str">
        <x:v>QAOA</x:v>
      </x:c>
      <x:c r="C1453" s="2" t="n">
        <x:v>456</x:v>
      </x:c>
      <x:c r="D1453" s="2" t="str">
        <x:v>no_congestion</x:v>
      </x:c>
      <x:c r="E1453" s="2" t="n">
        <x:v>0</x:v>
      </x:c>
      <x:c r="F1453" s="7" t="n">
        <x:v>55.00000000000001</x:v>
      </x:c>
      <x:c r="G1453" s="7" t="n">
        <x:v>55.00000000000001</x:v>
      </x:c>
      <x:c r="H1453" s="7" t="n">
        <x:f>IF(F1453=0,"n.a.",100*(F1453-G1453)/F1453)</x:f>
        <x:v>0</x:v>
      </x:c>
      <x:c r="I1453" s="7" t="n">
        <x:f>F1453-G1453</x:f>
        <x:v>0</x:v>
      </x:c>
      <x:c r="J1453" s="8" t="n">
        <x:v>0.11705185185185206</x:v>
      </x:c>
      <x:c r="K1453" s="8" t="n">
        <x:v>0.11705185185185206</x:v>
      </x:c>
      <x:c r="L1453" s="8" t="n">
        <x:v>0</x:v>
      </x:c>
      <x:c r="M1453" s="7" t="n">
        <x:v>0</x:v>
      </x:c>
      <x:c r="N1453" s="2" t="str">
        <x:v>not_invoked</x:v>
      </x:c>
      <x:c r="O1453" s="9" t="str"/>
    </x:row>
    <x:row r="1454" ht="18" customHeight="1">
      <x:c r="A1454" s="2" t="str">
        <x:v>controlled_n6_lane_closure_1</x:v>
      </x:c>
      <x:c r="B1454" s="2" t="str">
        <x:v>BPSO</x:v>
      </x:c>
      <x:c r="C1454" s="2" t="n">
        <x:v>789</x:v>
      </x:c>
      <x:c r="D1454" s="2" t="str">
        <x:v>no_congestion</x:v>
      </x:c>
      <x:c r="E1454" s="2" t="n">
        <x:v>0</x:v>
      </x:c>
      <x:c r="F1454" s="7" t="n">
        <x:v>55.00000000000001</x:v>
      </x:c>
      <x:c r="G1454" s="7" t="n">
        <x:v>55.00000000000001</x:v>
      </x:c>
      <x:c r="H1454" s="7" t="n">
        <x:f>IF(F1454=0,"n.a.",100*(F1454-G1454)/F1454)</x:f>
        <x:v>0</x:v>
      </x:c>
      <x:c r="I1454" s="7" t="n">
        <x:f>F1454-G1454</x:f>
        <x:v>0</x:v>
      </x:c>
      <x:c r="J1454" s="8" t="n">
        <x:v>0.11705185185185206</x:v>
      </x:c>
      <x:c r="K1454" s="8" t="n">
        <x:v>0.11705185185185206</x:v>
      </x:c>
      <x:c r="L1454" s="8" t="n">
        <x:v>0</x:v>
      </x:c>
      <x:c r="M1454" s="7" t="n">
        <x:v>0</x:v>
      </x:c>
      <x:c r="N1454" s="2" t="str">
        <x:v>not_invoked</x:v>
      </x:c>
      <x:c r="O1454" s="9" t="str"/>
    </x:row>
    <x:row r="1455" ht="18" customHeight="1">
      <x:c r="A1455" s="2" t="str">
        <x:v>controlled_n6_lane_closure_1</x:v>
      </x:c>
      <x:c r="B1455" s="2" t="str">
        <x:v>QAOA</x:v>
      </x:c>
      <x:c r="C1455" s="2" t="n">
        <x:v>789</x:v>
      </x:c>
      <x:c r="D1455" s="2" t="str">
        <x:v>no_congestion</x:v>
      </x:c>
      <x:c r="E1455" s="2" t="n">
        <x:v>0</x:v>
      </x:c>
      <x:c r="F1455" s="7" t="n">
        <x:v>55.00000000000001</x:v>
      </x:c>
      <x:c r="G1455" s="7" t="n">
        <x:v>55.00000000000001</x:v>
      </x:c>
      <x:c r="H1455" s="7" t="n">
        <x:f>IF(F1455=0,"n.a.",100*(F1455-G1455)/F1455)</x:f>
        <x:v>0</x:v>
      </x:c>
      <x:c r="I1455" s="7" t="n">
        <x:f>F1455-G1455</x:f>
        <x:v>0</x:v>
      </x:c>
      <x:c r="J1455" s="8" t="n">
        <x:v>0.11705185185185206</x:v>
      </x:c>
      <x:c r="K1455" s="8" t="n">
        <x:v>0.11705185185185206</x:v>
      </x:c>
      <x:c r="L1455" s="8" t="n">
        <x:v>0</x:v>
      </x:c>
      <x:c r="M1455" s="7" t="n">
        <x:v>0</x:v>
      </x:c>
      <x:c r="N1455" s="2" t="str">
        <x:v>not_invoked</x:v>
      </x:c>
      <x:c r="O1455" s="9" t="str"/>
    </x:row>
    <x:row r="1456" ht="18" customHeight="1">
      <x:c r="A1456" s="2" t="str">
        <x:v>controlled_n6_lane_closure_1</x:v>
      </x:c>
      <x:c r="B1456" s="2" t="str">
        <x:v>BPSO</x:v>
      </x:c>
      <x:c r="C1456" s="2" t="n">
        <x:v>2026</x:v>
      </x:c>
      <x:c r="D1456" s="2" t="str">
        <x:v>no_congestion</x:v>
      </x:c>
      <x:c r="E1456" s="2" t="n">
        <x:v>0</x:v>
      </x:c>
      <x:c r="F1456" s="7" t="n">
        <x:v>55.00000000000001</x:v>
      </x:c>
      <x:c r="G1456" s="7" t="n">
        <x:v>55.00000000000001</x:v>
      </x:c>
      <x:c r="H1456" s="7" t="n">
        <x:f>IF(F1456=0,"n.a.",100*(F1456-G1456)/F1456)</x:f>
        <x:v>0</x:v>
      </x:c>
      <x:c r="I1456" s="7" t="n">
        <x:f>F1456-G1456</x:f>
        <x:v>0</x:v>
      </x:c>
      <x:c r="J1456" s="8" t="n">
        <x:v>0.11705185185185206</x:v>
      </x:c>
      <x:c r="K1456" s="8" t="n">
        <x:v>0.11705185185185206</x:v>
      </x:c>
      <x:c r="L1456" s="8" t="n">
        <x:v>0</x:v>
      </x:c>
      <x:c r="M1456" s="7" t="n">
        <x:v>0</x:v>
      </x:c>
      <x:c r="N1456" s="2" t="str">
        <x:v>not_invoked</x:v>
      </x:c>
      <x:c r="O1456" s="9" t="str"/>
    </x:row>
    <x:row r="1457" ht="18" customHeight="1">
      <x:c r="A1457" s="2" t="str">
        <x:v>controlled_n6_lane_closure_1</x:v>
      </x:c>
      <x:c r="B1457" s="2" t="str">
        <x:v>QAOA</x:v>
      </x:c>
      <x:c r="C1457" s="2" t="n">
        <x:v>2026</x:v>
      </x:c>
      <x:c r="D1457" s="2" t="str">
        <x:v>no_congestion</x:v>
      </x:c>
      <x:c r="E1457" s="2" t="n">
        <x:v>0</x:v>
      </x:c>
      <x:c r="F1457" s="7" t="n">
        <x:v>55.00000000000001</x:v>
      </x:c>
      <x:c r="G1457" s="7" t="n">
        <x:v>55.00000000000001</x:v>
      </x:c>
      <x:c r="H1457" s="7" t="n">
        <x:f>IF(F1457=0,"n.a.",100*(F1457-G1457)/F1457)</x:f>
        <x:v>0</x:v>
      </x:c>
      <x:c r="I1457" s="7" t="n">
        <x:f>F1457-G1457</x:f>
        <x:v>0</x:v>
      </x:c>
      <x:c r="J1457" s="8" t="n">
        <x:v>0.11705185185185206</x:v>
      </x:c>
      <x:c r="K1457" s="8" t="n">
        <x:v>0.11705185185185206</x:v>
      </x:c>
      <x:c r="L1457" s="8" t="n">
        <x:v>0</x:v>
      </x:c>
      <x:c r="M1457" s="7" t="n">
        <x:v>0</x:v>
      </x:c>
      <x:c r="N1457" s="2" t="str">
        <x:v>not_invoked</x:v>
      </x:c>
      <x:c r="O1457" s="9" t="str"/>
    </x:row>
    <x:row r="1458" ht="18" customHeight="1">
      <x:c r="A1458" s="2" t="str">
        <x:v>controlled_n6_lane_closure_2</x:v>
      </x:c>
      <x:c r="B1458" s="2" t="str">
        <x:v>Unmanaged</x:v>
      </x:c>
      <x:c r="C1458" s="2"/>
      <x:c r="D1458" s="2" t="str">
        <x:v>baseline</x:v>
      </x:c>
      <x:c r="E1458" s="2" t="n">
        <x:v>3</x:v>
      </x:c>
      <x:c r="F1458" s="7" t="n">
        <x:v>73.33333333333333</x:v>
      </x:c>
      <x:c r="G1458" s="7" t="n">
        <x:v>73.33333333333333</x:v>
      </x:c>
      <x:c r="H1458" s="7" t="n">
        <x:f>IF(F1458=0,"n.a.",100*(F1458-G1458)/F1458)</x:f>
        <x:v>0</x:v>
      </x:c>
      <x:c r="I1458" s="7" t="n">
        <x:f>F1458-G1458</x:f>
        <x:v>0</x:v>
      </x:c>
      <x:c r="J1458" s="8"/>
      <x:c r="K1458" s="8" t="n">
        <x:v>0.4369807098765435</x:v>
      </x:c>
      <x:c r="L1458" s="8"/>
      <x:c r="M1458" s="7"/>
      <x:c r="N1458" s="2" t="str">
        <x:v>unmanaged_input</x:v>
      </x:c>
      <x:c r="O1458" s="9"/>
    </x:row>
    <x:row r="1459" ht="18" customHeight="1">
      <x:c r="A1459" s="2" t="str">
        <x:v>controlled_n6_lane_closure_2</x:v>
      </x:c>
      <x:c r="B1459" s="2" t="str">
        <x:v>Exact J</x:v>
      </x:c>
      <x:c r="C1459" s="2"/>
      <x:c r="D1459" s="2" t="str">
        <x:v>success</x:v>
      </x:c>
      <x:c r="E1459" s="2" t="n">
        <x:v>3</x:v>
      </x:c>
      <x:c r="F1459" s="7" t="n">
        <x:v>73.33333333333333</x:v>
      </x:c>
      <x:c r="G1459" s="7" t="n">
        <x:v>70</x:v>
      </x:c>
      <x:c r="H1459" s="7" t="n">
        <x:f>IF(F1459=0,"n.a.",100*(F1459-G1459)/F1459)</x:f>
        <x:v>4.54545454545454</x:v>
      </x:c>
      <x:c r="I1459" s="7" t="n">
        <x:f>F1459-G1459</x:f>
        <x:v>3.3333333333333286</x:v>
      </x:c>
      <x:c r="J1459" s="8" t="n">
        <x:v>0.4369807098765435</x:v>
      </x:c>
      <x:c r="K1459" s="8" t="n">
        <x:v>0.4369807098765435</x:v>
      </x:c>
      <x:c r="L1459" s="8" t="n">
        <x:v>0</x:v>
      </x:c>
      <x:c r="M1459" s="7"/>
      <x:c r="N1459" s="2" t="str">
        <x:v>exhaustive_enumeration</x:v>
      </x:c>
      <x:c r="O1459" s="9" t="str">
        <x:v>001</x:v>
      </x:c>
    </x:row>
    <x:row r="1460" ht="18" customHeight="1">
      <x:c r="A1460" s="2" t="str">
        <x:v>controlled_n6_lane_closure_2</x:v>
      </x:c>
      <x:c r="B1460" s="2" t="str">
        <x:v>Exact peak</x:v>
      </x:c>
      <x:c r="C1460" s="2"/>
      <x:c r="D1460" s="2" t="str">
        <x:v>success</x:v>
      </x:c>
      <x:c r="E1460" s="2" t="n">
        <x:v>3</x:v>
      </x:c>
      <x:c r="F1460" s="7" t="n">
        <x:v>73.33333333333333</x:v>
      </x:c>
      <x:c r="G1460" s="7" t="n">
        <x:v>70</x:v>
      </x:c>
      <x:c r="H1460" s="7" t="n">
        <x:f>IF(F1460=0,"n.a.",100*(F1460-G1460)/F1460)</x:f>
        <x:v>4.54545454545454</x:v>
      </x:c>
      <x:c r="I1460" s="7" t="n">
        <x:f>F1460-G1460</x:f>
        <x:v>3.3333333333333286</x:v>
      </x:c>
      <x:c r="J1460" s="8" t="n">
        <x:v>0.4369807098765435</x:v>
      </x:c>
      <x:c r="K1460" s="8" t="n">
        <x:v>0.4369807098765435</x:v>
      </x:c>
      <x:c r="L1460" s="8" t="n">
        <x:v>0</x:v>
      </x:c>
      <x:c r="M1460" s="7"/>
      <x:c r="N1460" s="2" t="str">
        <x:v>exhaustive_enumeration</x:v>
      </x:c>
      <x:c r="O1460" s="9" t="str">
        <x:v>001</x:v>
      </x:c>
    </x:row>
    <x:row r="1461" ht="18" customHeight="1">
      <x:c r="A1461" s="2" t="str">
        <x:v>controlled_n6_lane_closure_2</x:v>
      </x:c>
      <x:c r="B1461" s="2" t="str">
        <x:v>BPSO</x:v>
      </x:c>
      <x:c r="C1461" s="2" t="n">
        <x:v>42</x:v>
      </x:c>
      <x:c r="D1461" s="2" t="str">
        <x:v>success</x:v>
      </x:c>
      <x:c r="E1461" s="2" t="n">
        <x:v>3</x:v>
      </x:c>
      <x:c r="F1461" s="7" t="n">
        <x:v>73.33333333333333</x:v>
      </x:c>
      <x:c r="G1461" s="7" t="n">
        <x:v>70</x:v>
      </x:c>
      <x:c r="H1461" s="7" t="n">
        <x:f>IF(F1461=0,"n.a.",100*(F1461-G1461)/F1461)</x:f>
        <x:v>4.54545454545454</x:v>
      </x:c>
      <x:c r="I1461" s="7" t="n">
        <x:f>F1461-G1461</x:f>
        <x:v>3.3333333333333286</x:v>
      </x:c>
      <x:c r="J1461" s="8" t="n">
        <x:v>0.4369807098765435</x:v>
      </x:c>
      <x:c r="K1461" s="8" t="n">
        <x:v>0.4369807098765435</x:v>
      </x:c>
      <x:c r="L1461" s="8" t="n">
        <x:v>0</x:v>
      </x:c>
      <x:c r="M1461" s="7" t="n">
        <x:v>14.575900000636466</x:v>
      </x:c>
      <x:c r="N1461" s="2" t="str">
        <x:v>repository_particle_dynamics_on_frozen_qubo</x:v>
      </x:c>
      <x:c r="O1461" s="9" t="str">
        <x:v>100</x:v>
      </x:c>
    </x:row>
    <x:row r="1462" ht="18" customHeight="1">
      <x:c r="A1462" s="2" t="str">
        <x:v>controlled_n6_lane_closure_2</x:v>
      </x:c>
      <x:c r="B1462" s="2" t="str">
        <x:v>QAOA</x:v>
      </x:c>
      <x:c r="C1462" s="2" t="n">
        <x:v>42</x:v>
      </x:c>
      <x:c r="D1462" s="2" t="str">
        <x:v>success</x:v>
      </x:c>
      <x:c r="E1462" s="2" t="n">
        <x:v>3</x:v>
      </x:c>
      <x:c r="F1462" s="7" t="n">
        <x:v>73.33333333333333</x:v>
      </x:c>
      <x:c r="G1462" s="7" t="n">
        <x:v>70</x:v>
      </x:c>
      <x:c r="H1462" s="7" t="n">
        <x:f>IF(F1462=0,"n.a.",100*(F1462-G1462)/F1462)</x:f>
        <x:v>4.54545454545454</x:v>
      </x:c>
      <x:c r="I1462" s="7" t="n">
        <x:f>F1462-G1462</x:f>
        <x:v>3.3333333333333286</x:v>
      </x:c>
      <x:c r="J1462" s="8" t="n">
        <x:v>0.4369807098765435</x:v>
      </x:c>
      <x:c r="K1462" s="8" t="n">
        <x:v>0.4369807098765435</x:v>
      </x:c>
      <x:c r="L1462" s="8" t="n">
        <x:v>0</x:v>
      </x:c>
      <x:c r="M1462" s="7" t="n">
        <x:v>156.78639999532606</x:v>
      </x:c>
      <x:c r="N1462" s="2" t="str">
        <x:v>qiskit.primitives.StatevectorSampler</x:v>
      </x:c>
      <x:c r="O1462" s="9" t="str">
        <x:v>100</x:v>
      </x:c>
    </x:row>
    <x:row r="1463" ht="18" customHeight="1">
      <x:c r="A1463" s="2" t="str">
        <x:v>controlled_n6_lane_closure_2</x:v>
      </x:c>
      <x:c r="B1463" s="2" t="str">
        <x:v>BPSO</x:v>
      </x:c>
      <x:c r="C1463" s="2" t="n">
        <x:v>123</x:v>
      </x:c>
      <x:c r="D1463" s="2" t="str">
        <x:v>success</x:v>
      </x:c>
      <x:c r="E1463" s="2" t="n">
        <x:v>3</x:v>
      </x:c>
      <x:c r="F1463" s="7" t="n">
        <x:v>73.33333333333333</x:v>
      </x:c>
      <x:c r="G1463" s="7" t="n">
        <x:v>70</x:v>
      </x:c>
      <x:c r="H1463" s="7" t="n">
        <x:f>IF(F1463=0,"n.a.",100*(F1463-G1463)/F1463)</x:f>
        <x:v>4.54545454545454</x:v>
      </x:c>
      <x:c r="I1463" s="7" t="n">
        <x:f>F1463-G1463</x:f>
        <x:v>3.3333333333333286</x:v>
      </x:c>
      <x:c r="J1463" s="8" t="n">
        <x:v>0.4369807098765435</x:v>
      </x:c>
      <x:c r="K1463" s="8" t="n">
        <x:v>0.4369807098765435</x:v>
      </x:c>
      <x:c r="L1463" s="8" t="n">
        <x:v>0</x:v>
      </x:c>
      <x:c r="M1463" s="7" t="n">
        <x:v>13.844499990227632</x:v>
      </x:c>
      <x:c r="N1463" s="2" t="str">
        <x:v>repository_particle_dynamics_on_frozen_qubo</x:v>
      </x:c>
      <x:c r="O1463" s="9" t="str">
        <x:v>100</x:v>
      </x:c>
    </x:row>
    <x:row r="1464" ht="18" customHeight="1">
      <x:c r="A1464" s="2" t="str">
        <x:v>controlled_n6_lane_closure_2</x:v>
      </x:c>
      <x:c r="B1464" s="2" t="str">
        <x:v>QAOA</x:v>
      </x:c>
      <x:c r="C1464" s="2" t="n">
        <x:v>123</x:v>
      </x:c>
      <x:c r="D1464" s="2" t="str">
        <x:v>success</x:v>
      </x:c>
      <x:c r="E1464" s="2" t="n">
        <x:v>3</x:v>
      </x:c>
      <x:c r="F1464" s="7" t="n">
        <x:v>73.33333333333333</x:v>
      </x:c>
      <x:c r="G1464" s="7" t="n">
        <x:v>70</x:v>
      </x:c>
      <x:c r="H1464" s="7" t="n">
        <x:f>IF(F1464=0,"n.a.",100*(F1464-G1464)/F1464)</x:f>
        <x:v>4.54545454545454</x:v>
      </x:c>
      <x:c r="I1464" s="7" t="n">
        <x:f>F1464-G1464</x:f>
        <x:v>3.3333333333333286</x:v>
      </x:c>
      <x:c r="J1464" s="8" t="n">
        <x:v>0.4369807098765435</x:v>
      </x:c>
      <x:c r="K1464" s="8" t="n">
        <x:v>0.4369807098765435</x:v>
      </x:c>
      <x:c r="L1464" s="8" t="n">
        <x:v>0</x:v>
      </x:c>
      <x:c r="M1464" s="7" t="n">
        <x:v>235.73639999085572</x:v>
      </x:c>
      <x:c r="N1464" s="2" t="str">
        <x:v>qiskit.primitives.StatevectorSampler</x:v>
      </x:c>
      <x:c r="O1464" s="9" t="str">
        <x:v>010</x:v>
      </x:c>
    </x:row>
    <x:row r="1465" ht="18" customHeight="1">
      <x:c r="A1465" s="2" t="str">
        <x:v>controlled_n6_lane_closure_2</x:v>
      </x:c>
      <x:c r="B1465" s="2" t="str">
        <x:v>BPSO</x:v>
      </x:c>
      <x:c r="C1465" s="2" t="n">
        <x:v>456</x:v>
      </x:c>
      <x:c r="D1465" s="2" t="str">
        <x:v>success</x:v>
      </x:c>
      <x:c r="E1465" s="2" t="n">
        <x:v>3</x:v>
      </x:c>
      <x:c r="F1465" s="7" t="n">
        <x:v>73.33333333333333</x:v>
      </x:c>
      <x:c r="G1465" s="7" t="n">
        <x:v>70</x:v>
      </x:c>
      <x:c r="H1465" s="7" t="n">
        <x:f>IF(F1465=0,"n.a.",100*(F1465-G1465)/F1465)</x:f>
        <x:v>4.54545454545454</x:v>
      </x:c>
      <x:c r="I1465" s="7" t="n">
        <x:f>F1465-G1465</x:f>
        <x:v>3.3333333333333286</x:v>
      </x:c>
      <x:c r="J1465" s="8" t="n">
        <x:v>0.4369807098765435</x:v>
      </x:c>
      <x:c r="K1465" s="8" t="n">
        <x:v>0.4369807098765435</x:v>
      </x:c>
      <x:c r="L1465" s="8" t="n">
        <x:v>0</x:v>
      </x:c>
      <x:c r="M1465" s="7" t="n">
        <x:v>14.63750000402797</x:v>
      </x:c>
      <x:c r="N1465" s="2" t="str">
        <x:v>repository_particle_dynamics_on_frozen_qubo</x:v>
      </x:c>
      <x:c r="O1465" s="9" t="str">
        <x:v>010</x:v>
      </x:c>
    </x:row>
    <x:row r="1466" ht="18" customHeight="1">
      <x:c r="A1466" s="2" t="str">
        <x:v>controlled_n6_lane_closure_2</x:v>
      </x:c>
      <x:c r="B1466" s="2" t="str">
        <x:v>QAOA</x:v>
      </x:c>
      <x:c r="C1466" s="2" t="n">
        <x:v>456</x:v>
      </x:c>
      <x:c r="D1466" s="2" t="str">
        <x:v>success</x:v>
      </x:c>
      <x:c r="E1466" s="2" t="n">
        <x:v>3</x:v>
      </x:c>
      <x:c r="F1466" s="7" t="n">
        <x:v>73.33333333333333</x:v>
      </x:c>
      <x:c r="G1466" s="7" t="n">
        <x:v>70</x:v>
      </x:c>
      <x:c r="H1466" s="7" t="n">
        <x:f>IF(F1466=0,"n.a.",100*(F1466-G1466)/F1466)</x:f>
        <x:v>4.54545454545454</x:v>
      </x:c>
      <x:c r="I1466" s="7" t="n">
        <x:f>F1466-G1466</x:f>
        <x:v>3.3333333333333286</x:v>
      </x:c>
      <x:c r="J1466" s="8" t="n">
        <x:v>0.4369807098765435</x:v>
      </x:c>
      <x:c r="K1466" s="8" t="n">
        <x:v>0.4369807098765435</x:v>
      </x:c>
      <x:c r="L1466" s="8" t="n">
        <x:v>0</x:v>
      </x:c>
      <x:c r="M1466" s="7" t="n">
        <x:v>160.96149999066256</x:v>
      </x:c>
      <x:c r="N1466" s="2" t="str">
        <x:v>qiskit.primitives.StatevectorSampler</x:v>
      </x:c>
      <x:c r="O1466" s="9" t="str">
        <x:v>100</x:v>
      </x:c>
    </x:row>
    <x:row r="1467" ht="18" customHeight="1">
      <x:c r="A1467" s="2" t="str">
        <x:v>controlled_n6_lane_closure_2</x:v>
      </x:c>
      <x:c r="B1467" s="2" t="str">
        <x:v>BPSO</x:v>
      </x:c>
      <x:c r="C1467" s="2" t="n">
        <x:v>789</x:v>
      </x:c>
      <x:c r="D1467" s="2" t="str">
        <x:v>success</x:v>
      </x:c>
      <x:c r="E1467" s="2" t="n">
        <x:v>3</x:v>
      </x:c>
      <x:c r="F1467" s="7" t="n">
        <x:v>73.33333333333333</x:v>
      </x:c>
      <x:c r="G1467" s="7" t="n">
        <x:v>70</x:v>
      </x:c>
      <x:c r="H1467" s="7" t="n">
        <x:f>IF(F1467=0,"n.a.",100*(F1467-G1467)/F1467)</x:f>
        <x:v>4.54545454545454</x:v>
      </x:c>
      <x:c r="I1467" s="7" t="n">
        <x:f>F1467-G1467</x:f>
        <x:v>3.3333333333333286</x:v>
      </x:c>
      <x:c r="J1467" s="8" t="n">
        <x:v>0.4369807098765435</x:v>
      </x:c>
      <x:c r="K1467" s="8" t="n">
        <x:v>0.4369807098765435</x:v>
      </x:c>
      <x:c r="L1467" s="8" t="n">
        <x:v>0</x:v>
      </x:c>
      <x:c r="M1467" s="7" t="n">
        <x:v>13.917000003857538</x:v>
      </x:c>
      <x:c r="N1467" s="2" t="str">
        <x:v>repository_particle_dynamics_on_frozen_qubo</x:v>
      </x:c>
      <x:c r="O1467" s="9" t="str">
        <x:v>001</x:v>
      </x:c>
    </x:row>
    <x:row r="1468" ht="18" customHeight="1">
      <x:c r="A1468" s="2" t="str">
        <x:v>controlled_n6_lane_closure_2</x:v>
      </x:c>
      <x:c r="B1468" s="2" t="str">
        <x:v>QAOA</x:v>
      </x:c>
      <x:c r="C1468" s="2" t="n">
        <x:v>789</x:v>
      </x:c>
      <x:c r="D1468" s="2" t="str">
        <x:v>success</x:v>
      </x:c>
      <x:c r="E1468" s="2" t="n">
        <x:v>3</x:v>
      </x:c>
      <x:c r="F1468" s="7" t="n">
        <x:v>73.33333333333333</x:v>
      </x:c>
      <x:c r="G1468" s="7" t="n">
        <x:v>70</x:v>
      </x:c>
      <x:c r="H1468" s="7" t="n">
        <x:f>IF(F1468=0,"n.a.",100*(F1468-G1468)/F1468)</x:f>
        <x:v>4.54545454545454</x:v>
      </x:c>
      <x:c r="I1468" s="7" t="n">
        <x:f>F1468-G1468</x:f>
        <x:v>3.3333333333333286</x:v>
      </x:c>
      <x:c r="J1468" s="8" t="n">
        <x:v>0.4369807098765435</x:v>
      </x:c>
      <x:c r="K1468" s="8" t="n">
        <x:v>0.4369807098765435</x:v>
      </x:c>
      <x:c r="L1468" s="8" t="n">
        <x:v>0</x:v>
      </x:c>
      <x:c r="M1468" s="7" t="n">
        <x:v>152.80370000982657</x:v>
      </x:c>
      <x:c r="N1468" s="2" t="str">
        <x:v>qiskit.primitives.StatevectorSampler</x:v>
      </x:c>
      <x:c r="O1468" s="9" t="str">
        <x:v>100</x:v>
      </x:c>
    </x:row>
    <x:row r="1469" ht="18" customHeight="1">
      <x:c r="A1469" s="2" t="str">
        <x:v>controlled_n6_lane_closure_2</x:v>
      </x:c>
      <x:c r="B1469" s="2" t="str">
        <x:v>BPSO</x:v>
      </x:c>
      <x:c r="C1469" s="2" t="n">
        <x:v>2026</x:v>
      </x:c>
      <x:c r="D1469" s="2" t="str">
        <x:v>success</x:v>
      </x:c>
      <x:c r="E1469" s="2" t="n">
        <x:v>3</x:v>
      </x:c>
      <x:c r="F1469" s="7" t="n">
        <x:v>73.33333333333333</x:v>
      </x:c>
      <x:c r="G1469" s="7" t="n">
        <x:v>70</x:v>
      </x:c>
      <x:c r="H1469" s="7" t="n">
        <x:f>IF(F1469=0,"n.a.",100*(F1469-G1469)/F1469)</x:f>
        <x:v>4.54545454545454</x:v>
      </x:c>
      <x:c r="I1469" s="7" t="n">
        <x:f>F1469-G1469</x:f>
        <x:v>3.3333333333333286</x:v>
      </x:c>
      <x:c r="J1469" s="8" t="n">
        <x:v>0.4369807098765435</x:v>
      </x:c>
      <x:c r="K1469" s="8" t="n">
        <x:v>0.4369807098765435</x:v>
      </x:c>
      <x:c r="L1469" s="8" t="n">
        <x:v>0</x:v>
      </x:c>
      <x:c r="M1469" s="7" t="n">
        <x:v>14.623799987020902</x:v>
      </x:c>
      <x:c r="N1469" s="2" t="str">
        <x:v>repository_particle_dynamics_on_frozen_qubo</x:v>
      </x:c>
      <x:c r="O1469" s="9" t="str">
        <x:v>010</x:v>
      </x:c>
    </x:row>
    <x:row r="1470" ht="18" customHeight="1">
      <x:c r="A1470" s="2" t="str">
        <x:v>controlled_n6_lane_closure_2</x:v>
      </x:c>
      <x:c r="B1470" s="2" t="str">
        <x:v>QAOA</x:v>
      </x:c>
      <x:c r="C1470" s="2" t="n">
        <x:v>2026</x:v>
      </x:c>
      <x:c r="D1470" s="2" t="str">
        <x:v>success</x:v>
      </x:c>
      <x:c r="E1470" s="2" t="n">
        <x:v>3</x:v>
      </x:c>
      <x:c r="F1470" s="7" t="n">
        <x:v>73.33333333333333</x:v>
      </x:c>
      <x:c r="G1470" s="7" t="n">
        <x:v>70</x:v>
      </x:c>
      <x:c r="H1470" s="7" t="n">
        <x:f>IF(F1470=0,"n.a.",100*(F1470-G1470)/F1470)</x:f>
        <x:v>4.54545454545454</x:v>
      </x:c>
      <x:c r="I1470" s="7" t="n">
        <x:f>F1470-G1470</x:f>
        <x:v>3.3333333333333286</x:v>
      </x:c>
      <x:c r="J1470" s="8" t="n">
        <x:v>0.4369807098765435</x:v>
      </x:c>
      <x:c r="K1470" s="8" t="n">
        <x:v>0.4369807098765435</x:v>
      </x:c>
      <x:c r="L1470" s="8" t="n">
        <x:v>0</x:v>
      </x:c>
      <x:c r="M1470" s="7" t="n">
        <x:v>157.43330000259448</x:v>
      </x:c>
      <x:c r="N1470" s="2" t="str">
        <x:v>qiskit.primitives.StatevectorSampler</x:v>
      </x:c>
      <x:c r="O1470" s="9" t="str">
        <x:v>100</x:v>
      </x:c>
    </x:row>
    <x:row r="1471" ht="18" customHeight="1">
      <x:c r="A1471" s="2" t="str">
        <x:v>controlled_n6_lane_closure_3</x:v>
      </x:c>
      <x:c r="B1471" s="2" t="str">
        <x:v>Unmanaged</x:v>
      </x:c>
      <x:c r="C1471" s="2"/>
      <x:c r="D1471" s="2" t="str">
        <x:v>baseline</x:v>
      </x:c>
      <x:c r="E1471" s="2" t="n">
        <x:v>5</x:v>
      </x:c>
      <x:c r="F1471" s="7" t="n">
        <x:v>110.00000000000001</x:v>
      </x:c>
      <x:c r="G1471" s="7" t="n">
        <x:v>110.00000000000001</x:v>
      </x:c>
      <x:c r="H1471" s="7" t="n">
        <x:f>IF(F1471=0,"n.a.",100*(F1471-G1471)/F1471)</x:f>
        <x:v>0</x:v>
      </x:c>
      <x:c r="I1471" s="7" t="n">
        <x:f>F1471-G1471</x:f>
        <x:v>0</x:v>
      </x:c>
      <x:c r="J1471" s="8"/>
      <x:c r="K1471" s="8" t="n">
        <x:v>0.8370025720164617</x:v>
      </x:c>
      <x:c r="L1471" s="8"/>
      <x:c r="M1471" s="7"/>
      <x:c r="N1471" s="2" t="str">
        <x:v>unmanaged_input</x:v>
      </x:c>
      <x:c r="O1471" s="9"/>
    </x:row>
    <x:row r="1472" ht="18" customHeight="1">
      <x:c r="A1472" s="2" t="str">
        <x:v>controlled_n6_lane_closure_3</x:v>
      </x:c>
      <x:c r="B1472" s="2" t="str">
        <x:v>Exact J</x:v>
      </x:c>
      <x:c r="C1472" s="2"/>
      <x:c r="D1472" s="2" t="str">
        <x:v>success</x:v>
      </x:c>
      <x:c r="E1472" s="2" t="n">
        <x:v>5</x:v>
      </x:c>
      <x:c r="F1472" s="7" t="n">
        <x:v>110.00000000000001</x:v>
      </x:c>
      <x:c r="G1472" s="7" t="n">
        <x:v>77.5</x:v>
      </x:c>
      <x:c r="H1472" s="7" t="n">
        <x:f>IF(F1472=0,"n.a.",100*(F1472-G1472)/F1472)</x:f>
        <x:v>29.545454545454554</x:v>
      </x:c>
      <x:c r="I1472" s="7" t="n">
        <x:f>F1472-G1472</x:f>
        <x:v>32.500000000000014</x:v>
      </x:c>
      <x:c r="J1472" s="8" t="n">
        <x:v>0.8370025720164617</x:v>
      </x:c>
      <x:c r="K1472" s="8" t="n">
        <x:v>0.8370025720164617</x:v>
      </x:c>
      <x:c r="L1472" s="8" t="n">
        <x:v>0</x:v>
      </x:c>
      <x:c r="M1472" s="7"/>
      <x:c r="N1472" s="2" t="str">
        <x:v>exhaustive_enumeration</x:v>
      </x:c>
      <x:c r="O1472" s="9" t="str">
        <x:v>00011</x:v>
      </x:c>
    </x:row>
    <x:row r="1473" ht="18" customHeight="1">
      <x:c r="A1473" s="2" t="str">
        <x:v>controlled_n6_lane_closure_3</x:v>
      </x:c>
      <x:c r="B1473" s="2" t="str">
        <x:v>Exact peak</x:v>
      </x:c>
      <x:c r="C1473" s="2"/>
      <x:c r="D1473" s="2" t="str">
        <x:v>success</x:v>
      </x:c>
      <x:c r="E1473" s="2" t="n">
        <x:v>5</x:v>
      </x:c>
      <x:c r="F1473" s="7" t="n">
        <x:v>110.00000000000001</x:v>
      </x:c>
      <x:c r="G1473" s="7" t="n">
        <x:v>77.5</x:v>
      </x:c>
      <x:c r="H1473" s="7" t="n">
        <x:f>IF(F1473=0,"n.a.",100*(F1473-G1473)/F1473)</x:f>
        <x:v>29.545454545454554</x:v>
      </x:c>
      <x:c r="I1473" s="7" t="n">
        <x:f>F1473-G1473</x:f>
        <x:v>32.500000000000014</x:v>
      </x:c>
      <x:c r="J1473" s="8" t="n">
        <x:v>0.8370025720164617</x:v>
      </x:c>
      <x:c r="K1473" s="8" t="n">
        <x:v>0.8370025720164617</x:v>
      </x:c>
      <x:c r="L1473" s="8" t="n">
        <x:v>0</x:v>
      </x:c>
      <x:c r="M1473" s="7"/>
      <x:c r="N1473" s="2" t="str">
        <x:v>exhaustive_enumeration</x:v>
      </x:c>
      <x:c r="O1473" s="9" t="str">
        <x:v>00011</x:v>
      </x:c>
    </x:row>
    <x:row r="1474" ht="18" customHeight="1">
      <x:c r="A1474" s="2" t="str">
        <x:v>controlled_n6_lane_closure_3</x:v>
      </x:c>
      <x:c r="B1474" s="2" t="str">
        <x:v>BPSO</x:v>
      </x:c>
      <x:c r="C1474" s="2" t="n">
        <x:v>42</x:v>
      </x:c>
      <x:c r="D1474" s="2" t="str">
        <x:v>success</x:v>
      </x:c>
      <x:c r="E1474" s="2" t="n">
        <x:v>5</x:v>
      </x:c>
      <x:c r="F1474" s="7" t="n">
        <x:v>110.00000000000001</x:v>
      </x:c>
      <x:c r="G1474" s="7" t="n">
        <x:v>77.5</x:v>
      </x:c>
      <x:c r="H1474" s="7" t="n">
        <x:f>IF(F1474=0,"n.a.",100*(F1474-G1474)/F1474)</x:f>
        <x:v>29.545454545454554</x:v>
      </x:c>
      <x:c r="I1474" s="7" t="n">
        <x:f>F1474-G1474</x:f>
        <x:v>32.500000000000014</x:v>
      </x:c>
      <x:c r="J1474" s="8" t="n">
        <x:v>0.8370025720164617</x:v>
      </x:c>
      <x:c r="K1474" s="8" t="n">
        <x:v>0.8370025720164617</x:v>
      </x:c>
      <x:c r="L1474" s="8" t="n">
        <x:v>0</x:v>
      </x:c>
      <x:c r="M1474" s="7" t="n">
        <x:v>14.794399990933016</x:v>
      </x:c>
      <x:c r="N1474" s="2" t="str">
        <x:v>repository_particle_dynamics_on_frozen_qubo</x:v>
      </x:c>
      <x:c r="O1474" s="9" t="str">
        <x:v>11000</x:v>
      </x:c>
    </x:row>
    <x:row r="1475" ht="18" customHeight="1">
      <x:c r="A1475" s="2" t="str">
        <x:v>controlled_n6_lane_closure_3</x:v>
      </x:c>
      <x:c r="B1475" s="2" t="str">
        <x:v>QAOA</x:v>
      </x:c>
      <x:c r="C1475" s="2" t="n">
        <x:v>42</x:v>
      </x:c>
      <x:c r="D1475" s="2" t="str">
        <x:v>success</x:v>
      </x:c>
      <x:c r="E1475" s="2" t="n">
        <x:v>5</x:v>
      </x:c>
      <x:c r="F1475" s="7" t="n">
        <x:v>110.00000000000001</x:v>
      </x:c>
      <x:c r="G1475" s="7" t="n">
        <x:v>77.5</x:v>
      </x:c>
      <x:c r="H1475" s="7" t="n">
        <x:f>IF(F1475=0,"n.a.",100*(F1475-G1475)/F1475)</x:f>
        <x:v>29.545454545454554</x:v>
      </x:c>
      <x:c r="I1475" s="7" t="n">
        <x:f>F1475-G1475</x:f>
        <x:v>32.500000000000014</x:v>
      </x:c>
      <x:c r="J1475" s="8" t="n">
        <x:v>0.8370025720164617</x:v>
      </x:c>
      <x:c r="K1475" s="8" t="n">
        <x:v>0.8370025720164617</x:v>
      </x:c>
      <x:c r="L1475" s="8" t="n">
        <x:v>0</x:v>
      </x:c>
      <x:c r="M1475" s="7" t="n">
        <x:v>252.53899999370333</x:v>
      </x:c>
      <x:c r="N1475" s="2" t="str">
        <x:v>qiskit.primitives.StatevectorSampler</x:v>
      </x:c>
      <x:c r="O1475" s="9" t="str">
        <x:v>00011</x:v>
      </x:c>
    </x:row>
    <x:row r="1476" ht="18" customHeight="1">
      <x:c r="A1476" s="2" t="str">
        <x:v>controlled_n6_lane_closure_3</x:v>
      </x:c>
      <x:c r="B1476" s="2" t="str">
        <x:v>BPSO</x:v>
      </x:c>
      <x:c r="C1476" s="2" t="n">
        <x:v>123</x:v>
      </x:c>
      <x:c r="D1476" s="2" t="str">
        <x:v>success</x:v>
      </x:c>
      <x:c r="E1476" s="2" t="n">
        <x:v>5</x:v>
      </x:c>
      <x:c r="F1476" s="7" t="n">
        <x:v>110.00000000000001</x:v>
      </x:c>
      <x:c r="G1476" s="7" t="n">
        <x:v>77.5</x:v>
      </x:c>
      <x:c r="H1476" s="7" t="n">
        <x:f>IF(F1476=0,"n.a.",100*(F1476-G1476)/F1476)</x:f>
        <x:v>29.545454545454554</x:v>
      </x:c>
      <x:c r="I1476" s="7" t="n">
        <x:f>F1476-G1476</x:f>
        <x:v>32.500000000000014</x:v>
      </x:c>
      <x:c r="J1476" s="8" t="n">
        <x:v>0.8370025720164617</x:v>
      </x:c>
      <x:c r="K1476" s="8" t="n">
        <x:v>0.8370025720164617</x:v>
      </x:c>
      <x:c r="L1476" s="8" t="n">
        <x:v>0</x:v>
      </x:c>
      <x:c r="M1476" s="7" t="n">
        <x:v>14.752999995835125</x:v>
      </x:c>
      <x:c r="N1476" s="2" t="str">
        <x:v>repository_particle_dynamics_on_frozen_qubo</x:v>
      </x:c>
      <x:c r="O1476" s="9" t="str">
        <x:v>01010</x:v>
      </x:c>
    </x:row>
    <x:row r="1477" ht="18" customHeight="1">
      <x:c r="A1477" s="2" t="str">
        <x:v>controlled_n6_lane_closure_3</x:v>
      </x:c>
      <x:c r="B1477" s="2" t="str">
        <x:v>QAOA</x:v>
      </x:c>
      <x:c r="C1477" s="2" t="n">
        <x:v>123</x:v>
      </x:c>
      <x:c r="D1477" s="2" t="str">
        <x:v>success</x:v>
      </x:c>
      <x:c r="E1477" s="2" t="n">
        <x:v>5</x:v>
      </x:c>
      <x:c r="F1477" s="7" t="n">
        <x:v>110.00000000000001</x:v>
      </x:c>
      <x:c r="G1477" s="7" t="n">
        <x:v>77.5</x:v>
      </x:c>
      <x:c r="H1477" s="7" t="n">
        <x:f>IF(F1477=0,"n.a.",100*(F1477-G1477)/F1477)</x:f>
        <x:v>29.545454545454554</x:v>
      </x:c>
      <x:c r="I1477" s="7" t="n">
        <x:f>F1477-G1477</x:f>
        <x:v>32.500000000000014</x:v>
      </x:c>
      <x:c r="J1477" s="8" t="n">
        <x:v>0.8370025720164617</x:v>
      </x:c>
      <x:c r="K1477" s="8" t="n">
        <x:v>0.8370025720164617</x:v>
      </x:c>
      <x:c r="L1477" s="8" t="n">
        <x:v>0</x:v>
      </x:c>
      <x:c r="M1477" s="7" t="n">
        <x:v>218.32060000451747</x:v>
      </x:c>
      <x:c r="N1477" s="2" t="str">
        <x:v>qiskit.primitives.StatevectorSampler</x:v>
      </x:c>
      <x:c r="O1477" s="9" t="str">
        <x:v>01100</x:v>
      </x:c>
    </x:row>
    <x:row r="1478" ht="18" customHeight="1">
      <x:c r="A1478" s="2" t="str">
        <x:v>controlled_n6_lane_closure_3</x:v>
      </x:c>
      <x:c r="B1478" s="2" t="str">
        <x:v>BPSO</x:v>
      </x:c>
      <x:c r="C1478" s="2" t="n">
        <x:v>456</x:v>
      </x:c>
      <x:c r="D1478" s="2" t="str">
        <x:v>success</x:v>
      </x:c>
      <x:c r="E1478" s="2" t="n">
        <x:v>5</x:v>
      </x:c>
      <x:c r="F1478" s="7" t="n">
        <x:v>110.00000000000001</x:v>
      </x:c>
      <x:c r="G1478" s="7" t="n">
        <x:v>77.5</x:v>
      </x:c>
      <x:c r="H1478" s="7" t="n">
        <x:f>IF(F1478=0,"n.a.",100*(F1478-G1478)/F1478)</x:f>
        <x:v>29.545454545454554</x:v>
      </x:c>
      <x:c r="I1478" s="7" t="n">
        <x:f>F1478-G1478</x:f>
        <x:v>32.500000000000014</x:v>
      </x:c>
      <x:c r="J1478" s="8" t="n">
        <x:v>0.8370025720164617</x:v>
      </x:c>
      <x:c r="K1478" s="8" t="n">
        <x:v>0.8370025720164617</x:v>
      </x:c>
      <x:c r="L1478" s="8" t="n">
        <x:v>0</x:v>
      </x:c>
      <x:c r="M1478" s="7" t="n">
        <x:v>14.807900006417185</x:v>
      </x:c>
      <x:c r="N1478" s="2" t="str">
        <x:v>repository_particle_dynamics_on_frozen_qubo</x:v>
      </x:c>
      <x:c r="O1478" s="9" t="str">
        <x:v>00011</x:v>
      </x:c>
    </x:row>
    <x:row r="1479" ht="18" customHeight="1">
      <x:c r="A1479" s="2" t="str">
        <x:v>controlled_n6_lane_closure_3</x:v>
      </x:c>
      <x:c r="B1479" s="2" t="str">
        <x:v>QAOA</x:v>
      </x:c>
      <x:c r="C1479" s="2" t="n">
        <x:v>456</x:v>
      </x:c>
      <x:c r="D1479" s="2" t="str">
        <x:v>success</x:v>
      </x:c>
      <x:c r="E1479" s="2" t="n">
        <x:v>5</x:v>
      </x:c>
      <x:c r="F1479" s="7" t="n">
        <x:v>110.00000000000001</x:v>
      </x:c>
      <x:c r="G1479" s="7" t="n">
        <x:v>77.5</x:v>
      </x:c>
      <x:c r="H1479" s="7" t="n">
        <x:f>IF(F1479=0,"n.a.",100*(F1479-G1479)/F1479)</x:f>
        <x:v>29.545454545454554</x:v>
      </x:c>
      <x:c r="I1479" s="7" t="n">
        <x:f>F1479-G1479</x:f>
        <x:v>32.500000000000014</x:v>
      </x:c>
      <x:c r="J1479" s="8" t="n">
        <x:v>0.8370025720164617</x:v>
      </x:c>
      <x:c r="K1479" s="8" t="n">
        <x:v>0.8370025720164617</x:v>
      </x:c>
      <x:c r="L1479" s="8" t="n">
        <x:v>0</x:v>
      </x:c>
      <x:c r="M1479" s="7" t="n">
        <x:v>205.1006999972742</x:v>
      </x:c>
      <x:c r="N1479" s="2" t="str">
        <x:v>qiskit.primitives.StatevectorSampler</x:v>
      </x:c>
      <x:c r="O1479" s="9" t="str">
        <x:v>10001</x:v>
      </x:c>
    </x:row>
    <x:row r="1480" ht="18" customHeight="1">
      <x:c r="A1480" s="2" t="str">
        <x:v>controlled_n6_lane_closure_3</x:v>
      </x:c>
      <x:c r="B1480" s="2" t="str">
        <x:v>BPSO</x:v>
      </x:c>
      <x:c r="C1480" s="2" t="n">
        <x:v>789</x:v>
      </x:c>
      <x:c r="D1480" s="2" t="str">
        <x:v>success</x:v>
      </x:c>
      <x:c r="E1480" s="2" t="n">
        <x:v>5</x:v>
      </x:c>
      <x:c r="F1480" s="7" t="n">
        <x:v>110.00000000000001</x:v>
      </x:c>
      <x:c r="G1480" s="7" t="n">
        <x:v>77.5</x:v>
      </x:c>
      <x:c r="H1480" s="7" t="n">
        <x:f>IF(F1480=0,"n.a.",100*(F1480-G1480)/F1480)</x:f>
        <x:v>29.545454545454554</x:v>
      </x:c>
      <x:c r="I1480" s="7" t="n">
        <x:f>F1480-G1480</x:f>
        <x:v>32.500000000000014</x:v>
      </x:c>
      <x:c r="J1480" s="8" t="n">
        <x:v>0.8370025720164617</x:v>
      </x:c>
      <x:c r="K1480" s="8" t="n">
        <x:v>0.8370025720164617</x:v>
      </x:c>
      <x:c r="L1480" s="8" t="n">
        <x:v>0</x:v>
      </x:c>
      <x:c r="M1480" s="7" t="n">
        <x:v>14.81380000768695</x:v>
      </x:c>
      <x:c r="N1480" s="2" t="str">
        <x:v>repository_particle_dynamics_on_frozen_qubo</x:v>
      </x:c>
      <x:c r="O1480" s="9" t="str">
        <x:v>01100</x:v>
      </x:c>
    </x:row>
    <x:row r="1481" ht="18" customHeight="1">
      <x:c r="A1481" s="2" t="str">
        <x:v>controlled_n6_lane_closure_3</x:v>
      </x:c>
      <x:c r="B1481" s="2" t="str">
        <x:v>QAOA</x:v>
      </x:c>
      <x:c r="C1481" s="2" t="n">
        <x:v>789</x:v>
      </x:c>
      <x:c r="D1481" s="2" t="str">
        <x:v>success</x:v>
      </x:c>
      <x:c r="E1481" s="2" t="n">
        <x:v>5</x:v>
      </x:c>
      <x:c r="F1481" s="7" t="n">
        <x:v>110.00000000000001</x:v>
      </x:c>
      <x:c r="G1481" s="7" t="n">
        <x:v>77.5</x:v>
      </x:c>
      <x:c r="H1481" s="7" t="n">
        <x:f>IF(F1481=0,"n.a.",100*(F1481-G1481)/F1481)</x:f>
        <x:v>29.545454545454554</x:v>
      </x:c>
      <x:c r="I1481" s="7" t="n">
        <x:f>F1481-G1481</x:f>
        <x:v>32.500000000000014</x:v>
      </x:c>
      <x:c r="J1481" s="8" t="n">
        <x:v>0.8370025720164617</x:v>
      </x:c>
      <x:c r="K1481" s="8" t="n">
        <x:v>0.8370025720164617</x:v>
      </x:c>
      <x:c r="L1481" s="8" t="n">
        <x:v>0</x:v>
      </x:c>
      <x:c r="M1481" s="7" t="n">
        <x:v>153.524200009997</x:v>
      </x:c>
      <x:c r="N1481" s="2" t="str">
        <x:v>qiskit.primitives.StatevectorSampler</x:v>
      </x:c>
      <x:c r="O1481" s="9" t="str">
        <x:v>10100</x:v>
      </x:c>
    </x:row>
    <x:row r="1482" ht="18" customHeight="1">
      <x:c r="A1482" s="2" t="str">
        <x:v>controlled_n6_lane_closure_3</x:v>
      </x:c>
      <x:c r="B1482" s="2" t="str">
        <x:v>BPSO</x:v>
      </x:c>
      <x:c r="C1482" s="2" t="n">
        <x:v>2026</x:v>
      </x:c>
      <x:c r="D1482" s="2" t="str">
        <x:v>success</x:v>
      </x:c>
      <x:c r="E1482" s="2" t="n">
        <x:v>5</x:v>
      </x:c>
      <x:c r="F1482" s="7" t="n">
        <x:v>110.00000000000001</x:v>
      </x:c>
      <x:c r="G1482" s="7" t="n">
        <x:v>77.5</x:v>
      </x:c>
      <x:c r="H1482" s="7" t="n">
        <x:f>IF(F1482=0,"n.a.",100*(F1482-G1482)/F1482)</x:f>
        <x:v>29.545454545454554</x:v>
      </x:c>
      <x:c r="I1482" s="7" t="n">
        <x:f>F1482-G1482</x:f>
        <x:v>32.500000000000014</x:v>
      </x:c>
      <x:c r="J1482" s="8" t="n">
        <x:v>0.8370025720164617</x:v>
      </x:c>
      <x:c r="K1482" s="8" t="n">
        <x:v>0.8370025720164617</x:v>
      </x:c>
      <x:c r="L1482" s="8" t="n">
        <x:v>0</x:v>
      </x:c>
      <x:c r="M1482" s="7" t="n">
        <x:v>14.653699996415526</x:v>
      </x:c>
      <x:c r="N1482" s="2" t="str">
        <x:v>repository_particle_dynamics_on_frozen_qubo</x:v>
      </x:c>
      <x:c r="O1482" s="9" t="str">
        <x:v>10100</x:v>
      </x:c>
    </x:row>
    <x:row r="1483" ht="18" customHeight="1">
      <x:c r="A1483" s="2" t="str">
        <x:v>controlled_n6_lane_closure_3</x:v>
      </x:c>
      <x:c r="B1483" s="2" t="str">
        <x:v>QAOA</x:v>
      </x:c>
      <x:c r="C1483" s="2" t="n">
        <x:v>2026</x:v>
      </x:c>
      <x:c r="D1483" s="2" t="str">
        <x:v>success</x:v>
      </x:c>
      <x:c r="E1483" s="2" t="n">
        <x:v>5</x:v>
      </x:c>
      <x:c r="F1483" s="7" t="n">
        <x:v>110.00000000000001</x:v>
      </x:c>
      <x:c r="G1483" s="7" t="n">
        <x:v>77.5</x:v>
      </x:c>
      <x:c r="H1483" s="7" t="n">
        <x:f>IF(F1483=0,"n.a.",100*(F1483-G1483)/F1483)</x:f>
        <x:v>29.545454545454554</x:v>
      </x:c>
      <x:c r="I1483" s="7" t="n">
        <x:f>F1483-G1483</x:f>
        <x:v>32.500000000000014</x:v>
      </x:c>
      <x:c r="J1483" s="8" t="n">
        <x:v>0.8370025720164617</x:v>
      </x:c>
      <x:c r="K1483" s="8" t="n">
        <x:v>0.8370025720164617</x:v>
      </x:c>
      <x:c r="L1483" s="8" t="n">
        <x:v>0</x:v>
      </x:c>
      <x:c r="M1483" s="7" t="n">
        <x:v>215.5683000019053</x:v>
      </x:c>
      <x:c r="N1483" s="2" t="str">
        <x:v>qiskit.primitives.StatevectorSampler</x:v>
      </x:c>
      <x:c r="O1483" s="9" t="str">
        <x:v>10010</x:v>
      </x:c>
    </x:row>
    <x:row r="1484" ht="18" customHeight="1">
      <x:c r="A1484" s="2" t="str">
        <x:v>controlled_n6_weather_capacity_loss_1</x:v>
      </x:c>
      <x:c r="B1484" s="2" t="str">
        <x:v>Unmanaged</x:v>
      </x:c>
      <x:c r="C1484" s="2"/>
      <x:c r="D1484" s="2" t="str">
        <x:v>baseline</x:v>
      </x:c>
      <x:c r="E1484" s="2" t="n">
        <x:v>0</x:v>
      </x:c>
      <x:c r="F1484" s="7" t="n">
        <x:v>55.00000000000001</x:v>
      </x:c>
      <x:c r="G1484" s="7" t="n">
        <x:v>55.00000000000001</x:v>
      </x:c>
      <x:c r="H1484" s="7" t="n">
        <x:f>IF(F1484=0,"n.a.",100*(F1484-G1484)/F1484)</x:f>
        <x:v>0</x:v>
      </x:c>
      <x:c r="I1484" s="7" t="n">
        <x:f>F1484-G1484</x:f>
        <x:v>0</x:v>
      </x:c>
      <x:c r="J1484" s="8"/>
      <x:c r="K1484" s="8" t="n">
        <x:v>0.11705185185185206</x:v>
      </x:c>
      <x:c r="L1484" s="8"/>
      <x:c r="M1484" s="7"/>
      <x:c r="N1484" s="2" t="str">
        <x:v>unmanaged_input</x:v>
      </x:c>
      <x:c r="O1484" s="9"/>
    </x:row>
    <x:row r="1485" ht="18" customHeight="1">
      <x:c r="A1485" s="2" t="str">
        <x:v>controlled_n6_weather_capacity_loss_1</x:v>
      </x:c>
      <x:c r="B1485" s="2" t="str">
        <x:v>Exact J</x:v>
      </x:c>
      <x:c r="C1485" s="2"/>
      <x:c r="D1485" s="2" t="str">
        <x:v>no_congestion</x:v>
      </x:c>
      <x:c r="E1485" s="2" t="n">
        <x:v>0</x:v>
      </x:c>
      <x:c r="F1485" s="7" t="n">
        <x:v>55.00000000000001</x:v>
      </x:c>
      <x:c r="G1485" s="7" t="n">
        <x:v>55.00000000000001</x:v>
      </x:c>
      <x:c r="H1485" s="7" t="n">
        <x:f>IF(F1485=0,"n.a.",100*(F1485-G1485)/F1485)</x:f>
        <x:v>0</x:v>
      </x:c>
      <x:c r="I1485" s="7" t="n">
        <x:f>F1485-G1485</x:f>
        <x:v>0</x:v>
      </x:c>
      <x:c r="J1485" s="8" t="n">
        <x:v>0.11705185185185206</x:v>
      </x:c>
      <x:c r="K1485" s="8" t="n">
        <x:v>0.11705185185185206</x:v>
      </x:c>
      <x:c r="L1485" s="8" t="n">
        <x:v>0</x:v>
      </x:c>
      <x:c r="M1485" s="7" t="n">
        <x:v>0</x:v>
      </x:c>
      <x:c r="N1485" s="2" t="str">
        <x:v>not_invoked</x:v>
      </x:c>
      <x:c r="O1485" s="9" t="str"/>
    </x:row>
    <x:row r="1486" ht="18" customHeight="1">
      <x:c r="A1486" s="2" t="str">
        <x:v>controlled_n6_weather_capacity_loss_1</x:v>
      </x:c>
      <x:c r="B1486" s="2" t="str">
        <x:v>Exact peak</x:v>
      </x:c>
      <x:c r="C1486" s="2"/>
      <x:c r="D1486" s="2" t="str">
        <x:v>no_congestion</x:v>
      </x:c>
      <x:c r="E1486" s="2" t="n">
        <x:v>0</x:v>
      </x:c>
      <x:c r="F1486" s="7" t="n">
        <x:v>55.00000000000001</x:v>
      </x:c>
      <x:c r="G1486" s="7" t="n">
        <x:v>55.00000000000001</x:v>
      </x:c>
      <x:c r="H1486" s="7" t="n">
        <x:f>IF(F1486=0,"n.a.",100*(F1486-G1486)/F1486)</x:f>
        <x:v>0</x:v>
      </x:c>
      <x:c r="I1486" s="7" t="n">
        <x:f>F1486-G1486</x:f>
        <x:v>0</x:v>
      </x:c>
      <x:c r="J1486" s="8" t="n">
        <x:v>0.11705185185185206</x:v>
      </x:c>
      <x:c r="K1486" s="8" t="n">
        <x:v>0.11705185185185206</x:v>
      </x:c>
      <x:c r="L1486" s="8" t="n">
        <x:v>0</x:v>
      </x:c>
      <x:c r="M1486" s="7" t="n">
        <x:v>0</x:v>
      </x:c>
      <x:c r="N1486" s="2" t="str">
        <x:v>not_invoked</x:v>
      </x:c>
      <x:c r="O1486" s="9" t="str"/>
    </x:row>
    <x:row r="1487" ht="18" customHeight="1">
      <x:c r="A1487" s="2" t="str">
        <x:v>controlled_n6_weather_capacity_loss_1</x:v>
      </x:c>
      <x:c r="B1487" s="2" t="str">
        <x:v>BPSO</x:v>
      </x:c>
      <x:c r="C1487" s="2" t="n">
        <x:v>42</x:v>
      </x:c>
      <x:c r="D1487" s="2" t="str">
        <x:v>no_congestion</x:v>
      </x:c>
      <x:c r="E1487" s="2" t="n">
        <x:v>0</x:v>
      </x:c>
      <x:c r="F1487" s="7" t="n">
        <x:v>55.00000000000001</x:v>
      </x:c>
      <x:c r="G1487" s="7" t="n">
        <x:v>55.00000000000001</x:v>
      </x:c>
      <x:c r="H1487" s="7" t="n">
        <x:f>IF(F1487=0,"n.a.",100*(F1487-G1487)/F1487)</x:f>
        <x:v>0</x:v>
      </x:c>
      <x:c r="I1487" s="7" t="n">
        <x:f>F1487-G1487</x:f>
        <x:v>0</x:v>
      </x:c>
      <x:c r="J1487" s="8" t="n">
        <x:v>0.11705185185185206</x:v>
      </x:c>
      <x:c r="K1487" s="8" t="n">
        <x:v>0.11705185185185206</x:v>
      </x:c>
      <x:c r="L1487" s="8" t="n">
        <x:v>0</x:v>
      </x:c>
      <x:c r="M1487" s="7" t="n">
        <x:v>0</x:v>
      </x:c>
      <x:c r="N1487" s="2" t="str">
        <x:v>not_invoked</x:v>
      </x:c>
      <x:c r="O1487" s="9" t="str"/>
    </x:row>
    <x:row r="1488" ht="18" customHeight="1">
      <x:c r="A1488" s="2" t="str">
        <x:v>controlled_n6_weather_capacity_loss_1</x:v>
      </x:c>
      <x:c r="B1488" s="2" t="str">
        <x:v>QAOA</x:v>
      </x:c>
      <x:c r="C1488" s="2" t="n">
        <x:v>42</x:v>
      </x:c>
      <x:c r="D1488" s="2" t="str">
        <x:v>no_congestion</x:v>
      </x:c>
      <x:c r="E1488" s="2" t="n">
        <x:v>0</x:v>
      </x:c>
      <x:c r="F1488" s="7" t="n">
        <x:v>55.00000000000001</x:v>
      </x:c>
      <x:c r="G1488" s="7" t="n">
        <x:v>55.00000000000001</x:v>
      </x:c>
      <x:c r="H1488" s="7" t="n">
        <x:f>IF(F1488=0,"n.a.",100*(F1488-G1488)/F1488)</x:f>
        <x:v>0</x:v>
      </x:c>
      <x:c r="I1488" s="7" t="n">
        <x:f>F1488-G1488</x:f>
        <x:v>0</x:v>
      </x:c>
      <x:c r="J1488" s="8" t="n">
        <x:v>0.11705185185185206</x:v>
      </x:c>
      <x:c r="K1488" s="8" t="n">
        <x:v>0.11705185185185206</x:v>
      </x:c>
      <x:c r="L1488" s="8" t="n">
        <x:v>0</x:v>
      </x:c>
      <x:c r="M1488" s="7" t="n">
        <x:v>0</x:v>
      </x:c>
      <x:c r="N1488" s="2" t="str">
        <x:v>not_invoked</x:v>
      </x:c>
      <x:c r="O1488" s="9" t="str"/>
    </x:row>
    <x:row r="1489" ht="18" customHeight="1">
      <x:c r="A1489" s="2" t="str">
        <x:v>controlled_n6_weather_capacity_loss_1</x:v>
      </x:c>
      <x:c r="B1489" s="2" t="str">
        <x:v>BPSO</x:v>
      </x:c>
      <x:c r="C1489" s="2" t="n">
        <x:v>123</x:v>
      </x:c>
      <x:c r="D1489" s="2" t="str">
        <x:v>no_congestion</x:v>
      </x:c>
      <x:c r="E1489" s="2" t="n">
        <x:v>0</x:v>
      </x:c>
      <x:c r="F1489" s="7" t="n">
        <x:v>55.00000000000001</x:v>
      </x:c>
      <x:c r="G1489" s="7" t="n">
        <x:v>55.00000000000001</x:v>
      </x:c>
      <x:c r="H1489" s="7" t="n">
        <x:f>IF(F1489=0,"n.a.",100*(F1489-G1489)/F1489)</x:f>
        <x:v>0</x:v>
      </x:c>
      <x:c r="I1489" s="7" t="n">
        <x:f>F1489-G1489</x:f>
        <x:v>0</x:v>
      </x:c>
      <x:c r="J1489" s="8" t="n">
        <x:v>0.11705185185185206</x:v>
      </x:c>
      <x:c r="K1489" s="8" t="n">
        <x:v>0.11705185185185206</x:v>
      </x:c>
      <x:c r="L1489" s="8" t="n">
        <x:v>0</x:v>
      </x:c>
      <x:c r="M1489" s="7" t="n">
        <x:v>0</x:v>
      </x:c>
      <x:c r="N1489" s="2" t="str">
        <x:v>not_invoked</x:v>
      </x:c>
      <x:c r="O1489" s="9" t="str"/>
    </x:row>
    <x:row r="1490" ht="18" customHeight="1">
      <x:c r="A1490" s="2" t="str">
        <x:v>controlled_n6_weather_capacity_loss_1</x:v>
      </x:c>
      <x:c r="B1490" s="2" t="str">
        <x:v>QAOA</x:v>
      </x:c>
      <x:c r="C1490" s="2" t="n">
        <x:v>123</x:v>
      </x:c>
      <x:c r="D1490" s="2" t="str">
        <x:v>no_congestion</x:v>
      </x:c>
      <x:c r="E1490" s="2" t="n">
        <x:v>0</x:v>
      </x:c>
      <x:c r="F1490" s="7" t="n">
        <x:v>55.00000000000001</x:v>
      </x:c>
      <x:c r="G1490" s="7" t="n">
        <x:v>55.00000000000001</x:v>
      </x:c>
      <x:c r="H1490" s="7" t="n">
        <x:f>IF(F1490=0,"n.a.",100*(F1490-G1490)/F1490)</x:f>
        <x:v>0</x:v>
      </x:c>
      <x:c r="I1490" s="7" t="n">
        <x:f>F1490-G1490</x:f>
        <x:v>0</x:v>
      </x:c>
      <x:c r="J1490" s="8" t="n">
        <x:v>0.11705185185185206</x:v>
      </x:c>
      <x:c r="K1490" s="8" t="n">
        <x:v>0.11705185185185206</x:v>
      </x:c>
      <x:c r="L1490" s="8" t="n">
        <x:v>0</x:v>
      </x:c>
      <x:c r="M1490" s="7" t="n">
        <x:v>0</x:v>
      </x:c>
      <x:c r="N1490" s="2" t="str">
        <x:v>not_invoked</x:v>
      </x:c>
      <x:c r="O1490" s="9" t="str"/>
    </x:row>
    <x:row r="1491" ht="18" customHeight="1">
      <x:c r="A1491" s="2" t="str">
        <x:v>controlled_n6_weather_capacity_loss_1</x:v>
      </x:c>
      <x:c r="B1491" s="2" t="str">
        <x:v>BPSO</x:v>
      </x:c>
      <x:c r="C1491" s="2" t="n">
        <x:v>456</x:v>
      </x:c>
      <x:c r="D1491" s="2" t="str">
        <x:v>no_congestion</x:v>
      </x:c>
      <x:c r="E1491" s="2" t="n">
        <x:v>0</x:v>
      </x:c>
      <x:c r="F1491" s="7" t="n">
        <x:v>55.00000000000001</x:v>
      </x:c>
      <x:c r="G1491" s="7" t="n">
        <x:v>55.00000000000001</x:v>
      </x:c>
      <x:c r="H1491" s="7" t="n">
        <x:f>IF(F1491=0,"n.a.",100*(F1491-G1491)/F1491)</x:f>
        <x:v>0</x:v>
      </x:c>
      <x:c r="I1491" s="7" t="n">
        <x:f>F1491-G1491</x:f>
        <x:v>0</x:v>
      </x:c>
      <x:c r="J1491" s="8" t="n">
        <x:v>0.11705185185185206</x:v>
      </x:c>
      <x:c r="K1491" s="8" t="n">
        <x:v>0.11705185185185206</x:v>
      </x:c>
      <x:c r="L1491" s="8" t="n">
        <x:v>0</x:v>
      </x:c>
      <x:c r="M1491" s="7" t="n">
        <x:v>0</x:v>
      </x:c>
      <x:c r="N1491" s="2" t="str">
        <x:v>not_invoked</x:v>
      </x:c>
      <x:c r="O1491" s="9" t="str"/>
    </x:row>
    <x:row r="1492" ht="18" customHeight="1">
      <x:c r="A1492" s="2" t="str">
        <x:v>controlled_n6_weather_capacity_loss_1</x:v>
      </x:c>
      <x:c r="B1492" s="2" t="str">
        <x:v>QAOA</x:v>
      </x:c>
      <x:c r="C1492" s="2" t="n">
        <x:v>456</x:v>
      </x:c>
      <x:c r="D1492" s="2" t="str">
        <x:v>no_congestion</x:v>
      </x:c>
      <x:c r="E1492" s="2" t="n">
        <x:v>0</x:v>
      </x:c>
      <x:c r="F1492" s="7" t="n">
        <x:v>55.00000000000001</x:v>
      </x:c>
      <x:c r="G1492" s="7" t="n">
        <x:v>55.00000000000001</x:v>
      </x:c>
      <x:c r="H1492" s="7" t="n">
        <x:f>IF(F1492=0,"n.a.",100*(F1492-G1492)/F1492)</x:f>
        <x:v>0</x:v>
      </x:c>
      <x:c r="I1492" s="7" t="n">
        <x:f>F1492-G1492</x:f>
        <x:v>0</x:v>
      </x:c>
      <x:c r="J1492" s="8" t="n">
        <x:v>0.11705185185185206</x:v>
      </x:c>
      <x:c r="K1492" s="8" t="n">
        <x:v>0.11705185185185206</x:v>
      </x:c>
      <x:c r="L1492" s="8" t="n">
        <x:v>0</x:v>
      </x:c>
      <x:c r="M1492" s="7" t="n">
        <x:v>0</x:v>
      </x:c>
      <x:c r="N1492" s="2" t="str">
        <x:v>not_invoked</x:v>
      </x:c>
      <x:c r="O1492" s="9" t="str"/>
    </x:row>
    <x:row r="1493" ht="18" customHeight="1">
      <x:c r="A1493" s="2" t="str">
        <x:v>controlled_n6_weather_capacity_loss_1</x:v>
      </x:c>
      <x:c r="B1493" s="2" t="str">
        <x:v>BPSO</x:v>
      </x:c>
      <x:c r="C1493" s="2" t="n">
        <x:v>789</x:v>
      </x:c>
      <x:c r="D1493" s="2" t="str">
        <x:v>no_congestion</x:v>
      </x:c>
      <x:c r="E1493" s="2" t="n">
        <x:v>0</x:v>
      </x:c>
      <x:c r="F1493" s="7" t="n">
        <x:v>55.00000000000001</x:v>
      </x:c>
      <x:c r="G1493" s="7" t="n">
        <x:v>55.00000000000001</x:v>
      </x:c>
      <x:c r="H1493" s="7" t="n">
        <x:f>IF(F1493=0,"n.a.",100*(F1493-G1493)/F1493)</x:f>
        <x:v>0</x:v>
      </x:c>
      <x:c r="I1493" s="7" t="n">
        <x:f>F1493-G1493</x:f>
        <x:v>0</x:v>
      </x:c>
      <x:c r="J1493" s="8" t="n">
        <x:v>0.11705185185185206</x:v>
      </x:c>
      <x:c r="K1493" s="8" t="n">
        <x:v>0.11705185185185206</x:v>
      </x:c>
      <x:c r="L1493" s="8" t="n">
        <x:v>0</x:v>
      </x:c>
      <x:c r="M1493" s="7" t="n">
        <x:v>0</x:v>
      </x:c>
      <x:c r="N1493" s="2" t="str">
        <x:v>not_invoked</x:v>
      </x:c>
      <x:c r="O1493" s="9" t="str"/>
    </x:row>
    <x:row r="1494" ht="18" customHeight="1">
      <x:c r="A1494" s="2" t="str">
        <x:v>controlled_n6_weather_capacity_loss_1</x:v>
      </x:c>
      <x:c r="B1494" s="2" t="str">
        <x:v>QAOA</x:v>
      </x:c>
      <x:c r="C1494" s="2" t="n">
        <x:v>789</x:v>
      </x:c>
      <x:c r="D1494" s="2" t="str">
        <x:v>no_congestion</x:v>
      </x:c>
      <x:c r="E1494" s="2" t="n">
        <x:v>0</x:v>
      </x:c>
      <x:c r="F1494" s="7" t="n">
        <x:v>55.00000000000001</x:v>
      </x:c>
      <x:c r="G1494" s="7" t="n">
        <x:v>55.00000000000001</x:v>
      </x:c>
      <x:c r="H1494" s="7" t="n">
        <x:f>IF(F1494=0,"n.a.",100*(F1494-G1494)/F1494)</x:f>
        <x:v>0</x:v>
      </x:c>
      <x:c r="I1494" s="7" t="n">
        <x:f>F1494-G1494</x:f>
        <x:v>0</x:v>
      </x:c>
      <x:c r="J1494" s="8" t="n">
        <x:v>0.11705185185185206</x:v>
      </x:c>
      <x:c r="K1494" s="8" t="n">
        <x:v>0.11705185185185206</x:v>
      </x:c>
      <x:c r="L1494" s="8" t="n">
        <x:v>0</x:v>
      </x:c>
      <x:c r="M1494" s="7" t="n">
        <x:v>0</x:v>
      </x:c>
      <x:c r="N1494" s="2" t="str">
        <x:v>not_invoked</x:v>
      </x:c>
      <x:c r="O1494" s="9" t="str"/>
    </x:row>
    <x:row r="1495" ht="18" customHeight="1">
      <x:c r="A1495" s="2" t="str">
        <x:v>controlled_n6_weather_capacity_loss_1</x:v>
      </x:c>
      <x:c r="B1495" s="2" t="str">
        <x:v>BPSO</x:v>
      </x:c>
      <x:c r="C1495" s="2" t="n">
        <x:v>2026</x:v>
      </x:c>
      <x:c r="D1495" s="2" t="str">
        <x:v>no_congestion</x:v>
      </x:c>
      <x:c r="E1495" s="2" t="n">
        <x:v>0</x:v>
      </x:c>
      <x:c r="F1495" s="7" t="n">
        <x:v>55.00000000000001</x:v>
      </x:c>
      <x:c r="G1495" s="7" t="n">
        <x:v>55.00000000000001</x:v>
      </x:c>
      <x:c r="H1495" s="7" t="n">
        <x:f>IF(F1495=0,"n.a.",100*(F1495-G1495)/F1495)</x:f>
        <x:v>0</x:v>
      </x:c>
      <x:c r="I1495" s="7" t="n">
        <x:f>F1495-G1495</x:f>
        <x:v>0</x:v>
      </x:c>
      <x:c r="J1495" s="8" t="n">
        <x:v>0.11705185185185206</x:v>
      </x:c>
      <x:c r="K1495" s="8" t="n">
        <x:v>0.11705185185185206</x:v>
      </x:c>
      <x:c r="L1495" s="8" t="n">
        <x:v>0</x:v>
      </x:c>
      <x:c r="M1495" s="7" t="n">
        <x:v>0</x:v>
      </x:c>
      <x:c r="N1495" s="2" t="str">
        <x:v>not_invoked</x:v>
      </x:c>
      <x:c r="O1495" s="9" t="str"/>
    </x:row>
    <x:row r="1496" ht="18" customHeight="1">
      <x:c r="A1496" s="2" t="str">
        <x:v>controlled_n6_weather_capacity_loss_1</x:v>
      </x:c>
      <x:c r="B1496" s="2" t="str">
        <x:v>QAOA</x:v>
      </x:c>
      <x:c r="C1496" s="2" t="n">
        <x:v>2026</x:v>
      </x:c>
      <x:c r="D1496" s="2" t="str">
        <x:v>no_congestion</x:v>
      </x:c>
      <x:c r="E1496" s="2" t="n">
        <x:v>0</x:v>
      </x:c>
      <x:c r="F1496" s="7" t="n">
        <x:v>55.00000000000001</x:v>
      </x:c>
      <x:c r="G1496" s="7" t="n">
        <x:v>55.00000000000001</x:v>
      </x:c>
      <x:c r="H1496" s="7" t="n">
        <x:f>IF(F1496=0,"n.a.",100*(F1496-G1496)/F1496)</x:f>
        <x:v>0</x:v>
      </x:c>
      <x:c r="I1496" s="7" t="n">
        <x:f>F1496-G1496</x:f>
        <x:v>0</x:v>
      </x:c>
      <x:c r="J1496" s="8" t="n">
        <x:v>0.11705185185185206</x:v>
      </x:c>
      <x:c r="K1496" s="8" t="n">
        <x:v>0.11705185185185206</x:v>
      </x:c>
      <x:c r="L1496" s="8" t="n">
        <x:v>0</x:v>
      </x:c>
      <x:c r="M1496" s="7" t="n">
        <x:v>0</x:v>
      </x:c>
      <x:c r="N1496" s="2" t="str">
        <x:v>not_invoked</x:v>
      </x:c>
      <x:c r="O1496" s="9" t="str"/>
    </x:row>
    <x:row r="1497" ht="18" customHeight="1">
      <x:c r="A1497" s="2" t="str">
        <x:v>controlled_n6_weather_capacity_loss_2</x:v>
      </x:c>
      <x:c r="B1497" s="2" t="str">
        <x:v>Unmanaged</x:v>
      </x:c>
      <x:c r="C1497" s="2"/>
      <x:c r="D1497" s="2" t="str">
        <x:v>baseline</x:v>
      </x:c>
      <x:c r="E1497" s="2" t="n">
        <x:v>10</x:v>
      </x:c>
      <x:c r="F1497" s="7" t="n">
        <x:v>68.75000000000001</x:v>
      </x:c>
      <x:c r="G1497" s="7" t="n">
        <x:v>68.75000000000001</x:v>
      </x:c>
      <x:c r="H1497" s="7" t="n">
        <x:f>IF(F1497=0,"n.a.",100*(F1497-G1497)/F1497)</x:f>
        <x:v>0</x:v>
      </x:c>
      <x:c r="I1497" s="7" t="n">
        <x:f>F1497-G1497</x:f>
        <x:v>0</x:v>
      </x:c>
      <x:c r="J1497" s="8"/>
      <x:c r="K1497" s="8" t="n">
        <x:v>3.68217789135843</x:v>
      </x:c>
      <x:c r="L1497" s="8"/>
      <x:c r="M1497" s="7"/>
      <x:c r="N1497" s="2" t="str">
        <x:v>unmanaged_input</x:v>
      </x:c>
      <x:c r="O1497" s="9"/>
    </x:row>
    <x:row r="1498" ht="18" customHeight="1">
      <x:c r="A1498" s="2" t="str">
        <x:v>controlled_n6_weather_capacity_loss_2</x:v>
      </x:c>
      <x:c r="B1498" s="2" t="str">
        <x:v>Exact J</x:v>
      </x:c>
      <x:c r="C1498" s="2"/>
      <x:c r="D1498" s="2" t="str">
        <x:v>success</x:v>
      </x:c>
      <x:c r="E1498" s="2" t="n">
        <x:v>10</x:v>
      </x:c>
      <x:c r="F1498" s="7" t="n">
        <x:v>68.75000000000001</x:v>
      </x:c>
      <x:c r="G1498" s="7" t="n">
        <x:v>92.1875</x:v>
      </x:c>
      <x:c r="H1498" s="7" t="n">
        <x:f>IF(F1498=0,"n.a.",100*(F1498-G1498)/F1498)</x:f>
        <x:v>-34.090909090909065</x:v>
      </x:c>
      <x:c r="I1498" s="7" t="n">
        <x:f>F1498-G1498</x:f>
        <x:v>-23.437499999999986</x:v>
      </x:c>
      <x:c r="J1498" s="8" t="n">
        <x:v>3.68217789135843</x:v>
      </x:c>
      <x:c r="K1498" s="8" t="n">
        <x:v>3.68217789135843</x:v>
      </x:c>
      <x:c r="L1498" s="8" t="n">
        <x:v>0</x:v>
      </x:c>
      <x:c r="M1498" s="7"/>
      <x:c r="N1498" s="2" t="str">
        <x:v>exhaustive_enumeration</x:v>
      </x:c>
      <x:c r="O1498" s="9" t="str">
        <x:v>0110101010</x:v>
      </x:c>
    </x:row>
    <x:row r="1499" ht="18" customHeight="1">
      <x:c r="A1499" s="2" t="str">
        <x:v>controlled_n6_weather_capacity_loss_2</x:v>
      </x:c>
      <x:c r="B1499" s="2" t="str">
        <x:v>Exact peak</x:v>
      </x:c>
      <x:c r="C1499" s="2"/>
      <x:c r="D1499" s="2" t="str">
        <x:v>success</x:v>
      </x:c>
      <x:c r="E1499" s="2" t="n">
        <x:v>10</x:v>
      </x:c>
      <x:c r="F1499" s="7" t="n">
        <x:v>68.75000000000001</x:v>
      </x:c>
      <x:c r="G1499" s="7" t="n">
        <x:v>87.5</x:v>
      </x:c>
      <x:c r="H1499" s="7" t="n">
        <x:f>IF(F1499=0,"n.a.",100*(F1499-G1499)/F1499)</x:f>
        <x:v>-27.27272727272725</x:v>
      </x:c>
      <x:c r="I1499" s="7" t="n">
        <x:f>F1499-G1499</x:f>
        <x:v>-18.749999999999986</x:v>
      </x:c>
      <x:c r="J1499" s="8" t="n">
        <x:v>3.7215362938147054</x:v>
      </x:c>
      <x:c r="K1499" s="8" t="n">
        <x:v>3.68217789135843</x:v>
      </x:c>
      <x:c r="L1499" s="8" t="n">
        <x:v>0.03935840245627542</x:v>
      </x:c>
      <x:c r="M1499" s="7"/>
      <x:c r="N1499" s="2" t="str">
        <x:v>exhaustive_enumeration</x:v>
      </x:c>
      <x:c r="O1499" s="9" t="str">
        <x:v>0011111010</x:v>
      </x:c>
    </x:row>
    <x:row r="1500" ht="18" customHeight="1">
      <x:c r="A1500" s="2" t="str">
        <x:v>controlled_n6_weather_capacity_loss_2</x:v>
      </x:c>
      <x:c r="B1500" s="2" t="str">
        <x:v>BPSO</x:v>
      </x:c>
      <x:c r="C1500" s="2" t="n">
        <x:v>42</x:v>
      </x:c>
      <x:c r="D1500" s="2" t="str">
        <x:v>success</x:v>
      </x:c>
      <x:c r="E1500" s="2" t="n">
        <x:v>10</x:v>
      </x:c>
      <x:c r="F1500" s="7" t="n">
        <x:v>68.75000000000001</x:v>
      </x:c>
      <x:c r="G1500" s="7" t="n">
        <x:v>92.1875</x:v>
      </x:c>
      <x:c r="H1500" s="7" t="n">
        <x:f>IF(F1500=0,"n.a.",100*(F1500-G1500)/F1500)</x:f>
        <x:v>-34.090909090909065</x:v>
      </x:c>
      <x:c r="I1500" s="7" t="n">
        <x:f>F1500-G1500</x:f>
        <x:v>-23.437499999999986</x:v>
      </x:c>
      <x:c r="J1500" s="8" t="n">
        <x:v>3.68217789135843</x:v>
      </x:c>
      <x:c r="K1500" s="8" t="n">
        <x:v>3.68217789135843</x:v>
      </x:c>
      <x:c r="L1500" s="8" t="n">
        <x:v>0</x:v>
      </x:c>
      <x:c r="M1500" s="7" t="n">
        <x:v>20.723900001030415</x:v>
      </x:c>
      <x:c r="N1500" s="2" t="str">
        <x:v>repository_particle_dynamics_on_frozen_qubo</x:v>
      </x:c>
      <x:c r="O1500" s="9" t="str">
        <x:v>0110110010</x:v>
      </x:c>
    </x:row>
    <x:row r="1501" ht="18" customHeight="1">
      <x:c r="A1501" s="2" t="str">
        <x:v>controlled_n6_weather_capacity_loss_2</x:v>
      </x:c>
      <x:c r="B1501" s="2" t="str">
        <x:v>QAOA</x:v>
      </x:c>
      <x:c r="C1501" s="2" t="n">
        <x:v>42</x:v>
      </x:c>
      <x:c r="D1501" s="2" t="str">
        <x:v>success</x:v>
      </x:c>
      <x:c r="E1501" s="2" t="n">
        <x:v>10</x:v>
      </x:c>
      <x:c r="F1501" s="7" t="n">
        <x:v>68.75000000000001</x:v>
      </x:c>
      <x:c r="G1501" s="7" t="n">
        <x:v>92.1875</x:v>
      </x:c>
      <x:c r="H1501" s="7" t="n">
        <x:f>IF(F1501=0,"n.a.",100*(F1501-G1501)/F1501)</x:f>
        <x:v>-34.090909090909065</x:v>
      </x:c>
      <x:c r="I1501" s="7" t="n">
        <x:f>F1501-G1501</x:f>
        <x:v>-23.437499999999986</x:v>
      </x:c>
      <x:c r="J1501" s="8" t="n">
        <x:v>3.68217789135843</x:v>
      </x:c>
      <x:c r="K1501" s="8" t="n">
        <x:v>3.68217789135843</x:v>
      </x:c>
      <x:c r="L1501" s="8" t="n">
        <x:v>0</x:v>
      </x:c>
      <x:c r="M1501" s="7" t="n">
        <x:v>815.712399999029</x:v>
      </x:c>
      <x:c r="N1501" s="2" t="str">
        <x:v>qiskit.primitives.StatevectorSampler</x:v>
      </x:c>
      <x:c r="O1501" s="9" t="str">
        <x:v>1101010010</x:v>
      </x:c>
    </x:row>
    <x:row r="1502" ht="18" customHeight="1">
      <x:c r="A1502" s="2" t="str">
        <x:v>controlled_n6_weather_capacity_loss_2</x:v>
      </x:c>
      <x:c r="B1502" s="2" t="str">
        <x:v>BPSO</x:v>
      </x:c>
      <x:c r="C1502" s="2" t="n">
        <x:v>123</x:v>
      </x:c>
      <x:c r="D1502" s="2" t="str">
        <x:v>success</x:v>
      </x:c>
      <x:c r="E1502" s="2" t="n">
        <x:v>10</x:v>
      </x:c>
      <x:c r="F1502" s="7" t="n">
        <x:v>68.75000000000001</x:v>
      </x:c>
      <x:c r="G1502" s="7" t="n">
        <x:v>92.1875</x:v>
      </x:c>
      <x:c r="H1502" s="7" t="n">
        <x:f>IF(F1502=0,"n.a.",100*(F1502-G1502)/F1502)</x:f>
        <x:v>-34.090909090909065</x:v>
      </x:c>
      <x:c r="I1502" s="7" t="n">
        <x:f>F1502-G1502</x:f>
        <x:v>-23.437499999999986</x:v>
      </x:c>
      <x:c r="J1502" s="8" t="n">
        <x:v>3.68217789135843</x:v>
      </x:c>
      <x:c r="K1502" s="8" t="n">
        <x:v>3.68217789135843</x:v>
      </x:c>
      <x:c r="L1502" s="8" t="n">
        <x:v>0</x:v>
      </x:c>
      <x:c r="M1502" s="7" t="n">
        <x:v>20.326500001829118</x:v>
      </x:c>
      <x:c r="N1502" s="2" t="str">
        <x:v>repository_particle_dynamics_on_frozen_qubo</x:v>
      </x:c>
      <x:c r="O1502" s="9" t="str">
        <x:v>1011010100</x:v>
      </x:c>
    </x:row>
    <x:row r="1503" ht="18" customHeight="1">
      <x:c r="A1503" s="2" t="str">
        <x:v>controlled_n6_weather_capacity_loss_2</x:v>
      </x:c>
      <x:c r="B1503" s="2" t="str">
        <x:v>QAOA</x:v>
      </x:c>
      <x:c r="C1503" s="2" t="n">
        <x:v>123</x:v>
      </x:c>
      <x:c r="D1503" s="2" t="str">
        <x:v>success</x:v>
      </x:c>
      <x:c r="E1503" s="2" t="n">
        <x:v>10</x:v>
      </x:c>
      <x:c r="F1503" s="7" t="n">
        <x:v>68.75000000000001</x:v>
      </x:c>
      <x:c r="G1503" s="7" t="n">
        <x:v>92.1875</x:v>
      </x:c>
      <x:c r="H1503" s="7" t="n">
        <x:f>IF(F1503=0,"n.a.",100*(F1503-G1503)/F1503)</x:f>
        <x:v>-34.090909090909065</x:v>
      </x:c>
      <x:c r="I1503" s="7" t="n">
        <x:f>F1503-G1503</x:f>
        <x:v>-23.437499999999986</x:v>
      </x:c>
      <x:c r="J1503" s="8" t="n">
        <x:v>3.68217789135843</x:v>
      </x:c>
      <x:c r="K1503" s="8" t="n">
        <x:v>3.68217789135843</x:v>
      </x:c>
      <x:c r="L1503" s="8" t="n">
        <x:v>0</x:v>
      </x:c>
      <x:c r="M1503" s="7" t="n">
        <x:v>1007.4133000016445</x:v>
      </x:c>
      <x:c r="N1503" s="2" t="str">
        <x:v>qiskit.primitives.StatevectorSampler</x:v>
      </x:c>
      <x:c r="O1503" s="9" t="str">
        <x:v>0110110100</x:v>
      </x:c>
    </x:row>
    <x:row r="1504" ht="18" customHeight="1">
      <x:c r="A1504" s="2" t="str">
        <x:v>controlled_n6_weather_capacity_loss_2</x:v>
      </x:c>
      <x:c r="B1504" s="2" t="str">
        <x:v>BPSO</x:v>
      </x:c>
      <x:c r="C1504" s="2" t="n">
        <x:v>456</x:v>
      </x:c>
      <x:c r="D1504" s="2" t="str">
        <x:v>success</x:v>
      </x:c>
      <x:c r="E1504" s="2" t="n">
        <x:v>10</x:v>
      </x:c>
      <x:c r="F1504" s="7" t="n">
        <x:v>68.75000000000001</x:v>
      </x:c>
      <x:c r="G1504" s="7" t="n">
        <x:v>92.1875</x:v>
      </x:c>
      <x:c r="H1504" s="7" t="n">
        <x:f>IF(F1504=0,"n.a.",100*(F1504-G1504)/F1504)</x:f>
        <x:v>-34.090909090909065</x:v>
      </x:c>
      <x:c r="I1504" s="7" t="n">
        <x:f>F1504-G1504</x:f>
        <x:v>-23.437499999999986</x:v>
      </x:c>
      <x:c r="J1504" s="8" t="n">
        <x:v>3.68217789135843</x:v>
      </x:c>
      <x:c r="K1504" s="8" t="n">
        <x:v>3.68217789135843</x:v>
      </x:c>
      <x:c r="L1504" s="8" t="n">
        <x:v>0</x:v>
      </x:c>
      <x:c r="M1504" s="7" t="n">
        <x:v>20.43850001064129</x:v>
      </x:c>
      <x:c r="N1504" s="2" t="str">
        <x:v>repository_particle_dynamics_on_frozen_qubo</x:v>
      </x:c>
      <x:c r="O1504" s="9" t="str">
        <x:v>1101010010</x:v>
      </x:c>
    </x:row>
    <x:row r="1505" ht="18" customHeight="1">
      <x:c r="A1505" s="2" t="str">
        <x:v>controlled_n6_weather_capacity_loss_2</x:v>
      </x:c>
      <x:c r="B1505" s="2" t="str">
        <x:v>QAOA</x:v>
      </x:c>
      <x:c r="C1505" s="2" t="n">
        <x:v>456</x:v>
      </x:c>
      <x:c r="D1505" s="2" t="str">
        <x:v>success</x:v>
      </x:c>
      <x:c r="E1505" s="2" t="n">
        <x:v>10</x:v>
      </x:c>
      <x:c r="F1505" s="7" t="n">
        <x:v>68.75000000000001</x:v>
      </x:c>
      <x:c r="G1505" s="7" t="n">
        <x:v>92.1875</x:v>
      </x:c>
      <x:c r="H1505" s="7" t="n">
        <x:f>IF(F1505=0,"n.a.",100*(F1505-G1505)/F1505)</x:f>
        <x:v>-34.090909090909065</x:v>
      </x:c>
      <x:c r="I1505" s="7" t="n">
        <x:f>F1505-G1505</x:f>
        <x:v>-23.437499999999986</x:v>
      </x:c>
      <x:c r="J1505" s="8" t="n">
        <x:v>3.68217789135843</x:v>
      </x:c>
      <x:c r="K1505" s="8" t="n">
        <x:v>3.68217789135843</x:v>
      </x:c>
      <x:c r="L1505" s="8" t="n">
        <x:v>0</x:v>
      </x:c>
      <x:c r="M1505" s="7" t="n">
        <x:v>679.2584999930114</x:v>
      </x:c>
      <x:c r="N1505" s="2" t="str">
        <x:v>qiskit.primitives.StatevectorSampler</x:v>
      </x:c>
      <x:c r="O1505" s="9" t="str">
        <x:v>0110101100</x:v>
      </x:c>
    </x:row>
    <x:row r="1506" ht="18" customHeight="1">
      <x:c r="A1506" s="2" t="str">
        <x:v>controlled_n6_weather_capacity_loss_2</x:v>
      </x:c>
      <x:c r="B1506" s="2" t="str">
        <x:v>BPSO</x:v>
      </x:c>
      <x:c r="C1506" s="2" t="n">
        <x:v>789</x:v>
      </x:c>
      <x:c r="D1506" s="2" t="str">
        <x:v>success</x:v>
      </x:c>
      <x:c r="E1506" s="2" t="n">
        <x:v>10</x:v>
      </x:c>
      <x:c r="F1506" s="7" t="n">
        <x:v>68.75000000000001</x:v>
      </x:c>
      <x:c r="G1506" s="7" t="n">
        <x:v>92.1875</x:v>
      </x:c>
      <x:c r="H1506" s="7" t="n">
        <x:f>IF(F1506=0,"n.a.",100*(F1506-G1506)/F1506)</x:f>
        <x:v>-34.090909090909065</x:v>
      </x:c>
      <x:c r="I1506" s="7" t="n">
        <x:f>F1506-G1506</x:f>
        <x:v>-23.437499999999986</x:v>
      </x:c>
      <x:c r="J1506" s="8" t="n">
        <x:v>3.68217789135843</x:v>
      </x:c>
      <x:c r="K1506" s="8" t="n">
        <x:v>3.68217789135843</x:v>
      </x:c>
      <x:c r="L1506" s="8" t="n">
        <x:v>0</x:v>
      </x:c>
      <x:c r="M1506" s="7" t="n">
        <x:v>20.396899999468587</x:v>
      </x:c>
      <x:c r="N1506" s="2" t="str">
        <x:v>repository_particle_dynamics_on_frozen_qubo</x:v>
      </x:c>
      <x:c r="O1506" s="9" t="str">
        <x:v>1011001100</x:v>
      </x:c>
    </x:row>
    <x:row r="1507" ht="18" customHeight="1">
      <x:c r="A1507" s="2" t="str">
        <x:v>controlled_n6_weather_capacity_loss_2</x:v>
      </x:c>
      <x:c r="B1507" s="2" t="str">
        <x:v>QAOA</x:v>
      </x:c>
      <x:c r="C1507" s="2" t="n">
        <x:v>789</x:v>
      </x:c>
      <x:c r="D1507" s="2" t="str">
        <x:v>success</x:v>
      </x:c>
      <x:c r="E1507" s="2" t="n">
        <x:v>10</x:v>
      </x:c>
      <x:c r="F1507" s="7" t="n">
        <x:v>68.75000000000001</x:v>
      </x:c>
      <x:c r="G1507" s="7" t="n">
        <x:v>92.1875</x:v>
      </x:c>
      <x:c r="H1507" s="7" t="n">
        <x:f>IF(F1507=0,"n.a.",100*(F1507-G1507)/F1507)</x:f>
        <x:v>-34.090909090909065</x:v>
      </x:c>
      <x:c r="I1507" s="7" t="n">
        <x:f>F1507-G1507</x:f>
        <x:v>-23.437499999999986</x:v>
      </x:c>
      <x:c r="J1507" s="8" t="n">
        <x:v>3.68217789135843</x:v>
      </x:c>
      <x:c r="K1507" s="8" t="n">
        <x:v>3.68217789135843</x:v>
      </x:c>
      <x:c r="L1507" s="8" t="n">
        <x:v>0</x:v>
      </x:c>
      <x:c r="M1507" s="7" t="n">
        <x:v>735.1936999912141</x:v>
      </x:c>
      <x:c r="N1507" s="2" t="str">
        <x:v>qiskit.primitives.StatevectorSampler</x:v>
      </x:c>
      <x:c r="O1507" s="9" t="str">
        <x:v>1100110100</x:v>
      </x:c>
    </x:row>
    <x:row r="1508" ht="18" customHeight="1">
      <x:c r="A1508" s="2" t="str">
        <x:v>controlled_n6_weather_capacity_loss_2</x:v>
      </x:c>
      <x:c r="B1508" s="2" t="str">
        <x:v>BPSO</x:v>
      </x:c>
      <x:c r="C1508" s="2" t="n">
        <x:v>2026</x:v>
      </x:c>
      <x:c r="D1508" s="2" t="str">
        <x:v>success</x:v>
      </x:c>
      <x:c r="E1508" s="2" t="n">
        <x:v>10</x:v>
      </x:c>
      <x:c r="F1508" s="7" t="n">
        <x:v>68.75000000000001</x:v>
      </x:c>
      <x:c r="G1508" s="7" t="n">
        <x:v>92.1875</x:v>
      </x:c>
      <x:c r="H1508" s="7" t="n">
        <x:f>IF(F1508=0,"n.a.",100*(F1508-G1508)/F1508)</x:f>
        <x:v>-34.090909090909065</x:v>
      </x:c>
      <x:c r="I1508" s="7" t="n">
        <x:f>F1508-G1508</x:f>
        <x:v>-23.437499999999986</x:v>
      </x:c>
      <x:c r="J1508" s="8" t="n">
        <x:v>3.68217789135843</x:v>
      </x:c>
      <x:c r="K1508" s="8" t="n">
        <x:v>3.68217789135843</x:v>
      </x:c>
      <x:c r="L1508" s="8" t="n">
        <x:v>0</x:v>
      </x:c>
      <x:c r="M1508" s="7" t="n">
        <x:v>20.364699987112544</x:v>
      </x:c>
      <x:c r="N1508" s="2" t="str">
        <x:v>repository_particle_dynamics_on_frozen_qubo</x:v>
      </x:c>
      <x:c r="O1508" s="9" t="str">
        <x:v>1010101010</x:v>
      </x:c>
    </x:row>
    <x:row r="1509" ht="18" customHeight="1">
      <x:c r="A1509" s="2" t="str">
        <x:v>controlled_n6_weather_capacity_loss_2</x:v>
      </x:c>
      <x:c r="B1509" s="2" t="str">
        <x:v>QAOA</x:v>
      </x:c>
      <x:c r="C1509" s="2" t="n">
        <x:v>2026</x:v>
      </x:c>
      <x:c r="D1509" s="2" t="str">
        <x:v>success</x:v>
      </x:c>
      <x:c r="E1509" s="2" t="n">
        <x:v>10</x:v>
      </x:c>
      <x:c r="F1509" s="7" t="n">
        <x:v>68.75000000000001</x:v>
      </x:c>
      <x:c r="G1509" s="7" t="n">
        <x:v>92.1875</x:v>
      </x:c>
      <x:c r="H1509" s="7" t="n">
        <x:f>IF(F1509=0,"n.a.",100*(F1509-G1509)/F1509)</x:f>
        <x:v>-34.090909090909065</x:v>
      </x:c>
      <x:c r="I1509" s="7" t="n">
        <x:f>F1509-G1509</x:f>
        <x:v>-23.437499999999986</x:v>
      </x:c>
      <x:c r="J1509" s="8" t="n">
        <x:v>3.68217789135843</x:v>
      </x:c>
      <x:c r="K1509" s="8" t="n">
        <x:v>3.68217789135843</x:v>
      </x:c>
      <x:c r="L1509" s="8" t="n">
        <x:v>0</x:v>
      </x:c>
      <x:c r="M1509" s="7" t="n">
        <x:v>793.259099998977</x:v>
      </x:c>
      <x:c r="N1509" s="2" t="str">
        <x:v>qiskit.primitives.StatevectorSampler</x:v>
      </x:c>
      <x:c r="O1509" s="9" t="str">
        <x:v>1100101100</x:v>
      </x:c>
    </x:row>
    <x:row r="1510" ht="18" customHeight="1">
      <x:c r="A1510" s="2" t="str">
        <x:v>controlled_n6_weather_capacity_loss_3</x:v>
      </x:c>
      <x:c r="B1510" s="2" t="str">
        <x:v>Unmanaged</x:v>
      </x:c>
      <x:c r="C1510" s="2"/>
      <x:c r="D1510" s="2" t="str">
        <x:v>baseline</x:v>
      </x:c>
      <x:c r="E1510" s="2" t="n">
        <x:v>10</x:v>
      </x:c>
      <x:c r="F1510" s="7" t="n">
        <x:v>91.66666666666667</x:v>
      </x:c>
      <x:c r="G1510" s="7" t="n">
        <x:v>91.66666666666667</x:v>
      </x:c>
      <x:c r="H1510" s="7" t="n">
        <x:f>IF(F1510=0,"n.a.",100*(F1510-G1510)/F1510)</x:f>
        <x:v>0</x:v>
      </x:c>
      <x:c r="I1510" s="7" t="n">
        <x:f>F1510-G1510</x:f>
        <x:v>0</x:v>
      </x:c>
      <x:c r="J1510" s="8"/>
      <x:c r="K1510" s="8" t="n">
        <x:v>15.938936506915866</x:v>
      </x:c>
      <x:c r="L1510" s="8"/>
      <x:c r="M1510" s="7"/>
      <x:c r="N1510" s="2" t="str">
        <x:v>unmanaged_input</x:v>
      </x:c>
      <x:c r="O1510" s="9"/>
    </x:row>
    <x:row r="1511" ht="18" customHeight="1">
      <x:c r="A1511" s="2" t="str">
        <x:v>controlled_n6_weather_capacity_loss_3</x:v>
      </x:c>
      <x:c r="B1511" s="2" t="str">
        <x:v>Exact J</x:v>
      </x:c>
      <x:c r="C1511" s="2"/>
      <x:c r="D1511" s="2" t="str">
        <x:v>success</x:v>
      </x:c>
      <x:c r="E1511" s="2" t="n">
        <x:v>10</x:v>
      </x:c>
      <x:c r="F1511" s="7" t="n">
        <x:v>91.66666666666667</x:v>
      </x:c>
      <x:c r="G1511" s="7" t="n">
        <x:v>141.66666666666669</x:v>
      </x:c>
      <x:c r="H1511" s="7" t="n">
        <x:f>IF(F1511=0,"n.a.",100*(F1511-G1511)/F1511)</x:f>
        <x:v>-54.54545454545456</x:v>
      </x:c>
      <x:c r="I1511" s="7" t="n">
        <x:f>F1511-G1511</x:f>
        <x:v>-50.000000000000014</x:v>
      </x:c>
      <x:c r="J1511" s="8" t="n">
        <x:v>15.938936506915866</x:v>
      </x:c>
      <x:c r="K1511" s="8" t="n">
        <x:v>15.938936506915866</x:v>
      </x:c>
      <x:c r="L1511" s="8" t="n">
        <x:v>0</x:v>
      </x:c>
      <x:c r="M1511" s="7"/>
      <x:c r="N1511" s="2" t="str">
        <x:v>exhaustive_enumeration</x:v>
      </x:c>
      <x:c r="O1511" s="9" t="str">
        <x:v>0111000100</x:v>
      </x:c>
    </x:row>
    <x:row r="1512" ht="18" customHeight="1">
      <x:c r="A1512" s="2" t="str">
        <x:v>controlled_n6_weather_capacity_loss_3</x:v>
      </x:c>
      <x:c r="B1512" s="2" t="str">
        <x:v>Exact peak</x:v>
      </x:c>
      <x:c r="C1512" s="2"/>
      <x:c r="D1512" s="2" t="str">
        <x:v>success</x:v>
      </x:c>
      <x:c r="E1512" s="2" t="n">
        <x:v>10</x:v>
      </x:c>
      <x:c r="F1512" s="7" t="n">
        <x:v>91.66666666666667</x:v>
      </x:c>
      <x:c r="G1512" s="7" t="n">
        <x:v>133.33333333333331</x:v>
      </x:c>
      <x:c r="H1512" s="7" t="n">
        <x:f>IF(F1512=0,"n.a.",100*(F1512-G1512)/F1512)</x:f>
        <x:v>-45.454545454545425</x:v>
      </x:c>
      <x:c r="I1512" s="7" t="n">
        <x:f>F1512-G1512</x:f>
        <x:v>-41.66666666666664</x:v>
      </x:c>
      <x:c r="J1512" s="8" t="n">
        <x:v>16.094312664323272</x:v>
      </x:c>
      <x:c r="K1512" s="8" t="n">
        <x:v>15.938936506915866</x:v>
      </x:c>
      <x:c r="L1512" s="8" t="n">
        <x:v>0.15537615740740662</x:v>
      </x:c>
      <x:c r="M1512" s="7"/>
      <x:c r="N1512" s="2" t="str">
        <x:v>exhaustive_enumeration</x:v>
      </x:c>
      <x:c r="O1512" s="9" t="str">
        <x:v>1111000100</x:v>
      </x:c>
    </x:row>
    <x:row r="1513" ht="18" customHeight="1">
      <x:c r="A1513" s="2" t="str">
        <x:v>controlled_n6_weather_capacity_loss_3</x:v>
      </x:c>
      <x:c r="B1513" s="2" t="str">
        <x:v>BPSO</x:v>
      </x:c>
      <x:c r="C1513" s="2" t="n">
        <x:v>42</x:v>
      </x:c>
      <x:c r="D1513" s="2" t="str">
        <x:v>success</x:v>
      </x:c>
      <x:c r="E1513" s="2" t="n">
        <x:v>10</x:v>
      </x:c>
      <x:c r="F1513" s="7" t="n">
        <x:v>91.66666666666667</x:v>
      </x:c>
      <x:c r="G1513" s="7" t="n">
        <x:v>141.66666666666669</x:v>
      </x:c>
      <x:c r="H1513" s="7" t="n">
        <x:f>IF(F1513=0,"n.a.",100*(F1513-G1513)/F1513)</x:f>
        <x:v>-54.54545454545456</x:v>
      </x:c>
      <x:c r="I1513" s="7" t="n">
        <x:f>F1513-G1513</x:f>
        <x:v>-50.000000000000014</x:v>
      </x:c>
      <x:c r="J1513" s="8" t="n">
        <x:v>15.938936506915866</x:v>
      </x:c>
      <x:c r="K1513" s="8" t="n">
        <x:v>15.938936506915866</x:v>
      </x:c>
      <x:c r="L1513" s="8" t="n">
        <x:v>0</x:v>
      </x:c>
      <x:c r="M1513" s="7" t="n">
        <x:v>20.47139999922365</x:v>
      </x:c>
      <x:c r="N1513" s="2" t="str">
        <x:v>repository_particle_dynamics_on_frozen_qubo</x:v>
      </x:c>
      <x:c r="O1513" s="9" t="str">
        <x:v>1110100000</x:v>
      </x:c>
    </x:row>
    <x:row r="1514" ht="18" customHeight="1">
      <x:c r="A1514" s="2" t="str">
        <x:v>controlled_n6_weather_capacity_loss_3</x:v>
      </x:c>
      <x:c r="B1514" s="2" t="str">
        <x:v>QAOA</x:v>
      </x:c>
      <x:c r="C1514" s="2" t="n">
        <x:v>42</x:v>
      </x:c>
      <x:c r="D1514" s="2" t="str">
        <x:v>success</x:v>
      </x:c>
      <x:c r="E1514" s="2" t="n">
        <x:v>10</x:v>
      </x:c>
      <x:c r="F1514" s="7" t="n">
        <x:v>91.66666666666667</x:v>
      </x:c>
      <x:c r="G1514" s="7" t="n">
        <x:v>141.66666666666669</x:v>
      </x:c>
      <x:c r="H1514" s="7" t="n">
        <x:f>IF(F1514=0,"n.a.",100*(F1514-G1514)/F1514)</x:f>
        <x:v>-54.54545454545456</x:v>
      </x:c>
      <x:c r="I1514" s="7" t="n">
        <x:f>F1514-G1514</x:f>
        <x:v>-50.000000000000014</x:v>
      </x:c>
      <x:c r="J1514" s="8" t="n">
        <x:v>15.938936506915864</x:v>
      </x:c>
      <x:c r="K1514" s="8" t="n">
        <x:v>15.938936506915866</x:v>
      </x:c>
      <x:c r="L1514" s="8" t="n">
        <x:v>0</x:v>
      </x:c>
      <x:c r="M1514" s="7" t="n">
        <x:v>695.8429999940563</x:v>
      </x:c>
      <x:c r="N1514" s="2" t="str">
        <x:v>qiskit.primitives.StatevectorSampler</x:v>
      </x:c>
      <x:c r="O1514" s="9" t="str">
        <x:v>0111001000</x:v>
      </x:c>
    </x:row>
    <x:row r="1515" ht="18" customHeight="1">
      <x:c r="A1515" s="2" t="str">
        <x:v>controlled_n6_weather_capacity_loss_3</x:v>
      </x:c>
      <x:c r="B1515" s="2" t="str">
        <x:v>BPSO</x:v>
      </x:c>
      <x:c r="C1515" s="2" t="n">
        <x:v>123</x:v>
      </x:c>
      <x:c r="D1515" s="2" t="str">
        <x:v>success</x:v>
      </x:c>
      <x:c r="E1515" s="2" t="n">
        <x:v>10</x:v>
      </x:c>
      <x:c r="F1515" s="7" t="n">
        <x:v>91.66666666666667</x:v>
      </x:c>
      <x:c r="G1515" s="7" t="n">
        <x:v>141.66666666666669</x:v>
      </x:c>
      <x:c r="H1515" s="7" t="n">
        <x:f>IF(F1515=0,"n.a.",100*(F1515-G1515)/F1515)</x:f>
        <x:v>-54.54545454545456</x:v>
      </x:c>
      <x:c r="I1515" s="7" t="n">
        <x:f>F1515-G1515</x:f>
        <x:v>-50.000000000000014</x:v>
      </x:c>
      <x:c r="J1515" s="8" t="n">
        <x:v>16.06158018261317</x:v>
      </x:c>
      <x:c r="K1515" s="8" t="n">
        <x:v>15.938936506915866</x:v>
      </x:c>
      <x:c r="L1515" s="8" t="n">
        <x:v>0.12264367569730439</x:v>
      </x:c>
      <x:c r="M1515" s="7" t="n">
        <x:v>20.358299996587448</x:v>
      </x:c>
      <x:c r="N1515" s="2" t="str">
        <x:v>repository_particle_dynamics_on_frozen_qubo</x:v>
      </x:c>
      <x:c r="O1515" s="9" t="str">
        <x:v>1010011010</x:v>
      </x:c>
    </x:row>
    <x:row r="1516" ht="18" customHeight="1">
      <x:c r="A1516" s="2" t="str">
        <x:v>controlled_n6_weather_capacity_loss_3</x:v>
      </x:c>
      <x:c r="B1516" s="2" t="str">
        <x:v>QAOA</x:v>
      </x:c>
      <x:c r="C1516" s="2" t="n">
        <x:v>123</x:v>
      </x:c>
      <x:c r="D1516" s="2" t="str">
        <x:v>success</x:v>
      </x:c>
      <x:c r="E1516" s="2" t="n">
        <x:v>10</x:v>
      </x:c>
      <x:c r="F1516" s="7" t="n">
        <x:v>91.66666666666667</x:v>
      </x:c>
      <x:c r="G1516" s="7" t="n">
        <x:v>141.66666666666669</x:v>
      </x:c>
      <x:c r="H1516" s="7" t="n">
        <x:f>IF(F1516=0,"n.a.",100*(F1516-G1516)/F1516)</x:f>
        <x:v>-54.54545454545456</x:v>
      </x:c>
      <x:c r="I1516" s="7" t="n">
        <x:f>F1516-G1516</x:f>
        <x:v>-50.000000000000014</x:v>
      </x:c>
      <x:c r="J1516" s="8" t="n">
        <x:v>15.938936506915864</x:v>
      </x:c>
      <x:c r="K1516" s="8" t="n">
        <x:v>15.938936506915866</x:v>
      </x:c>
      <x:c r="L1516" s="8" t="n">
        <x:v>0</x:v>
      </x:c>
      <x:c r="M1516" s="7" t="n">
        <x:v>764.3758000049274</x:v>
      </x:c>
      <x:c r="N1516" s="2" t="str">
        <x:v>qiskit.primitives.StatevectorSampler</x:v>
      </x:c>
      <x:c r="O1516" s="9" t="str">
        <x:v>0111010000</x:v>
      </x:c>
    </x:row>
    <x:row r="1517" ht="18" customHeight="1">
      <x:c r="A1517" s="2" t="str">
        <x:v>controlled_n6_weather_capacity_loss_3</x:v>
      </x:c>
      <x:c r="B1517" s="2" t="str">
        <x:v>BPSO</x:v>
      </x:c>
      <x:c r="C1517" s="2" t="n">
        <x:v>456</x:v>
      </x:c>
      <x:c r="D1517" s="2" t="str">
        <x:v>success</x:v>
      </x:c>
      <x:c r="E1517" s="2" t="n">
        <x:v>10</x:v>
      </x:c>
      <x:c r="F1517" s="7" t="n">
        <x:v>91.66666666666667</x:v>
      </x:c>
      <x:c r="G1517" s="7" t="n">
        <x:v>141.66666666666669</x:v>
      </x:c>
      <x:c r="H1517" s="7" t="n">
        <x:f>IF(F1517=0,"n.a.",100*(F1517-G1517)/F1517)</x:f>
        <x:v>-54.54545454545456</x:v>
      </x:c>
      <x:c r="I1517" s="7" t="n">
        <x:f>F1517-G1517</x:f>
        <x:v>-50.000000000000014</x:v>
      </x:c>
      <x:c r="J1517" s="8" t="n">
        <x:v>15.938936506915866</x:v>
      </x:c>
      <x:c r="K1517" s="8" t="n">
        <x:v>15.938936506915866</x:v>
      </x:c>
      <x:c r="L1517" s="8" t="n">
        <x:v>0</x:v>
      </x:c>
      <x:c r="M1517" s="7" t="n">
        <x:v>25.658499987912364</x:v>
      </x:c>
      <x:c r="N1517" s="2" t="str">
        <x:v>repository_particle_dynamics_on_frozen_qubo</x:v>
      </x:c>
      <x:c r="O1517" s="9" t="str">
        <x:v>1110001000</x:v>
      </x:c>
    </x:row>
    <x:row r="1518" ht="18" customHeight="1">
      <x:c r="A1518" s="2" t="str">
        <x:v>controlled_n6_weather_capacity_loss_3</x:v>
      </x:c>
      <x:c r="B1518" s="2" t="str">
        <x:v>QAOA</x:v>
      </x:c>
      <x:c r="C1518" s="2" t="n">
        <x:v>456</x:v>
      </x:c>
      <x:c r="D1518" s="2" t="str">
        <x:v>success</x:v>
      </x:c>
      <x:c r="E1518" s="2" t="n">
        <x:v>10</x:v>
      </x:c>
      <x:c r="F1518" s="7" t="n">
        <x:v>91.66666666666667</x:v>
      </x:c>
      <x:c r="G1518" s="7" t="n">
        <x:v>141.66666666666669</x:v>
      </x:c>
      <x:c r="H1518" s="7" t="n">
        <x:f>IF(F1518=0,"n.a.",100*(F1518-G1518)/F1518)</x:f>
        <x:v>-54.54545454545456</x:v>
      </x:c>
      <x:c r="I1518" s="7" t="n">
        <x:f>F1518-G1518</x:f>
        <x:v>-50.000000000000014</x:v>
      </x:c>
      <x:c r="J1518" s="8" t="n">
        <x:v>15.938936506915864</x:v>
      </x:c>
      <x:c r="K1518" s="8" t="n">
        <x:v>15.938936506915866</x:v>
      </x:c>
      <x:c r="L1518" s="8" t="n">
        <x:v>0</x:v>
      </x:c>
      <x:c r="M1518" s="7" t="n">
        <x:v>660.311500003445</x:v>
      </x:c>
      <x:c r="N1518" s="2" t="str">
        <x:v>qiskit.primitives.StatevectorSampler</x:v>
      </x:c>
      <x:c r="O1518" s="9" t="str">
        <x:v>1101100000</x:v>
      </x:c>
    </x:row>
    <x:row r="1519" ht="18" customHeight="1">
      <x:c r="A1519" s="2" t="str">
        <x:v>controlled_n6_weather_capacity_loss_3</x:v>
      </x:c>
      <x:c r="B1519" s="2" t="str">
        <x:v>BPSO</x:v>
      </x:c>
      <x:c r="C1519" s="2" t="n">
        <x:v>789</x:v>
      </x:c>
      <x:c r="D1519" s="2" t="str">
        <x:v>success</x:v>
      </x:c>
      <x:c r="E1519" s="2" t="n">
        <x:v>10</x:v>
      </x:c>
      <x:c r="F1519" s="7" t="n">
        <x:v>91.66666666666667</x:v>
      </x:c>
      <x:c r="G1519" s="7" t="n">
        <x:v>141.66666666666669</x:v>
      </x:c>
      <x:c r="H1519" s="7" t="n">
        <x:f>IF(F1519=0,"n.a.",100*(F1519-G1519)/F1519)</x:f>
        <x:v>-54.54545454545456</x:v>
      </x:c>
      <x:c r="I1519" s="7" t="n">
        <x:f>F1519-G1519</x:f>
        <x:v>-50.000000000000014</x:v>
      </x:c>
      <x:c r="J1519" s="8" t="n">
        <x:v>16.06158018261317</x:v>
      </x:c>
      <x:c r="K1519" s="8" t="n">
        <x:v>15.938936506915866</x:v>
      </x:c>
      <x:c r="L1519" s="8" t="n">
        <x:v>0.12264367569730439</x:v>
      </x:c>
      <x:c r="M1519" s="7" t="n">
        <x:v>21.77899998787325</x:v>
      </x:c>
      <x:c r="N1519" s="2" t="str">
        <x:v>repository_particle_dynamics_on_frozen_qubo</x:v>
      </x:c>
      <x:c r="O1519" s="9" t="str">
        <x:v>0110101010</x:v>
      </x:c>
    </x:row>
    <x:row r="1520" ht="18" customHeight="1">
      <x:c r="A1520" s="2" t="str">
        <x:v>controlled_n6_weather_capacity_loss_3</x:v>
      </x:c>
      <x:c r="B1520" s="2" t="str">
        <x:v>QAOA</x:v>
      </x:c>
      <x:c r="C1520" s="2" t="n">
        <x:v>789</x:v>
      </x:c>
      <x:c r="D1520" s="2" t="str">
        <x:v>success</x:v>
      </x:c>
      <x:c r="E1520" s="2" t="n">
        <x:v>10</x:v>
      </x:c>
      <x:c r="F1520" s="7" t="n">
        <x:v>91.66666666666667</x:v>
      </x:c>
      <x:c r="G1520" s="7" t="n">
        <x:v>141.66666666666669</x:v>
      </x:c>
      <x:c r="H1520" s="7" t="n">
        <x:f>IF(F1520=0,"n.a.",100*(F1520-G1520)/F1520)</x:f>
        <x:v>-54.54545454545456</x:v>
      </x:c>
      <x:c r="I1520" s="7" t="n">
        <x:f>F1520-G1520</x:f>
        <x:v>-50.000000000000014</x:v>
      </x:c>
      <x:c r="J1520" s="8" t="n">
        <x:v>15.938936506915864</x:v>
      </x:c>
      <x:c r="K1520" s="8" t="n">
        <x:v>15.938936506915866</x:v>
      </x:c>
      <x:c r="L1520" s="8" t="n">
        <x:v>0</x:v>
      </x:c>
      <x:c r="M1520" s="7" t="n">
        <x:v>627.2867999941809</x:v>
      </x:c>
      <x:c r="N1520" s="2" t="str">
        <x:v>qiskit.primitives.StatevectorSampler</x:v>
      </x:c>
      <x:c r="O1520" s="9" t="str">
        <x:v>1110000100</x:v>
      </x:c>
    </x:row>
    <x:row r="1521" ht="18" customHeight="1">
      <x:c r="A1521" s="2" t="str">
        <x:v>controlled_n6_weather_capacity_loss_3</x:v>
      </x:c>
      <x:c r="B1521" s="2" t="str">
        <x:v>BPSO</x:v>
      </x:c>
      <x:c r="C1521" s="2" t="n">
        <x:v>2026</x:v>
      </x:c>
      <x:c r="D1521" s="2" t="str">
        <x:v>success</x:v>
      </x:c>
      <x:c r="E1521" s="2" t="n">
        <x:v>10</x:v>
      </x:c>
      <x:c r="F1521" s="7" t="n">
        <x:v>91.66666666666667</x:v>
      </x:c>
      <x:c r="G1521" s="7" t="n">
        <x:v>141.66666666666669</x:v>
      </x:c>
      <x:c r="H1521" s="7" t="n">
        <x:f>IF(F1521=0,"n.a.",100*(F1521-G1521)/F1521)</x:f>
        <x:v>-54.54545454545456</x:v>
      </x:c>
      <x:c r="I1521" s="7" t="n">
        <x:f>F1521-G1521</x:f>
        <x:v>-50.000000000000014</x:v>
      </x:c>
      <x:c r="J1521" s="8" t="n">
        <x:v>15.938936506915866</x:v>
      </x:c>
      <x:c r="K1521" s="8" t="n">
        <x:v>15.938936506915866</x:v>
      </x:c>
      <x:c r="L1521" s="8" t="n">
        <x:v>0</x:v>
      </x:c>
      <x:c r="M1521" s="7" t="n">
        <x:v>23.05299999716226</x:v>
      </x:c>
      <x:c r="N1521" s="2" t="str">
        <x:v>repository_particle_dynamics_on_frozen_qubo</x:v>
      </x:c>
      <x:c r="O1521" s="9" t="str">
        <x:v>1110000100</x:v>
      </x:c>
    </x:row>
    <x:row r="1522" ht="18" customHeight="1">
      <x:c r="A1522" s="2" t="str">
        <x:v>controlled_n6_weather_capacity_loss_3</x:v>
      </x:c>
      <x:c r="B1522" s="2" t="str">
        <x:v>QAOA</x:v>
      </x:c>
      <x:c r="C1522" s="2" t="n">
        <x:v>2026</x:v>
      </x:c>
      <x:c r="D1522" s="2" t="str">
        <x:v>success</x:v>
      </x:c>
      <x:c r="E1522" s="2" t="n">
        <x:v>10</x:v>
      </x:c>
      <x:c r="F1522" s="7" t="n">
        <x:v>91.66666666666667</x:v>
      </x:c>
      <x:c r="G1522" s="7" t="n">
        <x:v>141.66666666666669</x:v>
      </x:c>
      <x:c r="H1522" s="7" t="n">
        <x:f>IF(F1522=0,"n.a.",100*(F1522-G1522)/F1522)</x:f>
        <x:v>-54.54545454545456</x:v>
      </x:c>
      <x:c r="I1522" s="7" t="n">
        <x:f>F1522-G1522</x:f>
        <x:v>-50.000000000000014</x:v>
      </x:c>
      <x:c r="J1522" s="8" t="n">
        <x:v>15.938936506915864</x:v>
      </x:c>
      <x:c r="K1522" s="8" t="n">
        <x:v>15.938936506915866</x:v>
      </x:c>
      <x:c r="L1522" s="8" t="n">
        <x:v>0</x:v>
      </x:c>
      <x:c r="M1522" s="7" t="n">
        <x:v>882.4495999870123</x:v>
      </x:c>
      <x:c r="N1522" s="2" t="str">
        <x:v>qiskit.primitives.StatevectorSampler</x:v>
      </x:c>
      <x:c r="O1522" s="9" t="str">
        <x:v>0111010000</x:v>
      </x:c>
    </x:row>
    <x:row r="1523" ht="18" customHeight="1">
      <x:c r="A1523" s="2" t="str">
        <x:v>diagnostic_one_detour</x:v>
      </x:c>
      <x:c r="B1523" s="2" t="str">
        <x:v>Unmanaged</x:v>
      </x:c>
      <x:c r="C1523" s="2"/>
      <x:c r="D1523" s="2" t="str">
        <x:v>baseline</x:v>
      </x:c>
      <x:c r="E1523" s="2" t="n">
        <x:v>0</x:v>
      </x:c>
      <x:c r="F1523" s="7" t="n">
        <x:v>80</x:v>
      </x:c>
      <x:c r="G1523" s="7" t="n">
        <x:v>80</x:v>
      </x:c>
      <x:c r="H1523" s="7" t="n">
        <x:f>IF(F1523=0,"n.a.",100*(F1523-G1523)/F1523)</x:f>
        <x:v>0</x:v>
      </x:c>
      <x:c r="I1523" s="7" t="n">
        <x:f>F1523-G1523</x:f>
        <x:v>0</x:v>
      </x:c>
      <x:c r="J1523" s="8"/>
      <x:c r="K1523" s="8" t="n">
        <x:v>0.6360000000000001</x:v>
      </x:c>
      <x:c r="L1523" s="8"/>
      <x:c r="M1523" s="7"/>
      <x:c r="N1523" s="2" t="str">
        <x:v>unmanaged_input</x:v>
      </x:c>
      <x:c r="O1523" s="9"/>
    </x:row>
    <x:row r="1524" ht="18" customHeight="1">
      <x:c r="A1524" s="2" t="str">
        <x:v>diagnostic_one_detour</x:v>
      </x:c>
      <x:c r="B1524" s="2" t="str">
        <x:v>Exact J</x:v>
      </x:c>
      <x:c r="C1524" s="2"/>
      <x:c r="D1524" s="2" t="str">
        <x:v>no_eligible_routes</x:v>
      </x:c>
      <x:c r="E1524" s="2" t="n">
        <x:v>0</x:v>
      </x:c>
      <x:c r="F1524" s="7" t="n">
        <x:v>80</x:v>
      </x:c>
      <x:c r="G1524" s="7" t="n">
        <x:v>80</x:v>
      </x:c>
      <x:c r="H1524" s="7" t="n">
        <x:f>IF(F1524=0,"n.a.",100*(F1524-G1524)/F1524)</x:f>
        <x:v>0</x:v>
      </x:c>
      <x:c r="I1524" s="7" t="n">
        <x:f>F1524-G1524</x:f>
        <x:v>0</x:v>
      </x:c>
      <x:c r="J1524" s="8" t="n">
        <x:v>0.6360000000000001</x:v>
      </x:c>
      <x:c r="K1524" s="8" t="n">
        <x:v>0.6360000000000001</x:v>
      </x:c>
      <x:c r="L1524" s="8" t="n">
        <x:v>0</x:v>
      </x:c>
      <x:c r="M1524" s="7" t="n">
        <x:v>0</x:v>
      </x:c>
      <x:c r="N1524" s="2" t="str">
        <x:v>not_invoked</x:v>
      </x:c>
      <x:c r="O1524" s="9" t="str"/>
    </x:row>
    <x:row r="1525" ht="18" customHeight="1">
      <x:c r="A1525" s="2" t="str">
        <x:v>diagnostic_one_detour</x:v>
      </x:c>
      <x:c r="B1525" s="2" t="str">
        <x:v>Exact peak</x:v>
      </x:c>
      <x:c r="C1525" s="2"/>
      <x:c r="D1525" s="2" t="str">
        <x:v>no_eligible_routes</x:v>
      </x:c>
      <x:c r="E1525" s="2" t="n">
        <x:v>0</x:v>
      </x:c>
      <x:c r="F1525" s="7" t="n">
        <x:v>80</x:v>
      </x:c>
      <x:c r="G1525" s="7" t="n">
        <x:v>80</x:v>
      </x:c>
      <x:c r="H1525" s="7" t="n">
        <x:f>IF(F1525=0,"n.a.",100*(F1525-G1525)/F1525)</x:f>
        <x:v>0</x:v>
      </x:c>
      <x:c r="I1525" s="7" t="n">
        <x:f>F1525-G1525</x:f>
        <x:v>0</x:v>
      </x:c>
      <x:c r="J1525" s="8" t="n">
        <x:v>0.6360000000000001</x:v>
      </x:c>
      <x:c r="K1525" s="8" t="n">
        <x:v>0.6360000000000001</x:v>
      </x:c>
      <x:c r="L1525" s="8" t="n">
        <x:v>0</x:v>
      </x:c>
      <x:c r="M1525" s="7" t="n">
        <x:v>0</x:v>
      </x:c>
      <x:c r="N1525" s="2" t="str">
        <x:v>not_invoked</x:v>
      </x:c>
      <x:c r="O1525" s="9" t="str"/>
    </x:row>
    <x:row r="1526" ht="18" customHeight="1">
      <x:c r="A1526" s="2" t="str">
        <x:v>diagnostic_one_detour</x:v>
      </x:c>
      <x:c r="B1526" s="2" t="str">
        <x:v>BPSO</x:v>
      </x:c>
      <x:c r="C1526" s="2" t="n">
        <x:v>42</x:v>
      </x:c>
      <x:c r="D1526" s="2" t="str">
        <x:v>no_eligible_routes</x:v>
      </x:c>
      <x:c r="E1526" s="2" t="n">
        <x:v>0</x:v>
      </x:c>
      <x:c r="F1526" s="7" t="n">
        <x:v>80</x:v>
      </x:c>
      <x:c r="G1526" s="7" t="n">
        <x:v>80</x:v>
      </x:c>
      <x:c r="H1526" s="7" t="n">
        <x:f>IF(F1526=0,"n.a.",100*(F1526-G1526)/F1526)</x:f>
        <x:v>0</x:v>
      </x:c>
      <x:c r="I1526" s="7" t="n">
        <x:f>F1526-G1526</x:f>
        <x:v>0</x:v>
      </x:c>
      <x:c r="J1526" s="8" t="n">
        <x:v>0.6360000000000001</x:v>
      </x:c>
      <x:c r="K1526" s="8" t="n">
        <x:v>0.6360000000000001</x:v>
      </x:c>
      <x:c r="L1526" s="8" t="n">
        <x:v>0</x:v>
      </x:c>
      <x:c r="M1526" s="7" t="n">
        <x:v>0</x:v>
      </x:c>
      <x:c r="N1526" s="2" t="str">
        <x:v>not_invoked</x:v>
      </x:c>
      <x:c r="O1526" s="9" t="str"/>
    </x:row>
    <x:row r="1527" ht="18" customHeight="1">
      <x:c r="A1527" s="2" t="str">
        <x:v>diagnostic_one_detour</x:v>
      </x:c>
      <x:c r="B1527" s="2" t="str">
        <x:v>QAOA</x:v>
      </x:c>
      <x:c r="C1527" s="2" t="n">
        <x:v>42</x:v>
      </x:c>
      <x:c r="D1527" s="2" t="str">
        <x:v>no_eligible_routes</x:v>
      </x:c>
      <x:c r="E1527" s="2" t="n">
        <x:v>0</x:v>
      </x:c>
      <x:c r="F1527" s="7" t="n">
        <x:v>80</x:v>
      </x:c>
      <x:c r="G1527" s="7" t="n">
        <x:v>80</x:v>
      </x:c>
      <x:c r="H1527" s="7" t="n">
        <x:f>IF(F1527=0,"n.a.",100*(F1527-G1527)/F1527)</x:f>
        <x:v>0</x:v>
      </x:c>
      <x:c r="I1527" s="7" t="n">
        <x:f>F1527-G1527</x:f>
        <x:v>0</x:v>
      </x:c>
      <x:c r="J1527" s="8" t="n">
        <x:v>0.6360000000000001</x:v>
      </x:c>
      <x:c r="K1527" s="8" t="n">
        <x:v>0.6360000000000001</x:v>
      </x:c>
      <x:c r="L1527" s="8" t="n">
        <x:v>0</x:v>
      </x:c>
      <x:c r="M1527" s="7" t="n">
        <x:v>0</x:v>
      </x:c>
      <x:c r="N1527" s="2" t="str">
        <x:v>not_invoked</x:v>
      </x:c>
      <x:c r="O1527" s="9" t="str"/>
    </x:row>
    <x:row r="1528" ht="18" customHeight="1">
      <x:c r="A1528" s="2" t="str">
        <x:v>diagnostic_one_detour</x:v>
      </x:c>
      <x:c r="B1528" s="2" t="str">
        <x:v>BPSO</x:v>
      </x:c>
      <x:c r="C1528" s="2" t="n">
        <x:v>123</x:v>
      </x:c>
      <x:c r="D1528" s="2" t="str">
        <x:v>no_eligible_routes</x:v>
      </x:c>
      <x:c r="E1528" s="2" t="n">
        <x:v>0</x:v>
      </x:c>
      <x:c r="F1528" s="7" t="n">
        <x:v>80</x:v>
      </x:c>
      <x:c r="G1528" s="7" t="n">
        <x:v>80</x:v>
      </x:c>
      <x:c r="H1528" s="7" t="n">
        <x:f>IF(F1528=0,"n.a.",100*(F1528-G1528)/F1528)</x:f>
        <x:v>0</x:v>
      </x:c>
      <x:c r="I1528" s="7" t="n">
        <x:f>F1528-G1528</x:f>
        <x:v>0</x:v>
      </x:c>
      <x:c r="J1528" s="8" t="n">
        <x:v>0.6360000000000001</x:v>
      </x:c>
      <x:c r="K1528" s="8" t="n">
        <x:v>0.6360000000000001</x:v>
      </x:c>
      <x:c r="L1528" s="8" t="n">
        <x:v>0</x:v>
      </x:c>
      <x:c r="M1528" s="7" t="n">
        <x:v>0</x:v>
      </x:c>
      <x:c r="N1528" s="2" t="str">
        <x:v>not_invoked</x:v>
      </x:c>
      <x:c r="O1528" s="9" t="str"/>
    </x:row>
    <x:row r="1529" ht="18" customHeight="1">
      <x:c r="A1529" s="2" t="str">
        <x:v>diagnostic_one_detour</x:v>
      </x:c>
      <x:c r="B1529" s="2" t="str">
        <x:v>QAOA</x:v>
      </x:c>
      <x:c r="C1529" s="2" t="n">
        <x:v>123</x:v>
      </x:c>
      <x:c r="D1529" s="2" t="str">
        <x:v>no_eligible_routes</x:v>
      </x:c>
      <x:c r="E1529" s="2" t="n">
        <x:v>0</x:v>
      </x:c>
      <x:c r="F1529" s="7" t="n">
        <x:v>80</x:v>
      </x:c>
      <x:c r="G1529" s="7" t="n">
        <x:v>80</x:v>
      </x:c>
      <x:c r="H1529" s="7" t="n">
        <x:f>IF(F1529=0,"n.a.",100*(F1529-G1529)/F1529)</x:f>
        <x:v>0</x:v>
      </x:c>
      <x:c r="I1529" s="7" t="n">
        <x:f>F1529-G1529</x:f>
        <x:v>0</x:v>
      </x:c>
      <x:c r="J1529" s="8" t="n">
        <x:v>0.6360000000000001</x:v>
      </x:c>
      <x:c r="K1529" s="8" t="n">
        <x:v>0.6360000000000001</x:v>
      </x:c>
      <x:c r="L1529" s="8" t="n">
        <x:v>0</x:v>
      </x:c>
      <x:c r="M1529" s="7" t="n">
        <x:v>0</x:v>
      </x:c>
      <x:c r="N1529" s="2" t="str">
        <x:v>not_invoked</x:v>
      </x:c>
      <x:c r="O1529" s="9" t="str"/>
    </x:row>
    <x:row r="1530" ht="18" customHeight="1">
      <x:c r="A1530" s="2" t="str">
        <x:v>diagnostic_one_detour</x:v>
      </x:c>
      <x:c r="B1530" s="2" t="str">
        <x:v>BPSO</x:v>
      </x:c>
      <x:c r="C1530" s="2" t="n">
        <x:v>456</x:v>
      </x:c>
      <x:c r="D1530" s="2" t="str">
        <x:v>no_eligible_routes</x:v>
      </x:c>
      <x:c r="E1530" s="2" t="n">
        <x:v>0</x:v>
      </x:c>
      <x:c r="F1530" s="7" t="n">
        <x:v>80</x:v>
      </x:c>
      <x:c r="G1530" s="7" t="n">
        <x:v>80</x:v>
      </x:c>
      <x:c r="H1530" s="7" t="n">
        <x:f>IF(F1530=0,"n.a.",100*(F1530-G1530)/F1530)</x:f>
        <x:v>0</x:v>
      </x:c>
      <x:c r="I1530" s="7" t="n">
        <x:f>F1530-G1530</x:f>
        <x:v>0</x:v>
      </x:c>
      <x:c r="J1530" s="8" t="n">
        <x:v>0.6360000000000001</x:v>
      </x:c>
      <x:c r="K1530" s="8" t="n">
        <x:v>0.6360000000000001</x:v>
      </x:c>
      <x:c r="L1530" s="8" t="n">
        <x:v>0</x:v>
      </x:c>
      <x:c r="M1530" s="7" t="n">
        <x:v>0</x:v>
      </x:c>
      <x:c r="N1530" s="2" t="str">
        <x:v>not_invoked</x:v>
      </x:c>
      <x:c r="O1530" s="9" t="str"/>
    </x:row>
    <x:row r="1531" ht="18" customHeight="1">
      <x:c r="A1531" s="2" t="str">
        <x:v>diagnostic_one_detour</x:v>
      </x:c>
      <x:c r="B1531" s="2" t="str">
        <x:v>QAOA</x:v>
      </x:c>
      <x:c r="C1531" s="2" t="n">
        <x:v>456</x:v>
      </x:c>
      <x:c r="D1531" s="2" t="str">
        <x:v>no_eligible_routes</x:v>
      </x:c>
      <x:c r="E1531" s="2" t="n">
        <x:v>0</x:v>
      </x:c>
      <x:c r="F1531" s="7" t="n">
        <x:v>80</x:v>
      </x:c>
      <x:c r="G1531" s="7" t="n">
        <x:v>80</x:v>
      </x:c>
      <x:c r="H1531" s="7" t="n">
        <x:f>IF(F1531=0,"n.a.",100*(F1531-G1531)/F1531)</x:f>
        <x:v>0</x:v>
      </x:c>
      <x:c r="I1531" s="7" t="n">
        <x:f>F1531-G1531</x:f>
        <x:v>0</x:v>
      </x:c>
      <x:c r="J1531" s="8" t="n">
        <x:v>0.6360000000000001</x:v>
      </x:c>
      <x:c r="K1531" s="8" t="n">
        <x:v>0.6360000000000001</x:v>
      </x:c>
      <x:c r="L1531" s="8" t="n">
        <x:v>0</x:v>
      </x:c>
      <x:c r="M1531" s="7" t="n">
        <x:v>0</x:v>
      </x:c>
      <x:c r="N1531" s="2" t="str">
        <x:v>not_invoked</x:v>
      </x:c>
      <x:c r="O1531" s="9" t="str"/>
    </x:row>
    <x:row r="1532" ht="18" customHeight="1">
      <x:c r="A1532" s="2" t="str">
        <x:v>diagnostic_one_detour</x:v>
      </x:c>
      <x:c r="B1532" s="2" t="str">
        <x:v>BPSO</x:v>
      </x:c>
      <x:c r="C1532" s="2" t="n">
        <x:v>789</x:v>
      </x:c>
      <x:c r="D1532" s="2" t="str">
        <x:v>no_eligible_routes</x:v>
      </x:c>
      <x:c r="E1532" s="2" t="n">
        <x:v>0</x:v>
      </x:c>
      <x:c r="F1532" s="7" t="n">
        <x:v>80</x:v>
      </x:c>
      <x:c r="G1532" s="7" t="n">
        <x:v>80</x:v>
      </x:c>
      <x:c r="H1532" s="7" t="n">
        <x:f>IF(F1532=0,"n.a.",100*(F1532-G1532)/F1532)</x:f>
        <x:v>0</x:v>
      </x:c>
      <x:c r="I1532" s="7" t="n">
        <x:f>F1532-G1532</x:f>
        <x:v>0</x:v>
      </x:c>
      <x:c r="J1532" s="8" t="n">
        <x:v>0.6360000000000001</x:v>
      </x:c>
      <x:c r="K1532" s="8" t="n">
        <x:v>0.6360000000000001</x:v>
      </x:c>
      <x:c r="L1532" s="8" t="n">
        <x:v>0</x:v>
      </x:c>
      <x:c r="M1532" s="7" t="n">
        <x:v>0</x:v>
      </x:c>
      <x:c r="N1532" s="2" t="str">
        <x:v>not_invoked</x:v>
      </x:c>
      <x:c r="O1532" s="9" t="str"/>
    </x:row>
    <x:row r="1533" ht="18" customHeight="1">
      <x:c r="A1533" s="2" t="str">
        <x:v>diagnostic_one_detour</x:v>
      </x:c>
      <x:c r="B1533" s="2" t="str">
        <x:v>QAOA</x:v>
      </x:c>
      <x:c r="C1533" s="2" t="n">
        <x:v>789</x:v>
      </x:c>
      <x:c r="D1533" s="2" t="str">
        <x:v>no_eligible_routes</x:v>
      </x:c>
      <x:c r="E1533" s="2" t="n">
        <x:v>0</x:v>
      </x:c>
      <x:c r="F1533" s="7" t="n">
        <x:v>80</x:v>
      </x:c>
      <x:c r="G1533" s="7" t="n">
        <x:v>80</x:v>
      </x:c>
      <x:c r="H1533" s="7" t="n">
        <x:f>IF(F1533=0,"n.a.",100*(F1533-G1533)/F1533)</x:f>
        <x:v>0</x:v>
      </x:c>
      <x:c r="I1533" s="7" t="n">
        <x:f>F1533-G1533</x:f>
        <x:v>0</x:v>
      </x:c>
      <x:c r="J1533" s="8" t="n">
        <x:v>0.6360000000000001</x:v>
      </x:c>
      <x:c r="K1533" s="8" t="n">
        <x:v>0.6360000000000001</x:v>
      </x:c>
      <x:c r="L1533" s="8" t="n">
        <x:v>0</x:v>
      </x:c>
      <x:c r="M1533" s="7" t="n">
        <x:v>0</x:v>
      </x:c>
      <x:c r="N1533" s="2" t="str">
        <x:v>not_invoked</x:v>
      </x:c>
      <x:c r="O1533" s="9" t="str"/>
    </x:row>
    <x:row r="1534" ht="18" customHeight="1">
      <x:c r="A1534" s="2" t="str">
        <x:v>diagnostic_one_detour</x:v>
      </x:c>
      <x:c r="B1534" s="2" t="str">
        <x:v>BPSO</x:v>
      </x:c>
      <x:c r="C1534" s="2" t="n">
        <x:v>2026</x:v>
      </x:c>
      <x:c r="D1534" s="2" t="str">
        <x:v>no_eligible_routes</x:v>
      </x:c>
      <x:c r="E1534" s="2" t="n">
        <x:v>0</x:v>
      </x:c>
      <x:c r="F1534" s="7" t="n">
        <x:v>80</x:v>
      </x:c>
      <x:c r="G1534" s="7" t="n">
        <x:v>80</x:v>
      </x:c>
      <x:c r="H1534" s="7" t="n">
        <x:f>IF(F1534=0,"n.a.",100*(F1534-G1534)/F1534)</x:f>
        <x:v>0</x:v>
      </x:c>
      <x:c r="I1534" s="7" t="n">
        <x:f>F1534-G1534</x:f>
        <x:v>0</x:v>
      </x:c>
      <x:c r="J1534" s="8" t="n">
        <x:v>0.6360000000000001</x:v>
      </x:c>
      <x:c r="K1534" s="8" t="n">
        <x:v>0.6360000000000001</x:v>
      </x:c>
      <x:c r="L1534" s="8" t="n">
        <x:v>0</x:v>
      </x:c>
      <x:c r="M1534" s="7" t="n">
        <x:v>0</x:v>
      </x:c>
      <x:c r="N1534" s="2" t="str">
        <x:v>not_invoked</x:v>
      </x:c>
      <x:c r="O1534" s="9" t="str"/>
    </x:row>
    <x:row r="1535" ht="18" customHeight="1">
      <x:c r="A1535" s="2" t="str">
        <x:v>diagnostic_one_detour</x:v>
      </x:c>
      <x:c r="B1535" s="2" t="str">
        <x:v>QAOA</x:v>
      </x:c>
      <x:c r="C1535" s="2" t="n">
        <x:v>2026</x:v>
      </x:c>
      <x:c r="D1535" s="2" t="str">
        <x:v>no_eligible_routes</x:v>
      </x:c>
      <x:c r="E1535" s="2" t="n">
        <x:v>0</x:v>
      </x:c>
      <x:c r="F1535" s="7" t="n">
        <x:v>80</x:v>
      </x:c>
      <x:c r="G1535" s="7" t="n">
        <x:v>80</x:v>
      </x:c>
      <x:c r="H1535" s="7" t="n">
        <x:f>IF(F1535=0,"n.a.",100*(F1535-G1535)/F1535)</x:f>
        <x:v>0</x:v>
      </x:c>
      <x:c r="I1535" s="7" t="n">
        <x:f>F1535-G1535</x:f>
        <x:v>0</x:v>
      </x:c>
      <x:c r="J1535" s="8" t="n">
        <x:v>0.6360000000000001</x:v>
      </x:c>
      <x:c r="K1535" s="8" t="n">
        <x:v>0.6360000000000001</x:v>
      </x:c>
      <x:c r="L1535" s="8" t="n">
        <x:v>0</x:v>
      </x:c>
      <x:c r="M1535" s="7" t="n">
        <x:v>0</x:v>
      </x:c>
      <x:c r="N1535" s="2" t="str">
        <x:v>not_invoked</x:v>
      </x:c>
      <x:c r="O1535" s="9" t="str"/>
    </x:row>
    <x:row r="1536" ht="18" customHeight="1">
      <x:c r="A1536" s="2" t="str">
        <x:v>diagnostic_no_detour</x:v>
      </x:c>
      <x:c r="B1536" s="2" t="str">
        <x:v>Unmanaged</x:v>
      </x:c>
      <x:c r="C1536" s="2"/>
      <x:c r="D1536" s="2" t="str">
        <x:v>baseline</x:v>
      </x:c>
      <x:c r="E1536" s="2" t="n">
        <x:v>0</x:v>
      </x:c>
      <x:c r="F1536" s="7" t="n">
        <x:v>80</x:v>
      </x:c>
      <x:c r="G1536" s="7" t="n">
        <x:v>80</x:v>
      </x:c>
      <x:c r="H1536" s="7" t="n">
        <x:f>IF(F1536=0,"n.a.",100*(F1536-G1536)/F1536)</x:f>
        <x:v>0</x:v>
      </x:c>
      <x:c r="I1536" s="7" t="n">
        <x:f>F1536-G1536</x:f>
        <x:v>0</x:v>
      </x:c>
      <x:c r="J1536" s="8"/>
      <x:c r="K1536" s="8" t="n">
        <x:v>0.5320000000000001</x:v>
      </x:c>
      <x:c r="L1536" s="8"/>
      <x:c r="M1536" s="7"/>
      <x:c r="N1536" s="2" t="str">
        <x:v>unmanaged_input</x:v>
      </x:c>
      <x:c r="O1536" s="9"/>
    </x:row>
    <x:row r="1537" ht="18" customHeight="1">
      <x:c r="A1537" s="2" t="str">
        <x:v>diagnostic_no_detour</x:v>
      </x:c>
      <x:c r="B1537" s="2" t="str">
        <x:v>Exact J</x:v>
      </x:c>
      <x:c r="C1537" s="2"/>
      <x:c r="D1537" s="2" t="str">
        <x:v>no_eligible_routes</x:v>
      </x:c>
      <x:c r="E1537" s="2" t="n">
        <x:v>0</x:v>
      </x:c>
      <x:c r="F1537" s="7" t="n">
        <x:v>80</x:v>
      </x:c>
      <x:c r="G1537" s="7" t="n">
        <x:v>80</x:v>
      </x:c>
      <x:c r="H1537" s="7" t="n">
        <x:f>IF(F1537=0,"n.a.",100*(F1537-G1537)/F1537)</x:f>
        <x:v>0</x:v>
      </x:c>
      <x:c r="I1537" s="7" t="n">
        <x:f>F1537-G1537</x:f>
        <x:v>0</x:v>
      </x:c>
      <x:c r="J1537" s="8" t="n">
        <x:v>0.5320000000000001</x:v>
      </x:c>
      <x:c r="K1537" s="8" t="n">
        <x:v>0.5320000000000001</x:v>
      </x:c>
      <x:c r="L1537" s="8" t="n">
        <x:v>0</x:v>
      </x:c>
      <x:c r="M1537" s="7" t="n">
        <x:v>0</x:v>
      </x:c>
      <x:c r="N1537" s="2" t="str">
        <x:v>not_invoked</x:v>
      </x:c>
      <x:c r="O1537" s="9" t="str"/>
    </x:row>
    <x:row r="1538" ht="18" customHeight="1">
      <x:c r="A1538" s="2" t="str">
        <x:v>diagnostic_no_detour</x:v>
      </x:c>
      <x:c r="B1538" s="2" t="str">
        <x:v>Exact peak</x:v>
      </x:c>
      <x:c r="C1538" s="2"/>
      <x:c r="D1538" s="2" t="str">
        <x:v>no_eligible_routes</x:v>
      </x:c>
      <x:c r="E1538" s="2" t="n">
        <x:v>0</x:v>
      </x:c>
      <x:c r="F1538" s="7" t="n">
        <x:v>80</x:v>
      </x:c>
      <x:c r="G1538" s="7" t="n">
        <x:v>80</x:v>
      </x:c>
      <x:c r="H1538" s="7" t="n">
        <x:f>IF(F1538=0,"n.a.",100*(F1538-G1538)/F1538)</x:f>
        <x:v>0</x:v>
      </x:c>
      <x:c r="I1538" s="7" t="n">
        <x:f>F1538-G1538</x:f>
        <x:v>0</x:v>
      </x:c>
      <x:c r="J1538" s="8" t="n">
        <x:v>0.5320000000000001</x:v>
      </x:c>
      <x:c r="K1538" s="8" t="n">
        <x:v>0.5320000000000001</x:v>
      </x:c>
      <x:c r="L1538" s="8" t="n">
        <x:v>0</x:v>
      </x:c>
      <x:c r="M1538" s="7" t="n">
        <x:v>0</x:v>
      </x:c>
      <x:c r="N1538" s="2" t="str">
        <x:v>not_invoked</x:v>
      </x:c>
      <x:c r="O1538" s="9" t="str"/>
    </x:row>
    <x:row r="1539" ht="18" customHeight="1">
      <x:c r="A1539" s="2" t="str">
        <x:v>diagnostic_no_detour</x:v>
      </x:c>
      <x:c r="B1539" s="2" t="str">
        <x:v>BPSO</x:v>
      </x:c>
      <x:c r="C1539" s="2" t="n">
        <x:v>42</x:v>
      </x:c>
      <x:c r="D1539" s="2" t="str">
        <x:v>no_eligible_routes</x:v>
      </x:c>
      <x:c r="E1539" s="2" t="n">
        <x:v>0</x:v>
      </x:c>
      <x:c r="F1539" s="7" t="n">
        <x:v>80</x:v>
      </x:c>
      <x:c r="G1539" s="7" t="n">
        <x:v>80</x:v>
      </x:c>
      <x:c r="H1539" s="7" t="n">
        <x:f>IF(F1539=0,"n.a.",100*(F1539-G1539)/F1539)</x:f>
        <x:v>0</x:v>
      </x:c>
      <x:c r="I1539" s="7" t="n">
        <x:f>F1539-G1539</x:f>
        <x:v>0</x:v>
      </x:c>
      <x:c r="J1539" s="8" t="n">
        <x:v>0.5320000000000001</x:v>
      </x:c>
      <x:c r="K1539" s="8" t="n">
        <x:v>0.5320000000000001</x:v>
      </x:c>
      <x:c r="L1539" s="8" t="n">
        <x:v>0</x:v>
      </x:c>
      <x:c r="M1539" s="7" t="n">
        <x:v>0</x:v>
      </x:c>
      <x:c r="N1539" s="2" t="str">
        <x:v>not_invoked</x:v>
      </x:c>
      <x:c r="O1539" s="9" t="str"/>
    </x:row>
    <x:row r="1540" ht="18" customHeight="1">
      <x:c r="A1540" s="2" t="str">
        <x:v>diagnostic_no_detour</x:v>
      </x:c>
      <x:c r="B1540" s="2" t="str">
        <x:v>QAOA</x:v>
      </x:c>
      <x:c r="C1540" s="2" t="n">
        <x:v>42</x:v>
      </x:c>
      <x:c r="D1540" s="2" t="str">
        <x:v>no_eligible_routes</x:v>
      </x:c>
      <x:c r="E1540" s="2" t="n">
        <x:v>0</x:v>
      </x:c>
      <x:c r="F1540" s="7" t="n">
        <x:v>80</x:v>
      </x:c>
      <x:c r="G1540" s="7" t="n">
        <x:v>80</x:v>
      </x:c>
      <x:c r="H1540" s="7" t="n">
        <x:f>IF(F1540=0,"n.a.",100*(F1540-G1540)/F1540)</x:f>
        <x:v>0</x:v>
      </x:c>
      <x:c r="I1540" s="7" t="n">
        <x:f>F1540-G1540</x:f>
        <x:v>0</x:v>
      </x:c>
      <x:c r="J1540" s="8" t="n">
        <x:v>0.5320000000000001</x:v>
      </x:c>
      <x:c r="K1540" s="8" t="n">
        <x:v>0.5320000000000001</x:v>
      </x:c>
      <x:c r="L1540" s="8" t="n">
        <x:v>0</x:v>
      </x:c>
      <x:c r="M1540" s="7" t="n">
        <x:v>0</x:v>
      </x:c>
      <x:c r="N1540" s="2" t="str">
        <x:v>not_invoked</x:v>
      </x:c>
      <x:c r="O1540" s="9" t="str"/>
    </x:row>
    <x:row r="1541" ht="18" customHeight="1">
      <x:c r="A1541" s="2" t="str">
        <x:v>diagnostic_no_detour</x:v>
      </x:c>
      <x:c r="B1541" s="2" t="str">
        <x:v>BPSO</x:v>
      </x:c>
      <x:c r="C1541" s="2" t="n">
        <x:v>123</x:v>
      </x:c>
      <x:c r="D1541" s="2" t="str">
        <x:v>no_eligible_routes</x:v>
      </x:c>
      <x:c r="E1541" s="2" t="n">
        <x:v>0</x:v>
      </x:c>
      <x:c r="F1541" s="7" t="n">
        <x:v>80</x:v>
      </x:c>
      <x:c r="G1541" s="7" t="n">
        <x:v>80</x:v>
      </x:c>
      <x:c r="H1541" s="7" t="n">
        <x:f>IF(F1541=0,"n.a.",100*(F1541-G1541)/F1541)</x:f>
        <x:v>0</x:v>
      </x:c>
      <x:c r="I1541" s="7" t="n">
        <x:f>F1541-G1541</x:f>
        <x:v>0</x:v>
      </x:c>
      <x:c r="J1541" s="8" t="n">
        <x:v>0.5320000000000001</x:v>
      </x:c>
      <x:c r="K1541" s="8" t="n">
        <x:v>0.5320000000000001</x:v>
      </x:c>
      <x:c r="L1541" s="8" t="n">
        <x:v>0</x:v>
      </x:c>
      <x:c r="M1541" s="7" t="n">
        <x:v>0</x:v>
      </x:c>
      <x:c r="N1541" s="2" t="str">
        <x:v>not_invoked</x:v>
      </x:c>
      <x:c r="O1541" s="9" t="str"/>
    </x:row>
    <x:row r="1542" ht="18" customHeight="1">
      <x:c r="A1542" s="2" t="str">
        <x:v>diagnostic_no_detour</x:v>
      </x:c>
      <x:c r="B1542" s="2" t="str">
        <x:v>QAOA</x:v>
      </x:c>
      <x:c r="C1542" s="2" t="n">
        <x:v>123</x:v>
      </x:c>
      <x:c r="D1542" s="2" t="str">
        <x:v>no_eligible_routes</x:v>
      </x:c>
      <x:c r="E1542" s="2" t="n">
        <x:v>0</x:v>
      </x:c>
      <x:c r="F1542" s="7" t="n">
        <x:v>80</x:v>
      </x:c>
      <x:c r="G1542" s="7" t="n">
        <x:v>80</x:v>
      </x:c>
      <x:c r="H1542" s="7" t="n">
        <x:f>IF(F1542=0,"n.a.",100*(F1542-G1542)/F1542)</x:f>
        <x:v>0</x:v>
      </x:c>
      <x:c r="I1542" s="7" t="n">
        <x:f>F1542-G1542</x:f>
        <x:v>0</x:v>
      </x:c>
      <x:c r="J1542" s="8" t="n">
        <x:v>0.5320000000000001</x:v>
      </x:c>
      <x:c r="K1542" s="8" t="n">
        <x:v>0.5320000000000001</x:v>
      </x:c>
      <x:c r="L1542" s="8" t="n">
        <x:v>0</x:v>
      </x:c>
      <x:c r="M1542" s="7" t="n">
        <x:v>0</x:v>
      </x:c>
      <x:c r="N1542" s="2" t="str">
        <x:v>not_invoked</x:v>
      </x:c>
      <x:c r="O1542" s="9" t="str"/>
    </x:row>
    <x:row r="1543" ht="18" customHeight="1">
      <x:c r="A1543" s="2" t="str">
        <x:v>diagnostic_no_detour</x:v>
      </x:c>
      <x:c r="B1543" s="2" t="str">
        <x:v>BPSO</x:v>
      </x:c>
      <x:c r="C1543" s="2" t="n">
        <x:v>456</x:v>
      </x:c>
      <x:c r="D1543" s="2" t="str">
        <x:v>no_eligible_routes</x:v>
      </x:c>
      <x:c r="E1543" s="2" t="n">
        <x:v>0</x:v>
      </x:c>
      <x:c r="F1543" s="7" t="n">
        <x:v>80</x:v>
      </x:c>
      <x:c r="G1543" s="7" t="n">
        <x:v>80</x:v>
      </x:c>
      <x:c r="H1543" s="7" t="n">
        <x:f>IF(F1543=0,"n.a.",100*(F1543-G1543)/F1543)</x:f>
        <x:v>0</x:v>
      </x:c>
      <x:c r="I1543" s="7" t="n">
        <x:f>F1543-G1543</x:f>
        <x:v>0</x:v>
      </x:c>
      <x:c r="J1543" s="8" t="n">
        <x:v>0.5320000000000001</x:v>
      </x:c>
      <x:c r="K1543" s="8" t="n">
        <x:v>0.5320000000000001</x:v>
      </x:c>
      <x:c r="L1543" s="8" t="n">
        <x:v>0</x:v>
      </x:c>
      <x:c r="M1543" s="7" t="n">
        <x:v>0</x:v>
      </x:c>
      <x:c r="N1543" s="2" t="str">
        <x:v>not_invoked</x:v>
      </x:c>
      <x:c r="O1543" s="9" t="str"/>
    </x:row>
    <x:row r="1544" ht="18" customHeight="1">
      <x:c r="A1544" s="2" t="str">
        <x:v>diagnostic_no_detour</x:v>
      </x:c>
      <x:c r="B1544" s="2" t="str">
        <x:v>QAOA</x:v>
      </x:c>
      <x:c r="C1544" s="2" t="n">
        <x:v>456</x:v>
      </x:c>
      <x:c r="D1544" s="2" t="str">
        <x:v>no_eligible_routes</x:v>
      </x:c>
      <x:c r="E1544" s="2" t="n">
        <x:v>0</x:v>
      </x:c>
      <x:c r="F1544" s="7" t="n">
        <x:v>80</x:v>
      </x:c>
      <x:c r="G1544" s="7" t="n">
        <x:v>80</x:v>
      </x:c>
      <x:c r="H1544" s="7" t="n">
        <x:f>IF(F1544=0,"n.a.",100*(F1544-G1544)/F1544)</x:f>
        <x:v>0</x:v>
      </x:c>
      <x:c r="I1544" s="7" t="n">
        <x:f>F1544-G1544</x:f>
        <x:v>0</x:v>
      </x:c>
      <x:c r="J1544" s="8" t="n">
        <x:v>0.5320000000000001</x:v>
      </x:c>
      <x:c r="K1544" s="8" t="n">
        <x:v>0.5320000000000001</x:v>
      </x:c>
      <x:c r="L1544" s="8" t="n">
        <x:v>0</x:v>
      </x:c>
      <x:c r="M1544" s="7" t="n">
        <x:v>0</x:v>
      </x:c>
      <x:c r="N1544" s="2" t="str">
        <x:v>not_invoked</x:v>
      </x:c>
      <x:c r="O1544" s="9" t="str"/>
    </x:row>
    <x:row r="1545" ht="18" customHeight="1">
      <x:c r="A1545" s="2" t="str">
        <x:v>diagnostic_no_detour</x:v>
      </x:c>
      <x:c r="B1545" s="2" t="str">
        <x:v>BPSO</x:v>
      </x:c>
      <x:c r="C1545" s="2" t="n">
        <x:v>789</x:v>
      </x:c>
      <x:c r="D1545" s="2" t="str">
        <x:v>no_eligible_routes</x:v>
      </x:c>
      <x:c r="E1545" s="2" t="n">
        <x:v>0</x:v>
      </x:c>
      <x:c r="F1545" s="7" t="n">
        <x:v>80</x:v>
      </x:c>
      <x:c r="G1545" s="7" t="n">
        <x:v>80</x:v>
      </x:c>
      <x:c r="H1545" s="7" t="n">
        <x:f>IF(F1545=0,"n.a.",100*(F1545-G1545)/F1545)</x:f>
        <x:v>0</x:v>
      </x:c>
      <x:c r="I1545" s="7" t="n">
        <x:f>F1545-G1545</x:f>
        <x:v>0</x:v>
      </x:c>
      <x:c r="J1545" s="8" t="n">
        <x:v>0.5320000000000001</x:v>
      </x:c>
      <x:c r="K1545" s="8" t="n">
        <x:v>0.5320000000000001</x:v>
      </x:c>
      <x:c r="L1545" s="8" t="n">
        <x:v>0</x:v>
      </x:c>
      <x:c r="M1545" s="7" t="n">
        <x:v>0</x:v>
      </x:c>
      <x:c r="N1545" s="2" t="str">
        <x:v>not_invoked</x:v>
      </x:c>
      <x:c r="O1545" s="9" t="str"/>
    </x:row>
    <x:row r="1546" ht="18" customHeight="1">
      <x:c r="A1546" s="2" t="str">
        <x:v>diagnostic_no_detour</x:v>
      </x:c>
      <x:c r="B1546" s="2" t="str">
        <x:v>QAOA</x:v>
      </x:c>
      <x:c r="C1546" s="2" t="n">
        <x:v>789</x:v>
      </x:c>
      <x:c r="D1546" s="2" t="str">
        <x:v>no_eligible_routes</x:v>
      </x:c>
      <x:c r="E1546" s="2" t="n">
        <x:v>0</x:v>
      </x:c>
      <x:c r="F1546" s="7" t="n">
        <x:v>80</x:v>
      </x:c>
      <x:c r="G1546" s="7" t="n">
        <x:v>80</x:v>
      </x:c>
      <x:c r="H1546" s="7" t="n">
        <x:f>IF(F1546=0,"n.a.",100*(F1546-G1546)/F1546)</x:f>
        <x:v>0</x:v>
      </x:c>
      <x:c r="I1546" s="7" t="n">
        <x:f>F1546-G1546</x:f>
        <x:v>0</x:v>
      </x:c>
      <x:c r="J1546" s="8" t="n">
        <x:v>0.5320000000000001</x:v>
      </x:c>
      <x:c r="K1546" s="8" t="n">
        <x:v>0.5320000000000001</x:v>
      </x:c>
      <x:c r="L1546" s="8" t="n">
        <x:v>0</x:v>
      </x:c>
      <x:c r="M1546" s="7" t="n">
        <x:v>0</x:v>
      </x:c>
      <x:c r="N1546" s="2" t="str">
        <x:v>not_invoked</x:v>
      </x:c>
      <x:c r="O1546" s="9" t="str"/>
    </x:row>
    <x:row r="1547" ht="18" customHeight="1">
      <x:c r="A1547" s="2" t="str">
        <x:v>diagnostic_no_detour</x:v>
      </x:c>
      <x:c r="B1547" s="2" t="str">
        <x:v>BPSO</x:v>
      </x:c>
      <x:c r="C1547" s="2" t="n">
        <x:v>2026</x:v>
      </x:c>
      <x:c r="D1547" s="2" t="str">
        <x:v>no_eligible_routes</x:v>
      </x:c>
      <x:c r="E1547" s="2" t="n">
        <x:v>0</x:v>
      </x:c>
      <x:c r="F1547" s="7" t="n">
        <x:v>80</x:v>
      </x:c>
      <x:c r="G1547" s="7" t="n">
        <x:v>80</x:v>
      </x:c>
      <x:c r="H1547" s="7" t="n">
        <x:f>IF(F1547=0,"n.a.",100*(F1547-G1547)/F1547)</x:f>
        <x:v>0</x:v>
      </x:c>
      <x:c r="I1547" s="7" t="n">
        <x:f>F1547-G1547</x:f>
        <x:v>0</x:v>
      </x:c>
      <x:c r="J1547" s="8" t="n">
        <x:v>0.5320000000000001</x:v>
      </x:c>
      <x:c r="K1547" s="8" t="n">
        <x:v>0.5320000000000001</x:v>
      </x:c>
      <x:c r="L1547" s="8" t="n">
        <x:v>0</x:v>
      </x:c>
      <x:c r="M1547" s="7" t="n">
        <x:v>0</x:v>
      </x:c>
      <x:c r="N1547" s="2" t="str">
        <x:v>not_invoked</x:v>
      </x:c>
      <x:c r="O1547" s="9" t="str"/>
    </x:row>
    <x:row r="1548" ht="18" customHeight="1">
      <x:c r="A1548" s="2" t="str">
        <x:v>diagnostic_no_detour</x:v>
      </x:c>
      <x:c r="B1548" s="2" t="str">
        <x:v>QAOA</x:v>
      </x:c>
      <x:c r="C1548" s="2" t="n">
        <x:v>2026</x:v>
      </x:c>
      <x:c r="D1548" s="2" t="str">
        <x:v>no_eligible_routes</x:v>
      </x:c>
      <x:c r="E1548" s="2" t="n">
        <x:v>0</x:v>
      </x:c>
      <x:c r="F1548" s="7" t="n">
        <x:v>80</x:v>
      </x:c>
      <x:c r="G1548" s="7" t="n">
        <x:v>80</x:v>
      </x:c>
      <x:c r="H1548" s="7" t="n">
        <x:f>IF(F1548=0,"n.a.",100*(F1548-G1548)/F1548)</x:f>
        <x:v>0</x:v>
      </x:c>
      <x:c r="I1548" s="7" t="n">
        <x:f>F1548-G1548</x:f>
        <x:v>0</x:v>
      </x:c>
      <x:c r="J1548" s="8" t="n">
        <x:v>0.5320000000000001</x:v>
      </x:c>
      <x:c r="K1548" s="8" t="n">
        <x:v>0.5320000000000001</x:v>
      </x:c>
      <x:c r="L1548" s="8" t="n">
        <x:v>0</x:v>
      </x:c>
      <x:c r="M1548" s="7" t="n">
        <x:v>0</x:v>
      </x:c>
      <x:c r="N1548" s="2" t="str">
        <x:v>not_invoked</x:v>
      </x:c>
      <x:c r="O1548" s="9" t="str"/>
    </x:row>
  </x:sheetData>
  <x:pageMargins left="0.7" right="0.7" top="0.75" bottom="0.75" header="0.3" footer="0.3"/>
  <x:tableParts count="1">
    <x:tablePart xmlns:r="http://schemas.openxmlformats.org/officeDocument/2006/relationships" r:id="Rf5b94365666a4e15"/>
  </x:tableParts>
</x:worksheet>
</file>